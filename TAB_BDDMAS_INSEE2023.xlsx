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3530" windowHeight="5955" tabRatio="600" firstSheet="0" activeTab="0" autoFilterDateGrouping="1"/>
  </bookViews>
  <sheets>
    <sheet xmlns:r="http://schemas.openxmlformats.org/officeDocument/2006/relationships" name="Présentation" sheetId="1" state="visible" r:id="rId1"/>
    <sheet xmlns:r="http://schemas.openxmlformats.org/officeDocument/2006/relationships" name="Portrait Roubaix" sheetId="2" state="visible" r:id="rId2"/>
    <sheet xmlns:r="http://schemas.openxmlformats.org/officeDocument/2006/relationships" name="Detail calcul" sheetId="3" state="visible" r:id="rId3"/>
    <sheet xmlns:r="http://schemas.openxmlformats.org/officeDocument/2006/relationships" name="POP 2023" sheetId="4" state="visible" r:id="rId4"/>
    <sheet xmlns:r="http://schemas.openxmlformats.org/officeDocument/2006/relationships" name="ACT RES 2023" sheetId="5" state="visible" r:id="rId5"/>
    <sheet xmlns:r="http://schemas.openxmlformats.org/officeDocument/2006/relationships" name="COU FAM 2023" sheetId="6" state="visible" r:id="rId6"/>
    <sheet xmlns:r="http://schemas.openxmlformats.org/officeDocument/2006/relationships" name="DIP FORMATION 2023" sheetId="7" state="visible" r:id="rId7"/>
    <sheet xmlns:r="http://schemas.openxmlformats.org/officeDocument/2006/relationships" name="LOG 2023" sheetId="8" state="visible" r:id="rId8"/>
    <sheet xmlns:r="http://schemas.openxmlformats.org/officeDocument/2006/relationships" name="PETITE ENFANCE 2022" sheetId="9" state="visible" r:id="rId9"/>
    <sheet xmlns:r="http://schemas.openxmlformats.org/officeDocument/2006/relationships" name="CAF 2024" sheetId="10" state="visible" r:id="rId10"/>
    <sheet xmlns:r="http://schemas.openxmlformats.org/officeDocument/2006/relationships" name="CNAM 2025" sheetId="11" state="visible" r:id="rId11"/>
    <sheet xmlns:r="http://schemas.openxmlformats.org/officeDocument/2006/relationships" name="DEFM 2024" sheetId="12" state="visible" r:id="rId12"/>
    <sheet xmlns:r="http://schemas.openxmlformats.org/officeDocument/2006/relationships" name="RPLS 2025" sheetId="13" state="visible" r:id="rId13"/>
  </sheets>
  <definedNames>
    <definedName name="_xlnm.Print_Area" localSheetId="0">'Présentation'!$A$1:$E$23</definedName>
    <definedName name="_xlnm.Print_Area" localSheetId="2">'Detail calcul'!$A$1:$H$22</definedName>
  </definedNames>
  <calcPr calcId="152511" fullCalcOnLoad="1"/>
</workbook>
</file>

<file path=xl/styles.xml><?xml version="1.0" encoding="utf-8"?>
<styleSheet xmlns="http://schemas.openxmlformats.org/spreadsheetml/2006/main">
  <numFmts count="4">
    <numFmt numFmtId="164" formatCode="#,##0.0"/>
    <numFmt numFmtId="165" formatCode="0.0 %"/>
    <numFmt numFmtId="166" formatCode="#,##0&quot; €&quot;"/>
    <numFmt numFmtId="167" formatCode="0.0&quot; %&quot;"/>
  </numFmts>
  <fonts count="43">
    <font>
      <name val="Calibri"/>
      <family val="2"/>
      <color theme="1"/>
      <sz val="11"/>
      <scheme val="minor"/>
    </font>
    <font>
      <name val="Calibri"/>
      <b val="1"/>
      <sz val="11"/>
    </font>
    <font>
      <name val="Calibri"/>
      <sz val="11"/>
    </font>
    <font>
      <name val="Calibri"/>
      <b val="1"/>
      <color rgb="FF00B050"/>
      <sz val="11"/>
    </font>
    <font>
      <name val="Calibri"/>
      <b val="1"/>
      <color rgb="FF800000"/>
      <sz val="11"/>
    </font>
    <font>
      <name val="Calibri"/>
      <b val="1"/>
      <color rgb="FF00B050"/>
      <sz val="11"/>
    </font>
    <font>
      <name val="Calibri"/>
      <b val="1"/>
      <sz val="11"/>
    </font>
    <font>
      <name val="Calibri"/>
      <sz val="11"/>
    </font>
    <font>
      <name val="Arial"/>
      <family val="2"/>
      <b val="1"/>
      <color theme="0" tint="-0.0499893185216834"/>
      <sz val="14"/>
    </font>
    <font>
      <name val="Arial"/>
      <family val="2"/>
      <b val="1"/>
      <color theme="3"/>
      <sz val="10"/>
    </font>
    <font>
      <name val="Arial"/>
      <family val="2"/>
      <color theme="3"/>
      <sz val="10"/>
    </font>
    <font>
      <name val="Arial"/>
      <family val="2"/>
      <color theme="1"/>
      <sz val="9"/>
    </font>
    <font>
      <name val="Calibri"/>
      <family val="2"/>
      <color theme="10"/>
      <sz val="11"/>
      <u val="single"/>
      <scheme val="minor"/>
    </font>
    <font>
      <name val="Arial"/>
      <family val="2"/>
      <color theme="3"/>
      <sz val="8"/>
    </font>
    <font>
      <name val="Arial"/>
      <family val="2"/>
      <b val="1"/>
      <color theme="3"/>
      <sz val="11"/>
    </font>
    <font>
      <name val="Arial"/>
      <family val="2"/>
      <b val="1"/>
      <sz val="11"/>
    </font>
    <font>
      <name val="Arial"/>
      <family val="2"/>
      <color theme="10"/>
      <sz val="11"/>
      <u val="single"/>
    </font>
    <font>
      <name val="Arial"/>
      <family val="2"/>
      <b val="1"/>
      <color theme="3" tint="-0.249977111117893"/>
      <sz val="10"/>
    </font>
    <font>
      <name val="Arial"/>
      <family val="2"/>
      <color theme="3" tint="-0.249977111117893"/>
      <sz val="10"/>
    </font>
    <font>
      <name val="Arial"/>
      <family val="2"/>
      <color theme="10"/>
      <sz val="10"/>
      <u val="single"/>
    </font>
    <font>
      <name val="Arial"/>
      <family val="2"/>
      <b val="1"/>
      <color theme="1"/>
      <sz val="10"/>
    </font>
    <font>
      <name val="Arial"/>
      <family val="2"/>
      <b val="1"/>
      <color rgb="FFFF0000"/>
      <sz val="11"/>
    </font>
    <font>
      <name val="Arial"/>
      <family val="2"/>
      <color rgb="FFFF0000"/>
      <sz val="8"/>
    </font>
    <font>
      <name val="Calibri"/>
      <family val="2"/>
      <color theme="1"/>
      <sz val="8"/>
      <scheme val="minor"/>
    </font>
    <font>
      <name val="Calibri"/>
      <family val="2"/>
      <b val="1"/>
      <color theme="1"/>
      <sz val="11"/>
    </font>
    <font>
      <name val="Arial"/>
      <family val="2"/>
      <b val="1"/>
      <color theme="4"/>
      <sz val="11"/>
    </font>
    <font>
      <name val="Arial"/>
      <family val="2"/>
      <sz val="8"/>
    </font>
    <font>
      <name val="Arial"/>
      <family val="2"/>
      <color theme="1"/>
      <sz val="8"/>
    </font>
    <font/>
    <font>
      <name val="Arial"/>
      <i val="1"/>
      <color rgb="00C00000"/>
      <sz val="8"/>
    </font>
    <font>
      <b val="1"/>
      <color rgb="001F4E78"/>
      <sz val="20"/>
    </font>
    <font>
      <i val="1"/>
      <color rgb="00595959"/>
      <sz val="10"/>
    </font>
    <font>
      <b val="1"/>
      <color rgb="00FFFFFF"/>
      <sz val="14"/>
    </font>
    <font>
      <color rgb="00595959"/>
      <sz val="9"/>
    </font>
    <font>
      <sz val="10"/>
    </font>
    <font>
      <b val="1"/>
      <color rgb="002E75B6"/>
      <sz val="13"/>
    </font>
    <font>
      <color rgb="00595959"/>
      <sz val="8"/>
      <u val="single"/>
    </font>
    <font>
      <b val="1"/>
      <color rgb="00C55A11"/>
      <sz val="13"/>
    </font>
    <font>
      <b val="1"/>
      <color rgb="007030A0"/>
      <sz val="13"/>
    </font>
    <font>
      <color rgb="00595959"/>
      <sz val="8"/>
    </font>
    <font>
      <b val="1"/>
      <color rgb="00548235"/>
      <sz val="13"/>
    </font>
    <font>
      <b val="1"/>
      <color rgb="00FFFFFF"/>
    </font>
    <font>
      <sz val="9"/>
    </font>
  </fonts>
  <fills count="26">
    <fill>
      <patternFill/>
    </fill>
    <fill>
      <patternFill patternType="gray125"/>
    </fill>
    <fill>
      <patternFill patternType="solid">
        <fgColor rgb="FFEBF1DE"/>
        <bgColor rgb="FFEBF1DE"/>
      </patternFill>
    </fill>
    <fill>
      <patternFill patternType="solid">
        <fgColor rgb="FFBFBFBF"/>
        <bgColor rgb="FFBFBFBF"/>
      </patternFill>
    </fill>
    <fill>
      <patternFill patternType="solid">
        <fgColor rgb="FF91DEFF"/>
        <bgColor rgb="FF91DEFF"/>
      </patternFill>
    </fill>
    <fill>
      <patternFill patternType="solid">
        <fgColor rgb="FFF8CBAD"/>
        <bgColor rgb="FFF8CBAD"/>
      </patternFill>
    </fill>
    <fill>
      <patternFill patternType="solid">
        <fgColor rgb="FFF2F2F2"/>
        <bgColor rgb="FFF2F2F2"/>
      </patternFill>
    </fill>
    <fill>
      <patternFill patternType="solid">
        <fgColor rgb="FFEBF1DE"/>
        <bgColor rgb="FFEBF1DE"/>
      </patternFill>
    </fill>
    <fill>
      <patternFill patternType="solid">
        <fgColor rgb="FFBFBFBF"/>
        <bgColor rgb="FFBFBFBF"/>
      </patternFill>
    </fill>
    <fill>
      <patternFill patternType="solid">
        <fgColor rgb="FF91DEFF"/>
        <bgColor rgb="FF91DEFF"/>
      </patternFill>
    </fill>
    <fill>
      <patternFill patternType="solid">
        <fgColor rgb="FFF2F2F2"/>
        <bgColor rgb="FFF2F2F2"/>
      </patternFill>
    </fill>
    <fill>
      <patternFill patternType="solid">
        <fgColor theme="4"/>
        <bgColor indexed="64"/>
      </patternFill>
    </fill>
    <fill>
      <patternFill patternType="solid">
        <fgColor theme="4" tint="0.5999938962981048"/>
        <bgColor indexed="64"/>
      </patternFill>
    </fill>
    <fill>
      <patternFill patternType="solid">
        <fgColor theme="4" tint="0.7999816888943144"/>
        <bgColor indexed="64"/>
      </patternFill>
    </fill>
    <fill>
      <patternFill patternType="solid">
        <fgColor theme="0"/>
        <bgColor indexed="64"/>
      </patternFill>
    </fill>
    <fill>
      <patternFill patternType="solid">
        <fgColor theme="8" tint="0.7999816888943144"/>
        <bgColor indexed="64"/>
      </patternFill>
    </fill>
    <fill>
      <patternFill patternType="solid">
        <fgColor rgb="00F8CBAD"/>
        <bgColor rgb="00F8CBAD"/>
      </patternFill>
    </fill>
    <fill>
      <patternFill patternType="solid">
        <fgColor rgb="002E75B6"/>
      </patternFill>
    </fill>
    <fill>
      <patternFill patternType="solid">
        <fgColor rgb="00DEEAF6"/>
      </patternFill>
    </fill>
    <fill>
      <patternFill patternType="solid">
        <fgColor rgb="00C55A11"/>
      </patternFill>
    </fill>
    <fill>
      <patternFill patternType="solid">
        <fgColor rgb="00FBE5D6"/>
      </patternFill>
    </fill>
    <fill>
      <patternFill patternType="solid">
        <fgColor rgb="007030A0"/>
      </patternFill>
    </fill>
    <fill>
      <patternFill patternType="solid">
        <fgColor rgb="00EADCF4"/>
      </patternFill>
    </fill>
    <fill>
      <patternFill patternType="solid">
        <fgColor rgb="00548235"/>
      </patternFill>
    </fill>
    <fill>
      <patternFill patternType="solid">
        <fgColor rgb="00E2F0D9"/>
      </patternFill>
    </fill>
    <fill>
      <patternFill patternType="solid">
        <fgColor rgb="00595959"/>
      </patternFill>
    </fill>
  </fills>
  <borders count="27">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theme="3" tint="0.3999755851924192"/>
      </left>
      <right/>
      <top style="thin">
        <color theme="3" tint="0.3999755851924192"/>
      </top>
      <bottom/>
      <diagonal/>
    </border>
    <border>
      <left/>
      <right/>
      <top style="thin">
        <color theme="3" tint="0.3999755851924192"/>
      </top>
      <bottom/>
      <diagonal/>
    </border>
    <border>
      <left style="thin">
        <color theme="3" tint="0.3999755851924192"/>
      </left>
      <right/>
      <top/>
      <bottom/>
      <diagonal/>
    </border>
    <border>
      <left style="medium">
        <color theme="3" tint="0.3999755851924192"/>
      </left>
      <right style="medium">
        <color theme="0"/>
      </right>
      <top style="medium">
        <color theme="3" tint="0.3999755851924192"/>
      </top>
      <bottom style="thin">
        <color indexed="64"/>
      </bottom>
      <diagonal/>
    </border>
    <border>
      <left style="thin">
        <color theme="3" tint="0.3999755851924192"/>
      </left>
      <right/>
      <top style="thin">
        <color theme="3" tint="0.3999755851924192"/>
      </top>
      <bottom style="thin">
        <color theme="3" tint="0.3999755851924192"/>
      </bottom>
      <diagonal/>
    </border>
    <border>
      <left style="medium">
        <color theme="3" tint="0.3999755851924192"/>
      </left>
      <right/>
      <top/>
      <bottom/>
      <diagonal/>
    </border>
    <border>
      <left/>
      <right/>
      <top style="thin">
        <color theme="3" tint="0.3999755851924192"/>
      </top>
      <bottom style="thin">
        <color theme="3" tint="0.3999755851924192"/>
      </bottom>
      <diagonal/>
    </border>
    <border>
      <left style="thin">
        <color theme="3" tint="0.3999755851924192"/>
      </left>
      <right/>
      <top style="thin">
        <color theme="3" tint="0.3999755851924192"/>
      </top>
      <bottom style="double">
        <color theme="5" tint="-0.499984740745262"/>
      </bottom>
      <diagonal/>
    </border>
    <border>
      <left/>
      <right/>
      <top style="thin">
        <color theme="3" tint="0.3999755851924192"/>
      </top>
      <bottom style="double">
        <color theme="5" tint="-0.499984740745262"/>
      </bottom>
      <diagonal/>
    </border>
    <border>
      <left style="double">
        <color theme="5" tint="-0.499984740745262"/>
      </left>
      <right/>
      <top style="double">
        <color theme="5" tint="-0.499984740745262"/>
      </top>
      <bottom style="double">
        <color theme="5" tint="-0.499984740745262"/>
      </bottom>
      <diagonal/>
    </border>
    <border>
      <left/>
      <right style="double">
        <color theme="5" tint="-0.499984740745262"/>
      </right>
      <top style="double">
        <color theme="5" tint="-0.499984740745262"/>
      </top>
      <bottom style="double">
        <color theme="5" tint="-0.499984740745262"/>
      </bottom>
      <diagonal/>
    </border>
    <border>
      <left/>
      <right style="double">
        <color theme="5" tint="-0.499984740745262"/>
      </right>
      <top/>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border>
      <left/>
      <right/>
      <top style="thin">
        <color rgb="FFBFBFBF"/>
      </top>
      <bottom/>
      <diagonal/>
    </border>
    <border>
      <left/>
      <right/>
      <top style="thin">
        <color rgb="FFBFBFBF"/>
      </top>
      <bottom style="thin">
        <color rgb="FFBFBFBF"/>
      </bottom>
      <diagonal/>
    </border>
    <border>
      <top style="hair">
        <color rgb="00BFBFBF"/>
      </top>
    </border>
  </borders>
  <cellStyleXfs count="2">
    <xf numFmtId="0" fontId="0" fillId="0" borderId="0"/>
    <xf numFmtId="0" fontId="12" fillId="0" borderId="0"/>
  </cellStyleXfs>
  <cellXfs count="154">
    <xf numFmtId="0" fontId="0" fillId="0" borderId="0" pivotButton="0" quotePrefix="0" xfId="0"/>
    <xf numFmtId="0" fontId="3" fillId="0" borderId="1" applyAlignment="1" pivotButton="0" quotePrefix="0" xfId="0">
      <alignment horizontal="center"/>
    </xf>
    <xf numFmtId="0" fontId="3" fillId="2" borderId="1" applyAlignment="1" pivotButton="0" quotePrefix="0" xfId="0">
      <alignment horizontal="center"/>
    </xf>
    <xf numFmtId="0" fontId="1" fillId="6"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0" borderId="1" applyAlignment="1" pivotButton="0" quotePrefix="0" xfId="0">
      <alignment horizontal="left"/>
    </xf>
    <xf numFmtId="0" fontId="5" fillId="0" borderId="2" applyAlignment="1" pivotButton="0" quotePrefix="0" xfId="0">
      <alignment horizontal="center"/>
    </xf>
    <xf numFmtId="0" fontId="5" fillId="7" borderId="2" applyAlignment="1" pivotButton="0" quotePrefix="0" xfId="0">
      <alignment horizontal="center"/>
    </xf>
    <xf numFmtId="0" fontId="6" fillId="10" borderId="2" pivotButton="0" quotePrefix="0" xfId="0"/>
    <xf numFmtId="0" fontId="0" fillId="0" borderId="2" pivotButton="0" quotePrefix="0" xfId="0"/>
    <xf numFmtId="0" fontId="4" fillId="0" borderId="2" applyAlignment="1" pivotButton="0" quotePrefix="0" xfId="0">
      <alignment horizontal="left"/>
    </xf>
    <xf numFmtId="0" fontId="9" fillId="12" borderId="5" applyAlignment="1" pivotButton="0" quotePrefix="0" xfId="0">
      <alignment horizontal="center" vertical="center" wrapText="1"/>
    </xf>
    <xf numFmtId="0" fontId="10" fillId="12" borderId="5" applyAlignment="1" pivotButton="0" quotePrefix="0" xfId="0">
      <alignment horizontal="center" vertical="center" wrapText="1"/>
    </xf>
    <xf numFmtId="0" fontId="9" fillId="12" borderId="6" applyAlignment="1" pivotButton="0" quotePrefix="0" xfId="0">
      <alignment horizontal="center" vertical="center" wrapText="1"/>
    </xf>
    <xf numFmtId="0" fontId="9" fillId="13" borderId="7" applyAlignment="1" pivotButton="0" quotePrefix="0" xfId="0">
      <alignment horizontal="right" vertical="center" wrapText="1"/>
    </xf>
    <xf numFmtId="0" fontId="9" fillId="13" borderId="7" applyAlignment="1" pivotButton="0" quotePrefix="0" xfId="0">
      <alignment horizontal="center" vertical="center" wrapText="1"/>
    </xf>
    <xf numFmtId="0" fontId="10" fillId="13" borderId="7" applyAlignment="1" pivotButton="0" quotePrefix="0" xfId="0">
      <alignment vertical="center" wrapText="1"/>
    </xf>
    <xf numFmtId="0" fontId="10" fillId="14" borderId="7" applyAlignment="1" pivotButton="0" quotePrefix="0" xfId="0">
      <alignment horizontal="center" vertical="center" wrapText="1"/>
    </xf>
    <xf numFmtId="0" fontId="11" fillId="0" borderId="0" pivotButton="0" quotePrefix="0" xfId="0"/>
    <xf numFmtId="0" fontId="9" fillId="13" borderId="7" applyAlignment="1" pivotButton="0" quotePrefix="0" xfId="0">
      <alignment vertical="center" wrapText="1"/>
    </xf>
    <xf numFmtId="0" fontId="12" fillId="14" borderId="7" applyAlignment="1" pivotButton="0" quotePrefix="0" xfId="1">
      <alignment horizontal="center" vertical="center" wrapText="1"/>
    </xf>
    <xf numFmtId="0" fontId="13" fillId="13" borderId="7" applyAlignment="1" pivotButton="0" quotePrefix="0" xfId="0">
      <alignment vertical="center" wrapText="1"/>
    </xf>
    <xf numFmtId="0" fontId="14" fillId="0" borderId="0" applyAlignment="1" pivotButton="0" quotePrefix="0" xfId="0">
      <alignment vertical="center" wrapText="1"/>
    </xf>
    <xf numFmtId="0" fontId="14" fillId="0" borderId="0" applyAlignment="1" pivotButton="0" quotePrefix="0" xfId="0">
      <alignment horizontal="center" vertical="center" wrapText="1"/>
    </xf>
    <xf numFmtId="0" fontId="13" fillId="0" borderId="0" applyAlignment="1" pivotButton="0" quotePrefix="0" xfId="0">
      <alignment vertical="center" wrapText="1"/>
    </xf>
    <xf numFmtId="0" fontId="15" fillId="0" borderId="0" applyAlignment="1" pivotButton="0" quotePrefix="0" xfId="0">
      <alignment vertical="center" wrapText="1"/>
    </xf>
    <xf numFmtId="0" fontId="16" fillId="0" borderId="0" applyAlignment="1" pivotButton="0" quotePrefix="0" xfId="1">
      <alignment vertical="center" wrapText="1"/>
    </xf>
    <xf numFmtId="0" fontId="0" fillId="0" borderId="0" applyAlignment="1" pivotButton="0" quotePrefix="0" xfId="0">
      <alignment horizontal="left" indent="2"/>
    </xf>
    <xf numFmtId="0" fontId="19" fillId="14" borderId="0" applyAlignment="1" pivotButton="0" quotePrefix="0" xfId="1">
      <alignment vertical="center" wrapText="1"/>
    </xf>
    <xf numFmtId="0" fontId="10" fillId="13" borderId="9" applyAlignment="1" pivotButton="0" quotePrefix="0" xfId="0">
      <alignment horizontal="left" vertical="center" wrapText="1"/>
    </xf>
    <xf numFmtId="0" fontId="12" fillId="14" borderId="0" applyAlignment="1" pivotButton="0" quotePrefix="0" xfId="1">
      <alignment vertical="center" wrapText="1"/>
    </xf>
    <xf numFmtId="0" fontId="21" fillId="0" borderId="0" applyAlignment="1" pivotButton="0" quotePrefix="0" xfId="0">
      <alignment vertical="center" wrapText="1"/>
    </xf>
    <xf numFmtId="0" fontId="15" fillId="0" borderId="0" applyAlignment="1" pivotButton="0" quotePrefix="0" xfId="0">
      <alignment horizontal="center" vertical="center" wrapText="1"/>
    </xf>
    <xf numFmtId="0" fontId="22" fillId="0" borderId="0" applyAlignment="1" pivotButton="0" quotePrefix="0" xfId="0">
      <alignment vertical="center" wrapText="1"/>
    </xf>
    <xf numFmtId="0" fontId="16" fillId="0" borderId="0" applyAlignment="1" pivotButton="0" quotePrefix="0" xfId="1">
      <alignment vertical="center" wrapText="1"/>
    </xf>
    <xf numFmtId="0" fontId="0" fillId="0" borderId="0" applyAlignment="1" pivotButton="0" quotePrefix="0" xfId="0">
      <alignment horizontal="center"/>
    </xf>
    <xf numFmtId="0" fontId="23" fillId="0" borderId="0" pivotButton="0" quotePrefix="0" xfId="0"/>
    <xf numFmtId="49" fontId="25" fillId="15" borderId="12" applyAlignment="1" pivotButton="0" quotePrefix="0" xfId="0">
      <alignment horizontal="center" vertical="center" wrapText="1"/>
    </xf>
    <xf numFmtId="49" fontId="25" fillId="15" borderId="13" applyAlignment="1" pivotButton="0" quotePrefix="0" xfId="0">
      <alignment horizontal="center" vertical="center" wrapText="1"/>
    </xf>
    <xf numFmtId="49" fontId="26" fillId="0" borderId="0" applyAlignment="1" pivotButton="0" quotePrefix="0" xfId="0">
      <alignment horizontal="center" vertical="center" wrapText="1"/>
    </xf>
    <xf numFmtId="49" fontId="26" fillId="0" borderId="14" applyAlignment="1" pivotButton="0" quotePrefix="0" xfId="0">
      <alignment horizontal="center" vertical="center" wrapText="1"/>
    </xf>
    <xf numFmtId="49" fontId="27" fillId="0" borderId="0" applyAlignment="1" pivotButton="0" quotePrefix="0" xfId="0">
      <alignment horizontal="center" vertical="center" wrapText="1"/>
    </xf>
    <xf numFmtId="0" fontId="1" fillId="6" borderId="15" applyAlignment="1" pivotButton="0" quotePrefix="0" xfId="0">
      <alignment horizontal="center" vertical="center" wrapText="1"/>
    </xf>
    <xf numFmtId="0" fontId="2" fillId="0" borderId="16" applyAlignment="1" pivotButton="0" quotePrefix="0" xfId="0">
      <alignment horizontal="center" vertical="center" wrapText="1"/>
    </xf>
    <xf numFmtId="0" fontId="1" fillId="3" borderId="17" applyAlignment="1" pivotButton="0" quotePrefix="0" xfId="0">
      <alignment horizontal="center" vertical="center" wrapText="1"/>
    </xf>
    <xf numFmtId="0" fontId="1" fillId="3" borderId="18" applyAlignment="1" pivotButton="0" quotePrefix="0" xfId="0">
      <alignment horizontal="center" vertical="center" wrapText="1"/>
    </xf>
    <xf numFmtId="0" fontId="2" fillId="4" borderId="18" applyAlignment="1" pivotButton="0" quotePrefix="0" xfId="0">
      <alignment horizontal="center" vertical="center" wrapText="1"/>
    </xf>
    <xf numFmtId="0" fontId="2" fillId="5" borderId="18" applyAlignment="1" pivotButton="0" quotePrefix="0" xfId="0">
      <alignment horizontal="center" vertical="center" wrapText="1"/>
    </xf>
    <xf numFmtId="0" fontId="2" fillId="5" borderId="19" applyAlignment="1" pivotButton="0" quotePrefix="0" xfId="0">
      <alignment horizontal="center" vertical="center" wrapText="1"/>
    </xf>
    <xf numFmtId="0" fontId="1" fillId="6" borderId="20" applyAlignment="1" pivotButton="0" quotePrefix="0" xfId="0">
      <alignment horizontal="center" vertical="center" wrapText="1"/>
    </xf>
    <xf numFmtId="0" fontId="1" fillId="6" borderId="21" applyAlignment="1" pivotButton="0" quotePrefix="0" xfId="0">
      <alignment horizontal="center" vertical="center" wrapText="1"/>
    </xf>
    <xf numFmtId="0" fontId="2" fillId="0" borderId="21" applyAlignment="1" pivotButton="0" quotePrefix="0" xfId="0">
      <alignment horizontal="center" vertical="center" wrapText="1"/>
    </xf>
    <xf numFmtId="0" fontId="2" fillId="0" borderId="22" applyAlignment="1" pivotButton="0" quotePrefix="0" xfId="0">
      <alignment horizontal="center" vertical="center" wrapText="1"/>
    </xf>
    <xf numFmtId="0" fontId="0" fillId="0" borderId="22" pivotButton="0" quotePrefix="0" xfId="0"/>
    <xf numFmtId="0" fontId="6" fillId="10" borderId="15" pivotButton="0" quotePrefix="0" xfId="0"/>
    <xf numFmtId="0" fontId="0" fillId="0" borderId="16" pivotButton="0" quotePrefix="0" xfId="0"/>
    <xf numFmtId="0" fontId="6" fillId="8" borderId="17" applyAlignment="1" pivotButton="0" quotePrefix="0" xfId="0">
      <alignment horizontal="center" vertical="center" wrapText="1"/>
    </xf>
    <xf numFmtId="0" fontId="6" fillId="8" borderId="18" applyAlignment="1" pivotButton="0" quotePrefix="0" xfId="0">
      <alignment horizontal="center" vertical="center" wrapText="1"/>
    </xf>
    <xf numFmtId="0" fontId="7" fillId="9" borderId="18" applyAlignment="1" pivotButton="0" quotePrefix="0" xfId="0">
      <alignment horizontal="center" vertical="center" wrapText="1"/>
    </xf>
    <xf numFmtId="0" fontId="7" fillId="9" borderId="19" applyAlignment="1" pivotButton="0" quotePrefix="0" xfId="0">
      <alignment horizontal="center" vertical="center" wrapText="1"/>
    </xf>
    <xf numFmtId="0" fontId="6" fillId="10" borderId="20" pivotButton="0" quotePrefix="0" xfId="0"/>
    <xf numFmtId="0" fontId="6" fillId="10" borderId="21" pivotButton="0" quotePrefix="0" xfId="0"/>
    <xf numFmtId="0" fontId="0" fillId="0" borderId="21" pivotButton="0" quotePrefix="0" xfId="0"/>
    <xf numFmtId="0" fontId="0" fillId="0" borderId="0" applyAlignment="1" pivotButton="0" quotePrefix="0" xfId="0">
      <alignment horizontal="center" vertical="center"/>
    </xf>
    <xf numFmtId="0" fontId="2" fillId="0" borderId="2" applyAlignment="1" pivotButton="0" quotePrefix="0" xfId="0">
      <alignment horizontal="center" vertical="center" wrapText="1"/>
    </xf>
    <xf numFmtId="0" fontId="9" fillId="13" borderId="0" applyAlignment="1" pivotButton="0" quotePrefix="0" xfId="0">
      <alignment horizontal="left" vertical="center" wrapText="1" indent="2"/>
    </xf>
    <xf numFmtId="0" fontId="8" fillId="11" borderId="3" applyAlignment="1" pivotButton="0" quotePrefix="0" xfId="0">
      <alignment horizontal="center" vertical="center" wrapText="1"/>
    </xf>
    <xf numFmtId="0" fontId="8" fillId="11" borderId="4" applyAlignment="1" pivotButton="0" quotePrefix="0" xfId="0">
      <alignment horizontal="center" vertical="center" wrapText="1"/>
    </xf>
    <xf numFmtId="0" fontId="8" fillId="11" borderId="5" applyAlignment="1" pivotButton="0" quotePrefix="0" xfId="0">
      <alignment horizontal="center" vertical="center" wrapText="1"/>
    </xf>
    <xf numFmtId="0" fontId="8" fillId="11" borderId="0" applyAlignment="1" pivotButton="0" quotePrefix="0" xfId="0">
      <alignment horizontal="center" vertical="center" wrapText="1"/>
    </xf>
    <xf numFmtId="0" fontId="14" fillId="12" borderId="8" applyAlignment="1" pivotButton="0" quotePrefix="0" xfId="0">
      <alignment horizontal="center" vertical="center" wrapText="1"/>
    </xf>
    <xf numFmtId="0" fontId="14" fillId="12" borderId="0" applyAlignment="1" pivotButton="0" quotePrefix="0" xfId="0">
      <alignment horizontal="center" vertical="center" wrapText="1"/>
    </xf>
    <xf numFmtId="0" fontId="17" fillId="0" borderId="8" applyAlignment="1" pivotButton="0" quotePrefix="0" xfId="0">
      <alignment horizontal="left" vertical="center" wrapText="1"/>
    </xf>
    <xf numFmtId="0" fontId="17" fillId="0" borderId="0" applyAlignment="1" pivotButton="0" quotePrefix="0" xfId="0">
      <alignment horizontal="left" vertical="center" wrapText="1"/>
    </xf>
    <xf numFmtId="0" fontId="18" fillId="14" borderId="0" applyAlignment="1" pivotButton="0" quotePrefix="0" xfId="0">
      <alignment horizontal="left" vertical="center" wrapText="1"/>
    </xf>
    <xf numFmtId="0" fontId="19" fillId="14" borderId="0" applyAlignment="1" pivotButton="0" quotePrefix="0" xfId="1">
      <alignment horizontal="center" vertical="center" wrapText="1"/>
    </xf>
    <xf numFmtId="0" fontId="19" fillId="14" borderId="4" applyAlignment="1" pivotButton="0" quotePrefix="0" xfId="1">
      <alignment horizontal="center" vertical="center" wrapText="1"/>
    </xf>
    <xf numFmtId="0" fontId="9" fillId="13" borderId="5" applyAlignment="1" pivotButton="0" quotePrefix="0" xfId="0">
      <alignment horizontal="left" vertical="center" wrapText="1" indent="2"/>
    </xf>
    <xf numFmtId="0" fontId="20" fillId="0" borderId="8" applyAlignment="1" pivotButton="0" quotePrefix="0" xfId="0">
      <alignment horizontal="left" vertical="center" wrapText="1"/>
    </xf>
    <xf numFmtId="0" fontId="20" fillId="0" borderId="0" applyAlignment="1" pivotButton="0" quotePrefix="0" xfId="0">
      <alignment horizontal="left" vertical="center" wrapText="1"/>
    </xf>
    <xf numFmtId="0" fontId="24" fillId="14" borderId="4" applyAlignment="1" pivotButton="0" quotePrefix="0" xfId="0">
      <alignment horizontal="left" vertical="center" wrapText="1"/>
    </xf>
    <xf numFmtId="0" fontId="8" fillId="11" borderId="10" applyAlignment="1" pivotButton="0" quotePrefix="0" xfId="0">
      <alignment horizontal="center" vertical="center" wrapText="1"/>
    </xf>
    <xf numFmtId="0" fontId="8" fillId="11" borderId="11"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11" pivotButton="0" quotePrefix="0" xfId="0"/>
    <xf numFmtId="0" fontId="12" fillId="14" borderId="7" applyAlignment="1" pivotButton="0" quotePrefix="0" xfId="0">
      <alignment horizontal="center" vertical="center" wrapText="1"/>
    </xf>
    <xf numFmtId="0" fontId="30" fillId="0" borderId="0" applyAlignment="1" pivotButton="0" quotePrefix="0" xfId="0">
      <alignment vertical="center" wrapText="1"/>
    </xf>
    <xf numFmtId="0" fontId="31" fillId="0" borderId="0" applyAlignment="1" pivotButton="0" quotePrefix="0" xfId="0">
      <alignment vertical="center" wrapText="1"/>
    </xf>
    <xf numFmtId="0" fontId="32" fillId="17" borderId="0" applyAlignment="1" pivotButton="0" quotePrefix="0" xfId="0">
      <alignment horizontal="center" vertical="center"/>
    </xf>
    <xf numFmtId="0" fontId="0" fillId="17" borderId="0" pivotButton="0" quotePrefix="0" xfId="0"/>
    <xf numFmtId="0" fontId="32" fillId="19" borderId="0" applyAlignment="1" pivotButton="0" quotePrefix="0" xfId="0">
      <alignment horizontal="center" vertical="center"/>
    </xf>
    <xf numFmtId="0" fontId="0" fillId="19" borderId="0" pivotButton="0" quotePrefix="0" xfId="0"/>
    <xf numFmtId="0" fontId="32" fillId="21" borderId="0" applyAlignment="1" pivotButton="0" quotePrefix="0" xfId="0">
      <alignment horizontal="center" vertical="center"/>
    </xf>
    <xf numFmtId="0" fontId="0" fillId="21" borderId="0" pivotButton="0" quotePrefix="0" xfId="0"/>
    <xf numFmtId="0" fontId="32" fillId="23" borderId="0" applyAlignment="1" pivotButton="0" quotePrefix="0" xfId="0">
      <alignment horizontal="center" vertical="center"/>
    </xf>
    <xf numFmtId="0" fontId="0" fillId="23" borderId="0" pivotButton="0" quotePrefix="0" xfId="0"/>
    <xf numFmtId="0" fontId="33" fillId="18" borderId="0" applyAlignment="1" pivotButton="0" quotePrefix="0" xfId="0">
      <alignment vertical="top" wrapText="1"/>
    </xf>
    <xf numFmtId="0" fontId="0" fillId="18" borderId="0" pivotButton="0" quotePrefix="0" xfId="0"/>
    <xf numFmtId="0" fontId="33" fillId="20" borderId="0" applyAlignment="1" pivotButton="0" quotePrefix="0" xfId="0">
      <alignment vertical="top" wrapText="1"/>
    </xf>
    <xf numFmtId="0" fontId="0" fillId="20" borderId="0" pivotButton="0" quotePrefix="0" xfId="0"/>
    <xf numFmtId="0" fontId="33" fillId="22" borderId="0" applyAlignment="1" pivotButton="0" quotePrefix="0" xfId="0">
      <alignment vertical="top" wrapText="1"/>
    </xf>
    <xf numFmtId="0" fontId="0" fillId="22" borderId="0" pivotButton="0" quotePrefix="0" xfId="0"/>
    <xf numFmtId="0" fontId="33" fillId="24" borderId="0" applyAlignment="1" pivotButton="0" quotePrefix="0" xfId="0">
      <alignment vertical="top" wrapText="1"/>
    </xf>
    <xf numFmtId="0" fontId="0" fillId="24" borderId="0" pivotButton="0" quotePrefix="0" xfId="0"/>
    <xf numFmtId="0" fontId="34" fillId="0" borderId="26" applyAlignment="1" pivotButton="0" quotePrefix="0" xfId="0">
      <alignment vertical="center" wrapText="1"/>
    </xf>
    <xf numFmtId="3" fontId="35" fillId="0" borderId="26" applyAlignment="1" pivotButton="0" quotePrefix="0" xfId="0">
      <alignment horizontal="right" vertical="center"/>
    </xf>
    <xf numFmtId="3" fontId="37" fillId="0" borderId="26" applyAlignment="1" pivotButton="0" quotePrefix="0" xfId="0">
      <alignment horizontal="right" vertical="center"/>
    </xf>
    <xf numFmtId="166" fontId="38" fillId="0" borderId="26" applyAlignment="1" pivotButton="0" quotePrefix="0" xfId="0">
      <alignment horizontal="right" vertical="center"/>
    </xf>
    <xf numFmtId="3" fontId="40" fillId="0" borderId="26" applyAlignment="1" pivotButton="0" quotePrefix="0" xfId="0">
      <alignment horizontal="right" vertical="center"/>
    </xf>
    <xf numFmtId="0" fontId="36" fillId="0" borderId="0" pivotButton="0" quotePrefix="0" xfId="0"/>
    <xf numFmtId="0" fontId="39" fillId="0" borderId="0" pivotButton="0" quotePrefix="0" xfId="0"/>
    <xf numFmtId="165" fontId="37" fillId="0" borderId="26" applyAlignment="1" pivotButton="0" quotePrefix="0" xfId="0">
      <alignment horizontal="right" vertical="center"/>
    </xf>
    <xf numFmtId="167" fontId="38" fillId="0" borderId="26" applyAlignment="1" pivotButton="0" quotePrefix="0" xfId="0">
      <alignment horizontal="right" vertical="center"/>
    </xf>
    <xf numFmtId="165" fontId="35" fillId="0" borderId="26" applyAlignment="1" pivotButton="0" quotePrefix="0" xfId="0">
      <alignment horizontal="right" vertical="center"/>
    </xf>
    <xf numFmtId="3" fontId="38" fillId="0" borderId="26" applyAlignment="1" pivotButton="0" quotePrefix="0" xfId="0">
      <alignment horizontal="right" vertical="center"/>
    </xf>
    <xf numFmtId="165" fontId="40" fillId="0" borderId="26" applyAlignment="1" pivotButton="0" quotePrefix="0" xfId="0">
      <alignment horizontal="right" vertical="center"/>
    </xf>
    <xf numFmtId="165" fontId="38" fillId="0" borderId="26" applyAlignment="1" pivotButton="0" quotePrefix="0" xfId="0">
      <alignment horizontal="right" vertical="center"/>
    </xf>
    <xf numFmtId="2" fontId="35" fillId="0" borderId="26" applyAlignment="1" pivotButton="0" quotePrefix="0" xfId="0">
      <alignment horizontal="right" vertical="center"/>
    </xf>
    <xf numFmtId="0" fontId="41" fillId="25" borderId="0" applyAlignment="1" pivotButton="0" quotePrefix="0" xfId="0">
      <alignment vertical="center" wrapText="1"/>
    </xf>
    <xf numFmtId="0" fontId="0" fillId="25" borderId="0" pivotButton="0" quotePrefix="0" xfId="0"/>
    <xf numFmtId="0" fontId="42" fillId="0" borderId="0" applyAlignment="1" pivotButton="0" quotePrefix="0" xfId="0">
      <alignment vertical="center" wrapText="1"/>
    </xf>
    <xf numFmtId="49" fontId="29" fillId="0" borderId="0" applyAlignment="1" pivotButton="0" quotePrefix="0" xfId="0">
      <alignment horizontal="center" vertical="center" wrapText="1"/>
    </xf>
    <xf numFmtId="49" fontId="28" fillId="0" borderId="23" pivotButton="0" quotePrefix="0" xfId="0"/>
    <xf numFmtId="0" fontId="3" fillId="0" borderId="2" applyAlignment="1" pivotButton="0" quotePrefix="0" xfId="0">
      <alignment horizontal="left" vertical="center" wrapText="1"/>
    </xf>
    <xf numFmtId="0" fontId="0" fillId="0" borderId="25" pivotButton="0" quotePrefix="0" xfId="0"/>
    <xf numFmtId="0" fontId="0" fillId="0" borderId="15" pivotButton="0" quotePrefix="0" xfId="0"/>
    <xf numFmtId="3" fontId="3" fillId="2" borderId="1" applyAlignment="1" pivotButton="0" quotePrefix="0" xfId="0">
      <alignment horizontal="center" vertical="center"/>
    </xf>
    <xf numFmtId="4" fontId="3" fillId="2" borderId="1" applyAlignment="1" pivotButton="0" quotePrefix="0" xfId="0">
      <alignment horizontal="center" vertical="center"/>
    </xf>
    <xf numFmtId="0" fontId="3" fillId="0" borderId="23" applyAlignment="1" pivotButton="0" quotePrefix="0" xfId="0">
      <alignment horizontal="center"/>
    </xf>
    <xf numFmtId="0" fontId="2" fillId="16" borderId="18" applyAlignment="1" pivotButton="0" quotePrefix="0" xfId="0">
      <alignment horizontal="center" vertical="center" wrapText="1"/>
    </xf>
    <xf numFmtId="0" fontId="2" fillId="16" borderId="19" applyAlignment="1" pivotButton="0" quotePrefix="0" xfId="0">
      <alignment horizontal="center" vertical="center" wrapText="1"/>
    </xf>
    <xf numFmtId="3" fontId="0" fillId="0" borderId="0" applyAlignment="1" pivotButton="0" quotePrefix="0" xfId="0">
      <alignment horizontal="center" vertical="center"/>
    </xf>
    <xf numFmtId="4" fontId="0" fillId="0" borderId="0" applyAlignment="1" pivotButton="0" quotePrefix="0" xfId="0">
      <alignment horizontal="center" vertical="center"/>
    </xf>
    <xf numFmtId="164" fontId="0" fillId="0" borderId="0" applyAlignment="1" pivotButton="0" quotePrefix="0" xfId="0">
      <alignment horizontal="center" vertical="center"/>
    </xf>
    <xf numFmtId="3" fontId="2" fillId="0" borderId="1" applyAlignment="1" pivotButton="0" quotePrefix="0" xfId="0">
      <alignment horizontal="center" vertical="center" wrapText="1"/>
    </xf>
    <xf numFmtId="4" fontId="2" fillId="0" borderId="1" applyAlignment="1" pivotButton="0" quotePrefix="0" xfId="0">
      <alignment horizontal="center" vertical="center" wrapText="1"/>
    </xf>
    <xf numFmtId="164" fontId="2" fillId="0" borderId="1" applyAlignment="1" pivotButton="0" quotePrefix="0" xfId="0">
      <alignment horizontal="center" vertical="center" wrapText="1"/>
    </xf>
    <xf numFmtId="164" fontId="2" fillId="0" borderId="16" applyAlignment="1" pivotButton="0" quotePrefix="0" xfId="0">
      <alignment horizontal="center" vertical="center" wrapText="1"/>
    </xf>
    <xf numFmtId="3" fontId="2" fillId="0" borderId="21" applyAlignment="1" pivotButton="0" quotePrefix="0" xfId="0">
      <alignment horizontal="center" vertical="center" wrapText="1"/>
    </xf>
    <xf numFmtId="4" fontId="2" fillId="0" borderId="21" applyAlignment="1" pivotButton="0" quotePrefix="0" xfId="0">
      <alignment horizontal="center" vertical="center" wrapText="1"/>
    </xf>
    <xf numFmtId="164" fontId="2" fillId="0" borderId="21" applyAlignment="1" pivotButton="0" quotePrefix="0" xfId="0">
      <alignment horizontal="center" vertical="center" wrapText="1"/>
    </xf>
    <xf numFmtId="164" fontId="2" fillId="0" borderId="22" applyAlignment="1" pivotButton="0" quotePrefix="0" xfId="0">
      <alignment horizontal="center" vertical="center" wrapText="1"/>
    </xf>
    <xf numFmtId="0" fontId="5" fillId="0" borderId="2" applyAlignment="1" pivotButton="0" quotePrefix="0" xfId="0">
      <alignment horizontal="left" vertical="center" wrapText="1"/>
    </xf>
    <xf numFmtId="3" fontId="5" fillId="7" borderId="2" applyAlignment="1" pivotButton="0" quotePrefix="0" xfId="0">
      <alignment horizontal="center" vertical="center"/>
    </xf>
    <xf numFmtId="0" fontId="6" fillId="10" borderId="2" applyAlignment="1" pivotButton="0" quotePrefix="0" xfId="0">
      <alignment horizontal="center" vertical="center"/>
    </xf>
    <xf numFmtId="3" fontId="0" fillId="0" borderId="2" applyAlignment="1" pivotButton="0" quotePrefix="0" xfId="0">
      <alignment horizontal="center" vertical="center"/>
    </xf>
    <xf numFmtId="3" fontId="0" fillId="0" borderId="16" applyAlignment="1" pivotButton="0" quotePrefix="0" xfId="0">
      <alignment horizontal="center" vertical="center"/>
    </xf>
    <xf numFmtId="0" fontId="6" fillId="10" borderId="21" applyAlignment="1" pivotButton="0" quotePrefix="0" xfId="0">
      <alignment horizontal="center" vertical="center"/>
    </xf>
    <xf numFmtId="3" fontId="0" fillId="0" borderId="21" applyAlignment="1" pivotButton="0" quotePrefix="0" xfId="0">
      <alignment horizontal="center" vertical="center"/>
    </xf>
    <xf numFmtId="3" fontId="0" fillId="0" borderId="22" applyAlignment="1" pivotButton="0" quotePrefix="0" xfId="0">
      <alignment horizontal="center" vertical="center"/>
    </xf>
    <xf numFmtId="3" fontId="2" fillId="0" borderId="2" applyAlignment="1" pivotButton="0" quotePrefix="0" xfId="0">
      <alignment horizontal="center" vertical="center" wrapText="1"/>
    </xf>
    <xf numFmtId="4" fontId="2" fillId="0" borderId="2" applyAlignment="1" pivotButton="0" quotePrefix="0" xfId="0">
      <alignment horizontal="center" vertical="center" wrapText="1"/>
    </xf>
    <xf numFmtId="164" fontId="2" fillId="0" borderId="2" applyAlignment="1" pivotButton="0" quotePrefix="0" xfId="0">
      <alignment horizontal="center" vertical="center" wrapText="1"/>
    </xf>
  </cellXfs>
  <cellStyles count="2">
    <cellStyle name="Normal" xfId="0" builtinId="0"/>
    <cellStyle name="Lien hypertexte" xfId="1" builtinId="8"/>
  </cellStyles>
  <dxfs count="820">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name val="Calibri"/>
        <strike val="0"/>
        <outline val="0"/>
        <shadow val="0"/>
        <condense val="0"/>
        <color auto="1"/>
        <extend val="0"/>
        <sz val="11"/>
        <vertAlign val="baseline"/>
      </font>
      <alignment horizontal="center" vertical="center" wrapText="1"/>
    </dxf>
    <dxf>
      <border outline="0">
        <bottom style="thin">
          <color rgb="FFBFBFBF"/>
        </bottom>
      </border>
    </dxf>
    <dxf>
      <font>
        <name val="Calibri"/>
        <strike val="0"/>
        <outline val="0"/>
        <shadow val="0"/>
        <condense val="0"/>
        <color auto="1"/>
        <extend val="0"/>
        <sz val="11"/>
        <vertAlign val="baseline"/>
      </font>
      <fill>
        <patternFill patternType="solid">
          <fgColor rgb="FF91DEFF"/>
          <bgColor rgb="FF91DEFF"/>
        </patternFill>
      </fill>
      <alignment horizontal="center" vertical="center" wrapText="1"/>
      <border outline="0">
        <left style="thin">
          <color rgb="FFBFBFBF"/>
        </left>
        <right style="thin">
          <color rgb="FFBFBFBF"/>
        </right>
        <top/>
        <bottom/>
      </border>
    </dxf>
    <dxf>
      <font>
        <name val="Calibri"/>
        <strike val="0"/>
        <outline val="0"/>
        <shadow val="0"/>
        <condense val="0"/>
        <color auto="1"/>
        <extend val="0"/>
        <sz val="11"/>
        <vertAlign val="baseline"/>
      </font>
      <alignment horizontal="center" vertical="center" wrapText="1"/>
      <border>
        <left style="thin">
          <color rgb="FFBFBFBF"/>
        </left>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name val="Calibri"/>
        <strike val="0"/>
        <outline val="0"/>
        <shadow val="0"/>
        <condense val="0"/>
        <color auto="1"/>
        <extend val="0"/>
        <sz val="11"/>
        <vertAlign val="baseline"/>
      </font>
      <alignment horizontal="center" vertical="center" wrapText="1"/>
    </dxf>
    <dxf>
      <border outline="0">
        <bottom style="thin">
          <color rgb="FFBFBFBF"/>
        </bottom>
      </border>
    </dxf>
    <dxf>
      <font>
        <name val="Calibri"/>
        <strike val="0"/>
        <outline val="0"/>
        <shadow val="0"/>
        <condense val="0"/>
        <color auto="1"/>
        <extend val="0"/>
        <sz val="11"/>
        <vertAlign val="baseline"/>
      </font>
      <fill>
        <patternFill patternType="solid">
          <fgColor rgb="FFF8CBAD"/>
          <bgColor rgb="FFF8CBAD"/>
        </patternFill>
      </fill>
      <alignment horizontal="center" vertical="center" wrapText="1"/>
      <border outline="0">
        <left style="thin">
          <color rgb="FFBFBFBF"/>
        </left>
        <right style="thin">
          <color rgb="FFBFBFBF"/>
        </right>
        <top/>
        <bottom/>
      </border>
    </dxf>
    <dxf>
      <font>
        <name val="Calibri"/>
        <strike val="0"/>
        <outline val="0"/>
        <shadow val="0"/>
        <condense val="0"/>
        <color auto="1"/>
        <extend val="0"/>
        <sz val="11"/>
        <vertAlign val="baseline"/>
      </font>
      <alignment horizontal="center" vertical="center" wrapText="1"/>
      <border>
        <left style="thin">
          <color rgb="FFBFBFBF"/>
        </left>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name val="Calibri"/>
        <strike val="0"/>
        <outline val="0"/>
        <shadow val="0"/>
        <condense val="0"/>
        <color auto="1"/>
        <extend val="0"/>
        <sz val="11"/>
        <vertAlign val="baseline"/>
      </font>
      <alignment horizontal="center" vertical="center" wrapText="1"/>
    </dxf>
    <dxf>
      <border outline="0">
        <bottom style="thin">
          <color rgb="FFBFBFBF"/>
        </bottom>
      </border>
    </dxf>
    <dxf>
      <font>
        <name val="Calibri"/>
        <strike val="0"/>
        <outline val="0"/>
        <shadow val="0"/>
        <condense val="0"/>
        <color auto="1"/>
        <extend val="0"/>
        <sz val="11"/>
        <vertAlign val="baseline"/>
      </font>
      <fill>
        <patternFill patternType="solid">
          <fgColor rgb="FFF8CBAD"/>
          <bgColor rgb="FFF8CBAD"/>
        </patternFill>
      </fill>
      <alignment horizontal="center" vertical="center" wrapText="1"/>
      <border outline="0">
        <left style="thin">
          <color rgb="FFBFBFBF"/>
        </left>
        <right style="thin">
          <color rgb="FFBFBFBF"/>
        </right>
        <top/>
        <bottom/>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name val="Calibri"/>
        <strike val="0"/>
        <outline val="0"/>
        <shadow val="0"/>
        <condense val="0"/>
        <color auto="1"/>
        <extend val="0"/>
        <sz val="11"/>
        <vertAlign val="baseline"/>
      </font>
      <alignment horizontal="center" vertical="center" wrapText="1"/>
    </dxf>
    <dxf>
      <border outline="0">
        <bottom style="thin">
          <color rgb="FFBFBFBF"/>
        </bottom>
      </border>
    </dxf>
    <dxf>
      <font>
        <name val="Calibri"/>
        <strike val="0"/>
        <outline val="0"/>
        <shadow val="0"/>
        <condense val="0"/>
        <color auto="1"/>
        <extend val="0"/>
        <sz val="11"/>
        <vertAlign val="baseline"/>
      </font>
      <fill>
        <patternFill patternType="solid">
          <fgColor rgb="FFF8CBAD"/>
          <bgColor rgb="FFF8CBAD"/>
        </patternFill>
      </fill>
      <alignment horizontal="center" vertical="center" wrapText="1"/>
      <border outline="0">
        <left style="thin">
          <color rgb="FFBFBFBF"/>
        </left>
        <right style="thin">
          <color rgb="FFBFBFBF"/>
        </right>
        <top/>
        <bottom/>
      </border>
    </dxf>
    <dxf>
      <border>
        <left style="thin">
          <color rgb="FFBFBFBF"/>
        </left>
        <right/>
        <top style="thin">
          <color rgb="FFBFBFBF"/>
        </top>
        <bottom style="thin">
          <color rgb="FFBFBFBF"/>
        </bottom>
        <vertical/>
        <horizontal/>
      </border>
    </dxf>
    <dxf>
      <border>
        <left style="thin">
          <color rgb="FFBFBFBF"/>
        </left>
        <right style="thin">
          <color rgb="FFBFBFBF"/>
        </right>
        <top style="thin">
          <color rgb="FFBFBFBF"/>
        </top>
        <bottom style="thin">
          <color rgb="FFBFBFBF"/>
        </bottom>
        <vertical/>
        <horizontal/>
      </border>
    </dxf>
    <dxf>
      <border>
        <left style="thin">
          <color rgb="FFBFBFBF"/>
        </left>
        <right style="thin">
          <color rgb="FFBFBFBF"/>
        </right>
        <top style="thin">
          <color rgb="FFBFBFBF"/>
        </top>
        <bottom style="thin">
          <color rgb="FFBFBFBF"/>
        </bottom>
        <vertical/>
        <horizontal/>
      </border>
    </dxf>
    <dxf>
      <border>
        <left style="thin">
          <color rgb="FFBFBFBF"/>
        </left>
        <right style="thin">
          <color rgb="FFBFBFBF"/>
        </right>
        <top style="thin">
          <color rgb="FFBFBFBF"/>
        </top>
        <bottom style="thin">
          <color rgb="FFBFBFBF"/>
        </bottom>
        <vertical/>
        <horizontal/>
      </border>
    </dxf>
    <dxf>
      <border>
        <left style="thin">
          <color rgb="FFBFBFBF"/>
        </left>
        <right style="thin">
          <color rgb="FFBFBFBF"/>
        </right>
        <top style="thin">
          <color rgb="FFBFBFBF"/>
        </top>
        <bottom style="thin">
          <color rgb="FFBFBFBF"/>
        </bottom>
        <vertical/>
        <horizontal/>
      </border>
    </dxf>
    <dxf>
      <border>
        <left style="thin">
          <color rgb="FFBFBFBF"/>
        </left>
        <right style="thin">
          <color rgb="FFBFBFBF"/>
        </right>
        <top style="thin">
          <color rgb="FFBFBFBF"/>
        </top>
        <bottom style="thin">
          <color rgb="FFBFBFBF"/>
        </bottom>
        <vertical/>
        <horizontal/>
      </border>
    </dxf>
    <dxf>
      <border>
        <left style="thin">
          <color rgb="FFBFBFBF"/>
        </left>
        <right style="thin">
          <color rgb="FFBFBFBF"/>
        </right>
        <top style="thin">
          <color rgb="FFBFBFBF"/>
        </top>
        <bottom style="thin">
          <color rgb="FFBFBFBF"/>
        </bottom>
        <vertical/>
        <horizontal/>
      </border>
    </dxf>
    <dxf>
      <border>
        <left style="thin">
          <color rgb="FFBFBFBF"/>
        </left>
        <right style="thin">
          <color rgb="FFBFBFBF"/>
        </right>
        <top style="thin">
          <color rgb="FFBFBFBF"/>
        </top>
        <bottom style="thin">
          <color rgb="FFBFBFBF"/>
        </bottom>
        <vertical/>
        <horizontal/>
      </border>
    </dxf>
    <dxf>
      <border>
        <left style="thin">
          <color rgb="FFBFBFBF"/>
        </left>
        <right style="thin">
          <color rgb="FFBFBFBF"/>
        </right>
        <top style="thin">
          <color rgb="FFBFBFBF"/>
        </top>
        <bottom style="thin">
          <color rgb="FFBFBFBF"/>
        </bottom>
        <vertical/>
        <horizontal/>
      </border>
    </dxf>
    <dxf>
      <border>
        <left style="thin">
          <color rgb="FFBFBFBF"/>
        </left>
        <right style="thin">
          <color rgb="FFBFBFBF"/>
        </right>
        <top style="thin">
          <color rgb="FFBFBFBF"/>
        </top>
        <bottom style="thin">
          <color rgb="FFBFBFBF"/>
        </bottom>
        <vertical/>
        <horizontal/>
      </border>
    </dxf>
    <dxf>
      <border>
        <left style="thin">
          <color rgb="FFBFBFBF"/>
        </left>
        <right style="thin">
          <color rgb="FFBFBFBF"/>
        </right>
        <top style="thin">
          <color rgb="FFBFBFBF"/>
        </top>
        <bottom style="thin">
          <color rgb="FFBFBFBF"/>
        </bottom>
        <vertical/>
        <horizontal/>
      </border>
    </dxf>
    <dxf>
      <border>
        <left style="thin">
          <color rgb="FFBFBFBF"/>
        </left>
        <right style="thin">
          <color rgb="FFBFBFBF"/>
        </right>
        <top style="thin">
          <color rgb="FFBFBFBF"/>
        </top>
        <bottom style="thin">
          <color rgb="FFBFBFBF"/>
        </bottom>
        <vertical/>
        <horizontal/>
      </border>
    </dxf>
    <dxf>
      <border>
        <left style="thin">
          <color rgb="FFBFBFBF"/>
        </left>
        <right style="thin">
          <color rgb="FFBFBFBF"/>
        </right>
        <top style="thin">
          <color rgb="FFBFBFBF"/>
        </top>
        <bottom style="thin">
          <color rgb="FFBFBFBF"/>
        </bottom>
        <vertical/>
        <horizontal/>
      </border>
    </dxf>
    <dxf>
      <border>
        <left style="thin">
          <color rgb="FFBFBFBF"/>
        </left>
        <right style="thin">
          <color rgb="FFBFBFBF"/>
        </right>
        <top style="thin">
          <color rgb="FFBFBFBF"/>
        </top>
        <bottom style="thin">
          <color rgb="FFBFBFBF"/>
        </bottom>
        <vertical/>
        <horizontal/>
      </border>
    </dxf>
    <dxf>
      <border>
        <left style="thin">
          <color rgb="FFBFBFBF"/>
        </left>
        <right style="thin">
          <color rgb="FFBFBFBF"/>
        </right>
        <top style="thin">
          <color rgb="FFBFBFBF"/>
        </top>
        <bottom style="thin">
          <color rgb="FFBFBFBF"/>
        </bottom>
        <vertical/>
        <horizontal/>
      </border>
    </dxf>
    <dxf>
      <border>
        <left style="thin">
          <color rgb="FFBFBFBF"/>
        </left>
        <right style="thin">
          <color rgb="FFBFBFBF"/>
        </right>
        <top style="thin">
          <color rgb="FFBFBFBF"/>
        </top>
        <bottom style="thin">
          <color rgb="FFBFBFBF"/>
        </bottom>
        <vertical/>
        <horizontal/>
      </border>
    </dxf>
    <dxf>
      <border>
        <left style="thin">
          <color rgb="FFBFBFBF"/>
        </left>
        <right style="thin">
          <color rgb="FFBFBFBF"/>
        </right>
        <top style="thin">
          <color rgb="FFBFBFBF"/>
        </top>
        <bottom style="thin">
          <color rgb="FFBFBFBF"/>
        </bottom>
        <vertical/>
        <horizontal/>
      </border>
    </dxf>
    <dxf>
      <border>
        <left style="thin">
          <color rgb="FFBFBFBF"/>
        </left>
        <right style="thin">
          <color rgb="FFBFBFBF"/>
        </right>
        <top style="thin">
          <color rgb="FFBFBFBF"/>
        </top>
        <bottom style="thin">
          <color rgb="FFBFBFBF"/>
        </bottom>
        <vertical/>
        <horizontal/>
      </border>
    </dxf>
    <dxf>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border outline="0">
        <bottom style="thin">
          <color rgb="FFBFBFBF"/>
        </bottom>
      </border>
    </dxf>
    <dxf>
      <font>
        <name val="Calibri"/>
        <strike val="0"/>
        <outline val="0"/>
        <shadow val="0"/>
        <condense val="0"/>
        <color auto="1"/>
        <extend val="0"/>
        <sz val="11"/>
        <vertAlign val="baseline"/>
      </font>
      <fill>
        <patternFill patternType="solid">
          <fgColor rgb="FF91DEFF"/>
          <bgColor rgb="FF91DEFF"/>
        </patternFill>
      </fill>
      <alignment horizontal="center" vertical="center" wrapText="1"/>
      <border outline="0">
        <left style="thin">
          <color rgb="FFBFBFBF"/>
        </left>
        <right style="thin">
          <color rgb="FFBFBFBF"/>
        </right>
        <top/>
        <bottom/>
      </border>
    </dxf>
    <dxf>
      <font>
        <name val="Calibri"/>
        <strike val="0"/>
        <outline val="0"/>
        <shadow val="0"/>
        <condense val="0"/>
        <color auto="1"/>
        <extend val="0"/>
        <sz val="11"/>
        <vertAlign val="baseline"/>
      </font>
      <alignment horizontal="center" vertical="center" wrapText="1"/>
      <border>
        <left style="thin">
          <color rgb="FFBFBFBF"/>
        </left>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name val="Calibri"/>
        <strike val="0"/>
        <outline val="0"/>
        <shadow val="0"/>
        <condense val="0"/>
        <color auto="1"/>
        <extend val="0"/>
        <sz val="11"/>
        <vertAlign val="baseline"/>
      </font>
      <alignment horizontal="center" vertical="center" wrapText="1"/>
    </dxf>
    <dxf>
      <border outline="0">
        <bottom style="thin">
          <color rgb="FFBFBFBF"/>
        </bottom>
      </border>
    </dxf>
    <dxf>
      <font>
        <name val="Calibri"/>
        <strike val="0"/>
        <outline val="0"/>
        <shadow val="0"/>
        <condense val="0"/>
        <color auto="1"/>
        <extend val="0"/>
        <sz val="11"/>
        <vertAlign val="baseline"/>
      </font>
      <fill>
        <patternFill patternType="solid">
          <fgColor rgb="FF91DEFF"/>
          <bgColor rgb="FF91DEFF"/>
        </patternFill>
      </fill>
      <alignment horizontal="center" vertical="center" wrapText="1"/>
      <border outline="0">
        <left style="thin">
          <color rgb="FFBFBFBF"/>
        </left>
        <right style="thin">
          <color rgb="FFBFBFBF"/>
        </right>
        <top/>
        <bottom/>
      </border>
    </dxf>
    <dxf>
      <font>
        <name val="Calibri"/>
        <strike val="0"/>
        <outline val="0"/>
        <shadow val="0"/>
        <condense val="0"/>
        <color auto="1"/>
        <extend val="0"/>
        <sz val="11"/>
        <vertAlign val="baseline"/>
      </font>
      <alignment horizontal="center" vertical="center" wrapText="1"/>
      <border>
        <left style="thin">
          <color rgb="FFBFBFBF"/>
        </left>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name val="Calibri"/>
        <strike val="0"/>
        <outline val="0"/>
        <shadow val="0"/>
        <condense val="0"/>
        <color auto="1"/>
        <extend val="0"/>
        <sz val="11"/>
        <vertAlign val="baseline"/>
      </font>
      <alignment horizontal="center" vertical="center" wrapText="1"/>
    </dxf>
    <dxf>
      <border outline="0">
        <bottom style="thin">
          <color rgb="FFBFBFBF"/>
        </bottom>
      </border>
    </dxf>
    <dxf>
      <font>
        <name val="Calibri"/>
        <strike val="0"/>
        <outline val="0"/>
        <shadow val="0"/>
        <condense val="0"/>
        <color auto="1"/>
        <extend val="0"/>
        <sz val="11"/>
        <vertAlign val="baseline"/>
      </font>
      <fill>
        <patternFill patternType="solid">
          <fgColor rgb="FF91DEFF"/>
          <bgColor rgb="FF91DEFF"/>
        </patternFill>
      </fill>
      <alignment horizontal="center" vertical="center" wrapText="1"/>
      <border outline="0">
        <left style="thin">
          <color rgb="FFBFBFBF"/>
        </left>
        <right style="thin">
          <color rgb="FFBFBFBF"/>
        </right>
        <top/>
        <bottom/>
      </border>
    </dxf>
    <dxf>
      <font>
        <name val="Calibri"/>
        <strike val="0"/>
        <outline val="0"/>
        <shadow val="0"/>
        <condense val="0"/>
        <color auto="1"/>
        <extend val="0"/>
        <sz val="11"/>
        <vertAlign val="baseline"/>
      </font>
      <alignment horizontal="center" vertical="center" wrapText="1"/>
      <border>
        <left style="thin">
          <color rgb="FFBFBFBF"/>
        </left>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name val="Calibri"/>
        <strike val="0"/>
        <outline val="0"/>
        <shadow val="0"/>
        <condense val="0"/>
        <color auto="1"/>
        <extend val="0"/>
        <sz val="11"/>
        <vertAlign val="baseline"/>
      </font>
      <alignment horizontal="center" vertical="center" wrapText="1"/>
    </dxf>
    <dxf>
      <border outline="0">
        <bottom style="thin">
          <color rgb="FFBFBFBF"/>
        </bottom>
      </border>
    </dxf>
    <dxf>
      <font>
        <name val="Calibri"/>
        <strike val="0"/>
        <outline val="0"/>
        <shadow val="0"/>
        <condense val="0"/>
        <color auto="1"/>
        <extend val="0"/>
        <sz val="11"/>
        <vertAlign val="baseline"/>
      </font>
      <fill>
        <patternFill patternType="solid">
          <fgColor rgb="FFF8CBAD"/>
          <bgColor rgb="FFF8CBAD"/>
        </patternFill>
      </fill>
      <alignment horizontal="center" vertical="center" wrapText="1"/>
      <border outline="0">
        <left style="thin">
          <color rgb="FFBFBFBF"/>
        </left>
        <right style="thin">
          <color rgb="FFBFBFBF"/>
        </right>
        <top/>
        <bottom/>
      </border>
    </dxf>
    <dxf>
      <font>
        <name val="Calibri"/>
        <strike val="0"/>
        <outline val="0"/>
        <shadow val="0"/>
        <condense val="0"/>
        <color auto="1"/>
        <extend val="0"/>
        <sz val="11"/>
        <vertAlign val="baseline"/>
      </font>
      <alignment horizontal="center" vertical="center" wrapText="1"/>
      <border>
        <left style="thin">
          <color rgb="FFBFBFBF"/>
        </left>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name val="Calibri"/>
        <strike val="0"/>
        <outline val="0"/>
        <shadow val="0"/>
        <condense val="0"/>
        <color auto="1"/>
        <extend val="0"/>
        <sz val="11"/>
        <vertAlign val="baseline"/>
      </font>
      <alignment horizontal="center" vertical="center" wrapText="1"/>
    </dxf>
    <dxf>
      <border outline="0">
        <bottom style="thin">
          <color rgb="FFBFBFBF"/>
        </bottom>
      </border>
    </dxf>
    <dxf>
      <font>
        <name val="Calibri"/>
        <strike val="0"/>
        <outline val="0"/>
        <shadow val="0"/>
        <condense val="0"/>
        <color auto="1"/>
        <extend val="0"/>
        <sz val="11"/>
        <vertAlign val="baseline"/>
      </font>
      <fill>
        <patternFill patternType="solid">
          <fgColor rgb="FFF8CBAD"/>
          <bgColor rgb="FFF8CBAD"/>
        </patternFill>
      </fill>
      <alignment horizontal="center" vertical="center" wrapText="1"/>
      <border outline="0">
        <left style="thin">
          <color rgb="FFBFBFBF"/>
        </left>
        <right style="thin">
          <color rgb="FFBFBFBF"/>
        </right>
        <top/>
        <bottom/>
      </border>
    </dxf>
    <dxf>
      <font>
        <name val="Calibri"/>
        <strike val="0"/>
        <outline val="0"/>
        <shadow val="0"/>
        <condense val="0"/>
        <color auto="1"/>
        <extend val="0"/>
        <sz val="11"/>
        <vertAlign val="baseline"/>
      </font>
      <alignment horizontal="center" vertical="center" wrapText="1"/>
      <border>
        <left style="thin">
          <color rgb="FFBFBFBF"/>
        </left>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name val="Calibri"/>
        <strike val="0"/>
        <outline val="0"/>
        <shadow val="0"/>
        <condense val="0"/>
        <color auto="1"/>
        <extend val="0"/>
        <sz val="11"/>
        <vertAlign val="baseline"/>
      </font>
      <alignment horizontal="center" vertical="center" wrapText="1"/>
    </dxf>
    <dxf>
      <border outline="0">
        <bottom style="thin">
          <color rgb="FFBFBFBF"/>
        </bottom>
      </border>
    </dxf>
    <dxf>
      <font>
        <name val="Calibri"/>
        <strike val="0"/>
        <outline val="0"/>
        <shadow val="0"/>
        <condense val="0"/>
        <color auto="1"/>
        <extend val="0"/>
        <sz val="11"/>
        <vertAlign val="baseline"/>
      </font>
      <fill>
        <patternFill patternType="solid">
          <fgColor rgb="FFF8CBAD"/>
          <bgColor rgb="FFF8CBAD"/>
        </patternFill>
      </fill>
      <alignment horizontal="center" vertical="center" wrapText="1"/>
      <border outline="0">
        <left style="thin">
          <color rgb="FFBFBFBF"/>
        </left>
        <right style="thin">
          <color rgb="FFBFBFBF"/>
        </right>
        <top/>
        <bottom/>
      </border>
    </dxf>
    <dxf>
      <font>
        <name val="Calibri"/>
        <strike val="0"/>
        <outline val="0"/>
        <shadow val="0"/>
        <condense val="0"/>
        <color auto="1"/>
        <extend val="0"/>
        <sz val="11"/>
        <vertAlign val="baseline"/>
      </font>
      <alignment horizontal="center" vertical="center" wrapText="1"/>
      <border>
        <left style="thin">
          <color rgb="FFBFBFBF"/>
        </left>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strike val="0"/>
        <outline val="0"/>
        <shadow val="0"/>
        <condense val="0"/>
        <color auto="1"/>
        <extend val="0"/>
        <sz val="11"/>
        <vertAlign val="baseline"/>
      </font>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name val="Calibri"/>
        <strike val="0"/>
        <outline val="0"/>
        <shadow val="0"/>
        <condense val="0"/>
        <color auto="1"/>
        <extend val="0"/>
        <sz val="11"/>
        <vertAlign val="baseline"/>
      </font>
      <alignment horizontal="center" vertical="center" wrapText="1"/>
    </dxf>
    <dxf>
      <border outline="0">
        <bottom style="thin">
          <color rgb="FFBFBFBF"/>
        </bottom>
      </border>
    </dxf>
    <dxf>
      <font>
        <name val="Calibri"/>
        <strike val="0"/>
        <outline val="0"/>
        <shadow val="0"/>
        <condense val="0"/>
        <color auto="1"/>
        <extend val="0"/>
        <sz val="11"/>
        <vertAlign val="baseline"/>
      </font>
      <fill>
        <patternFill patternType="solid">
          <fgColor rgb="FFF8CBAD"/>
          <bgColor rgb="FFF8CBAD"/>
        </patternFill>
      </fill>
      <alignment horizontal="center" vertical="center" wrapText="1"/>
      <border outline="0">
        <left style="thin">
          <color rgb="FFBFBFBF"/>
        </left>
        <right style="thin">
          <color rgb="FFBFBFBF"/>
        </right>
        <top/>
        <bottom/>
      </bord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outline="0">
        <left style="thin">
          <color rgb="FFBFBFBF"/>
        </left>
        <right/>
        <top style="thin">
          <color rgb="FFBFBFBF"/>
        </top>
        <bottom style="thin">
          <color rgb="FFBFBFBF"/>
        </bottom>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style="thin">
          <color rgb="FFBFBFBF"/>
        </left>
        <right style="thin">
          <color rgb="FFBFBFBF"/>
        </right>
        <top style="thin">
          <color rgb="FFBFBFBF"/>
        </top>
        <bottom style="thin">
          <color rgb="FFBFBFBF"/>
        </bottom>
        <vertical/>
        <horizontal/>
      </border>
    </dxf>
    <dxf>
      <font>
        <name val="Calibri"/>
        <b val="1"/>
        <strike val="0"/>
        <outline val="0"/>
        <shadow val="0"/>
        <condense val="0"/>
        <color auto="1"/>
        <extend val="0"/>
        <sz val="11"/>
        <vertAlign val="baseline"/>
      </font>
      <fill>
        <patternFill patternType="solid">
          <fgColor rgb="FFF2F2F2"/>
          <bgColor rgb="FFF2F2F2"/>
        </patternFill>
      </fill>
      <alignment horizontal="center" vertical="center" wrapText="1"/>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name val="Calibri"/>
        <strike val="0"/>
        <outline val="0"/>
        <shadow val="0"/>
        <condense val="0"/>
        <color auto="1"/>
        <extend val="0"/>
        <sz val="11"/>
        <vertAlign val="baseline"/>
      </font>
      <alignment horizontal="center" vertical="center" wrapText="1"/>
    </dxf>
    <dxf>
      <border outline="0">
        <bottom style="thin">
          <color rgb="FFBFBFBF"/>
        </bottom>
      </border>
    </dxf>
    <dxf>
      <font>
        <name val="Calibri"/>
        <strike val="0"/>
        <outline val="0"/>
        <shadow val="0"/>
        <condense val="0"/>
        <color auto="1"/>
        <extend val="0"/>
        <sz val="11"/>
        <vertAlign val="baseline"/>
      </font>
      <fill>
        <patternFill patternType="solid">
          <fgColor rgb="FFF8CBAD"/>
          <bgColor rgb="FFF8CBAD"/>
        </patternFill>
      </fill>
      <alignment horizontal="center" vertical="center" wrapText="1"/>
      <border outline="0">
        <left style="thin">
          <color rgb="FFBFBFBF"/>
        </left>
        <right style="thin">
          <color rgb="FFBFBFBF"/>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Tableau1" displayName="Tableau1" ref="A2:BT40" headerRowCount="1" totalsRowShown="0" headerRowDxfId="819" dataDxfId="817" headerRowBorderDxfId="818" tableBorderDxfId="816" totalsRowBorderDxfId="815">
  <autoFilter ref="A2:BT40"/>
  <tableColumns count="72">
    <tableColumn id="1" name="Mairies de quartiers" dataDxfId="814"/>
    <tableColumn id="2" name="Grands quartiers" dataDxfId="813"/>
    <tableColumn id="3" name="Libellé de l'Iris" dataDxfId="812"/>
    <tableColumn id="4" name="Population" dataDxfId="811"/>
    <tableColumn id="5" name="Pop 0-2 ans" dataDxfId="810"/>
    <tableColumn id="6" name="Pop 3-5 ans" dataDxfId="809"/>
    <tableColumn id="7" name="Pop 6-10 ans" dataDxfId="808"/>
    <tableColumn id="8" name="Pop 11-17 ans" dataDxfId="807" dataCellStyle="Normal"/>
    <tableColumn id="9" name="Pop 18-24 ans" dataDxfId="806" dataCellStyle="Normal"/>
    <tableColumn id="10" name="Pop 25-39 ans" dataDxfId="805" dataCellStyle="Normal"/>
    <tableColumn id="11" name="Pop 40-54 ans" dataDxfId="804" dataCellStyle="Normal"/>
    <tableColumn id="12" name="Pop 55-64 ans" dataDxfId="803" dataCellStyle="Normal"/>
    <tableColumn id="13" name="Pop 65-79 ans" dataDxfId="802" dataCellStyle="Normal"/>
    <tableColumn id="14" name="Pop 80 ans ou plus" dataDxfId="801" dataCellStyle="Normal"/>
    <tableColumn id="15" name="Pop 0-14 ans" dataDxfId="800" dataCellStyle="Normal"/>
    <tableColumn id="16" name="Pop 0-19 ans" dataDxfId="799" dataCellStyle="Normal"/>
    <tableColumn id="17" name="Pop 20-64 ans" dataDxfId="798" dataCellStyle="Normal"/>
    <tableColumn id="18" name="Pop 65 ans ou plus" dataDxfId="797" dataCellStyle="Normal"/>
    <tableColumn id="19" name="Pop Hommes" dataDxfId="796" dataCellStyle="Normal"/>
    <tableColumn id="20" name="Pop Hommes 0-14 ans" dataDxfId="795" dataCellStyle="Normal"/>
    <tableColumn id="21" name="Pop Hommes 0-19 ans" dataDxfId="794" dataCellStyle="Normal"/>
    <tableColumn id="22" name="Pop Hommes 20-64 ans" dataDxfId="793" dataCellStyle="Normal"/>
    <tableColumn id="23" name="Pop Hommes 65 ans ou plus" dataDxfId="792" dataCellStyle="Normal"/>
    <tableColumn id="24" name="Pop Femmes" dataDxfId="791" dataCellStyle="Normal"/>
    <tableColumn id="25" name="Pop Femmes 0-14 ans" dataDxfId="790" dataCellStyle="Normal"/>
    <tableColumn id="26" name="Pop Femmes 0-19 ans" dataDxfId="789" dataCellStyle="Normal"/>
    <tableColumn id="27" name="Pop Femmes 20-64 ans" dataDxfId="788" dataCellStyle="Normal"/>
    <tableColumn id="28" name="Pop Femmes 65 ans ou plus" dataDxfId="787" dataCellStyle="Normal"/>
    <tableColumn id="29" name="Pop 15 ans ou plus" dataDxfId="786" dataCellStyle="Normal"/>
    <tableColumn id="30" name="Pop 15 ans ou plus Agriculteurs exploitants" dataDxfId="785" dataCellStyle="Normal"/>
    <tableColumn id="31" name="Pop 15 ans ou plus Artisans, Comm., Chefs entr." dataDxfId="784" dataCellStyle="Normal"/>
    <tableColumn id="32" name="Pop 15 ans ou plus Cadres, Prof. intel. sup." dataDxfId="783" dataCellStyle="Normal"/>
    <tableColumn id="33" name="Pop 15 ans ou plus Prof. intermédiaires" dataDxfId="782" dataCellStyle="Normal"/>
    <tableColumn id="34" name="Pop 15 ans ou plus Employés" dataDxfId="781" dataCellStyle="Normal"/>
    <tableColumn id="35" name="Pop 15 ans ou plus Ouvriers" dataDxfId="780" dataCellStyle="Normal"/>
    <tableColumn id="36" name="Pop 15 ans ou plus Retraités" dataDxfId="779" dataCellStyle="Normal"/>
    <tableColumn id="37" name="Pop 15 ans ou plus Autres" dataDxfId="778" dataCellStyle="Normal"/>
    <tableColumn id="38" name="Pop 15 ans ou plus Hommes" dataDxfId="777" dataCellStyle="Normal"/>
    <tableColumn id="39" name="Pop 15 ans ou plus Hommes Agriculteurs exploitants" dataDxfId="776" dataCellStyle="Normal"/>
    <tableColumn id="40" name="Pop 15 ans ou plus Hommes Artisans, Comm., Chefs entr." dataDxfId="775" dataCellStyle="Normal"/>
    <tableColumn id="41" name="Pop 15 ans ou plus Hommes Cadres, Prof. intel. sup." dataDxfId="774" dataCellStyle="Normal"/>
    <tableColumn id="42" name="Pop 15 ans ou plus Hommes Prof. intermédiaires" dataDxfId="773" dataCellStyle="Normal"/>
    <tableColumn id="43" name="Pop 15 ans ou plus Hommes Employés" dataDxfId="772" dataCellStyle="Normal"/>
    <tableColumn id="44" name="Pop 15 ans ou plus Hommes Ouvriers" dataDxfId="771" dataCellStyle="Normal"/>
    <tableColumn id="45" name="Pop 15 ans ou plus Hommes Retraités" dataDxfId="770" dataCellStyle="Normal"/>
    <tableColumn id="46" name="Pop 15 ans ou plus Hommes Autres" dataDxfId="769" dataCellStyle="Normal"/>
    <tableColumn id="47" name="Pop 15 ans ou plus Femmes" dataDxfId="768" dataCellStyle="Normal"/>
    <tableColumn id="48" name="Pop 15 ans ou plus Femmes Agriculteurs exploitants" dataDxfId="767" dataCellStyle="Normal"/>
    <tableColumn id="49" name="Pop 15 ans ou plus Femmes Artisans, Comm., Chefs entr." dataDxfId="766" dataCellStyle="Normal"/>
    <tableColumn id="50" name="Pop 15 ans ou plus Femmes Cadres, Prof. intel. sup." dataDxfId="765" dataCellStyle="Normal"/>
    <tableColumn id="51" name="Pop 15 ans ou plus Femmes Prof. intermédiaires" dataDxfId="764" dataCellStyle="Normal"/>
    <tableColumn id="52" name="Pop 15 ans ou plus Femmes Employés" dataDxfId="763" dataCellStyle="Normal"/>
    <tableColumn id="53" name="Pop 15 ans ou plus Femmes Ouvriers" dataDxfId="762" dataCellStyle="Normal"/>
    <tableColumn id="54" name="Pop 15 ans ou plus Femmes Retraités" dataDxfId="761" dataCellStyle="Normal"/>
    <tableColumn id="55" name="Pop 15 ans ou plus Femmes Autres" dataDxfId="760" dataCellStyle="Normal"/>
    <tableColumn id="56" name="Pop Français" dataDxfId="759" dataCellStyle="Normal"/>
    <tableColumn id="57" name="Pop Etrangers" dataDxfId="758" dataCellStyle="Normal"/>
    <tableColumn id="58" name="Pop Immigrés" dataDxfId="757" dataCellStyle="Normal"/>
    <tableColumn id="59" name="Pop ménages" dataDxfId="756" dataCellStyle="Normal"/>
    <tableColumn id="60" name="Pop hors ménages" dataDxfId="755" dataCellStyle="Normal"/>
    <tableColumn id="61" name="Pop 15-24 ans" dataDxfId="754" dataCellStyle="Normal"/>
    <tableColumn id="62" name="Pop 15-24 ans Hommes" dataDxfId="753" dataCellStyle="Normal"/>
    <tableColumn id="63" name="Pop 15-24 ans Femmes" dataDxfId="752" dataCellStyle="Normal"/>
    <tableColumn id="64" name="Superficie en km²" dataDxfId="751" dataCellStyle="Normal"/>
    <tableColumn id="65" name="Superficie en hectares (POP)" dataDxfId="750" dataCellStyle="Normal"/>
    <tableColumn id="66" name="Densité de population en hab/km²" dataDxfId="749" dataCellStyle="Normal"/>
    <tableColumn id="67" name="Part de la population de l’IRIS dans la population totale (%)" dataDxfId="748" dataCellStyle="Normal"/>
    <tableColumn id="68" name="Densité d’habitants à l’hectare" dataDxfId="747" dataCellStyle="Normal"/>
    <tableColumn id="69" name="Part de la population de moins de 20 ans (%) parmi la population iris" dataDxfId="746" dataCellStyle="Normal"/>
    <tableColumn id="70" name="Indice de vieillissement" dataDxfId="745" dataCellStyle="Normal"/>
    <tableColumn id="71" name="Part de la population étrangère parmi la population iris (%)" dataDxfId="744" dataCellStyle="Normal"/>
    <tableColumn id="72" name="Part de la population immigrée parmi la population iris (%)" dataDxfId="743" dataCellStyle="Normal"/>
  </tableColumns>
  <tableStyleInfo showFirstColumn="0" showLastColumn="0" showRowStripes="1" showColumnStripes="0"/>
</table>
</file>

<file path=xl/tables/table2.xml><?xml version="1.0" encoding="utf-8"?>
<table xmlns="http://schemas.openxmlformats.org/spreadsheetml/2006/main" id="2" name="Tableau2" displayName="Tableau2" ref="A2:CU40" headerRowCount="1" totalsRowShown="0" headerRowDxfId="723" dataDxfId="721" headerRowBorderDxfId="722" tableBorderDxfId="720" totalsRowBorderDxfId="719">
  <autoFilter ref="A2:CU40"/>
  <tableColumns count="99">
    <tableColumn id="1" name="Mairies de quartiers" dataDxfId="718"/>
    <tableColumn id="2" name="Grands quartiers" dataDxfId="717"/>
    <tableColumn id="3" name="Libellé de l'Iris" dataDxfId="716"/>
    <tableColumn id="4" name="Pop 15-64 ans" dataDxfId="715"/>
    <tableColumn id="5" name="Pop 15-24 ans" dataDxfId="714"/>
    <tableColumn id="6" name="Pop 25-54 ans" dataDxfId="713"/>
    <tableColumn id="7" name="Pop 55-64 ans" dataDxfId="712"/>
    <tableColumn id="8" name="Pop 15-64 ans Hommes" dataDxfId="711"/>
    <tableColumn id="9" name="Pop 15-24 ans Hommes" dataDxfId="710"/>
    <tableColumn id="10" name="Pop 25-54 ans Hommes" dataDxfId="709"/>
    <tableColumn id="11" name="Pop 55-64 ans Hommes" dataDxfId="708"/>
    <tableColumn id="12" name="Pop 15-64 ans Femmes" dataDxfId="707"/>
    <tableColumn id="13" name="Pop 15-24 ans Femmes" dataDxfId="706"/>
    <tableColumn id="14" name="Pop 25-54 ans Femmes" dataDxfId="705"/>
    <tableColumn id="15" name="Pop 55-64 ans Femmes" dataDxfId="704"/>
    <tableColumn id="16" name="Actifs 15-64 ans" dataDxfId="703"/>
    <tableColumn id="17" name="Actifs 15-24 ans" dataDxfId="702"/>
    <tableColumn id="18" name="Actifs 25-54 ans" dataDxfId="701"/>
    <tableColumn id="19" name="Actifs 55-64 ans" dataDxfId="700"/>
    <tableColumn id="20" name="Actifs 15-64 ans Hommes" dataDxfId="699"/>
    <tableColumn id="21" name="Actifs 15-24 ans Hommes" dataDxfId="698"/>
    <tableColumn id="22" name="Actifs 25-54 ans Hommes" dataDxfId="697"/>
    <tableColumn id="23" name="Actifs 55-64 ans Hommes" dataDxfId="696"/>
    <tableColumn id="24" name="Actifs 15-64 ans Femmes" dataDxfId="695"/>
    <tableColumn id="25" name="Actifs 15-24 ans Femmes" dataDxfId="694"/>
    <tableColumn id="26" name="Actifs 25-54 ans Femmes" dataDxfId="693"/>
    <tableColumn id="27" name="Actifs 55-64 ans Femmes" dataDxfId="692"/>
    <tableColumn id="28" name="Actifs occupés 15-64 ans" dataDxfId="691"/>
    <tableColumn id="29" name="Actifs occupés 15-24 ans" dataDxfId="690"/>
    <tableColumn id="30" name="Actifs occupés 25-54 ans" dataDxfId="689"/>
    <tableColumn id="31" name="Actifs occupés 55-64 ans" dataDxfId="688"/>
    <tableColumn id="32" name="Actifs occupés 15-64 ans Hommes" dataDxfId="687"/>
    <tableColumn id="33" name="Actifs occupés 15-24 ans Hommes" dataDxfId="686"/>
    <tableColumn id="34" name="Actifs occupés 25-54 ans Hommes" dataDxfId="685"/>
    <tableColumn id="35" name="Actifs occupés 55-64 ans Hommes" dataDxfId="684"/>
    <tableColumn id="36" name="Actifs occupés 15-64 ans Femmes" dataDxfId="683"/>
    <tableColumn id="37" name="Actifs occupés 15-24 ans Femmes" dataDxfId="682"/>
    <tableColumn id="38" name="Actifs occupés 25-54 ans Femmes" dataDxfId="681"/>
    <tableColumn id="39" name="Actifs occupés 55-64 ans Femmes" dataDxfId="680"/>
    <tableColumn id="40" name="Chômeurs 15-64 ans" dataDxfId="679"/>
    <tableColumn id="41" name="Chômeurs 15-24 ans" dataDxfId="678"/>
    <tableColumn id="42" name="Chômeurs 25-54 ans" dataDxfId="677"/>
    <tableColumn id="43" name="Chômeurs 55-64 ans" dataDxfId="676"/>
    <tableColumn id="44" name="Inactifs 15-64 ans" dataDxfId="675"/>
    <tableColumn id="45" name="Elèv. Etud. Stag. non rémunérés 15-64 ans" dataDxfId="674"/>
    <tableColumn id="46" name="Retraités Préretraités 15-64 ans" dataDxfId="673"/>
    <tableColumn id="47" name="Autres inactifs 15-64 ans" dataDxfId="672"/>
    <tableColumn id="48" name="Actifs 15-64 ans Agriculteurs exploitants" dataDxfId="671"/>
    <tableColumn id="49" name="Actifs 15-64 ans Artisans, Comm., Chefs entr." dataDxfId="670"/>
    <tableColumn id="50" name="Actifs 15-64 ans Cadres, Prof. intel. sup." dataDxfId="669"/>
    <tableColumn id="51" name="Actifs 15-64 ans Prof. intermédiaires" dataDxfId="668"/>
    <tableColumn id="52" name="Actifs 15-64 ans Employés" dataDxfId="667"/>
    <tableColumn id="53" name="Actifs 15-64 ans Ouvriers" dataDxfId="666"/>
    <tableColumn id="54" name="Actifs occ 15-64 ans Agriculteurs exploitants" dataDxfId="665"/>
    <tableColumn id="55" name="Actifs occ 15-64 ans Artisans, Comm., Chefs entr." dataDxfId="664"/>
    <tableColumn id="56" name="Actifs occ 15-64 ans Cadres Prof. intel. sup." dataDxfId="663"/>
    <tableColumn id="57" name="Actifs occ 15-64 ans Prof. intermédiaires" dataDxfId="662"/>
    <tableColumn id="58" name="Actifs occupés 15-64 ans Employés" dataDxfId="661"/>
    <tableColumn id="59" name="Actifs occupés 15-64 ans Ouvriers" dataDxfId="660"/>
    <tableColumn id="60" name="Actifs occupés 15 ans ou plus" dataDxfId="659"/>
    <tableColumn id="61" name="Actifs occupés 15 ans ou plus Hommes" dataDxfId="658"/>
    <tableColumn id="62" name="Actifs occupés 15 ans ou plus Femmes" dataDxfId="657"/>
    <tableColumn id="63" name="Salariés 15 ans ou plus" dataDxfId="656"/>
    <tableColumn id="64" name="Salariés 15 ans ou plus Hommes" dataDxfId="655"/>
    <tableColumn id="65" name="Salariés 15 ans ou plus Femmes" dataDxfId="654"/>
    <tableColumn id="66" name="Non-salariés 15 ans ou plus" dataDxfId="653"/>
    <tableColumn id="67" name="Non-salariés 15 ans ou plus Hommes" dataDxfId="652"/>
    <tableColumn id="68" name="Non-salariés 15 ans ou plus Femmes" dataDxfId="651"/>
    <tableColumn id="69" name="Actifs occ 15 ans ou plus TP" dataDxfId="650"/>
    <tableColumn id="70" name="Salariés 15 ans ou plus TP" dataDxfId="649"/>
    <tableColumn id="71" name="Salariés 15 ans ou plus TP Hommes" dataDxfId="648"/>
    <tableColumn id="72" name="Salariés 15 ans ou plus TP Femmes" dataDxfId="647"/>
    <tableColumn id="73" name="Non-salariés 15 ans ou plus TP" dataDxfId="646"/>
    <tableColumn id="74" name="Salariés 15 ans ou plus Fonct publ, CDI" dataDxfId="645"/>
    <tableColumn id="75" name="Actif occ 15 ans ou plus travaille commune résidence" dataDxfId="644"/>
    <tableColumn id="76" name="Actif occ 15 ans ou plus travaille autre commune que commune résidence" dataDxfId="643"/>
    <tableColumn id="77" name="Actif occ 15 ans ou plus travaille autre commune même dépt résidence" dataDxfId="642"/>
    <tableColumn id="78" name="Actif occ 15 ans ou plus travaille autre dépt même région résidence" dataDxfId="641"/>
    <tableColumn id="79" name="Actif occ 15 ans ou plus travaille autre région en métropole" dataDxfId="640"/>
    <tableColumn id="80" name="Actif occ 15 ans ou plus travaille autre région hors métropole" dataDxfId="639"/>
    <tableColumn id="81" name="Actifs occ 15 ans ou plus pas de transport pour travail" dataDxfId="638"/>
    <tableColumn id="82" name="Actifs occ 15 ans ou plus marche à pied pour travail" dataDxfId="637"/>
    <tableColumn id="83" name="Actifs occ 15 ans ou plus vélo" dataDxfId="636"/>
    <tableColumn id="84" name="Actifs occ 15 ans ou plus deux-roues motorisé" dataDxfId="635"/>
    <tableColumn id="85" name="Actifs occ 15 ans ou plus voiture" dataDxfId="634"/>
    <tableColumn id="86" name="Actifs occ 15 ans ou plus transport en commun" dataDxfId="633"/>
    <tableColumn id="87" name="Superficie en km²" dataDxfId="632"/>
    <tableColumn id="88" name="Population (ACT RES)" dataDxfId="631"/>
    <tableColumn id="89" name="Part de la population en âge de travailler (%)" dataDxfId="630"/>
    <tableColumn id="90" name="Part de la population active dans la population en âge de travailler (%)" dataDxfId="629"/>
    <tableColumn id="91" name="Part des actifs 15-24 ans (%)" dataDxfId="628"/>
    <tableColumn id="92" name="Taux d’emploi des 15-64 ans (%)" dataDxfId="627"/>
    <tableColumn id="93" name="Taux d’emploi des 15-24 ans (%)" dataDxfId="626"/>
    <tableColumn id="94" name="Taux de chômage dans la pop active (%)" dataDxfId="625"/>
    <tableColumn id="95" name="Taux de chômage chez les 15-24 ans dans la pop active (%)" dataDxfId="624"/>
    <tableColumn id="96" name="Part salariés chez les actifs occupés (%)" dataDxfId="623"/>
    <tableColumn id="97" name="Part des femmes chez les salariés de 15 ans et plus (%)" dataDxfId="622"/>
    <tableColumn id="98" name="Part des actifs occupés salariés en CDI ou fonction publique (%)" dataDxfId="621"/>
    <tableColumn id="99" name="Part des actifs occupés travaillant dans la commune de résidence (%)" dataDxfId="620"/>
  </tableColumns>
  <tableStyleInfo showFirstColumn="0" showLastColumn="0" showRowStripes="1" showColumnStripes="0"/>
</table>
</file>

<file path=xl/tables/table3.xml><?xml version="1.0" encoding="utf-8"?>
<table xmlns="http://schemas.openxmlformats.org/spreadsheetml/2006/main" id="3" name="Tableau3" displayName="Tableau3" ref="A2:BI40" headerRowCount="1" totalsRowShown="0" headerRowDxfId="586" dataDxfId="584" headerRowBorderDxfId="585" tableBorderDxfId="583" totalsRowBorderDxfId="582">
  <autoFilter ref="A2:BI40"/>
  <tableColumns count="61">
    <tableColumn id="1" name="Mairies de quartiers" dataDxfId="581"/>
    <tableColumn id="2" name="Grands quartiers" dataDxfId="580"/>
    <tableColumn id="3" name="Libellé de l'Iris" dataDxfId="579"/>
    <tableColumn id="4" name="Ménages" dataDxfId="578"/>
    <tableColumn id="5" name="Ménages 1 personne" dataDxfId="577"/>
    <tableColumn id="6" name="Ménages Hommes seuls" dataDxfId="576"/>
    <tableColumn id="7" name="Ménages Femmes seules" dataDxfId="575"/>
    <tableColumn id="8" name="Ménages Autres sans famille" dataDxfId="574"/>
    <tableColumn id="9" name="Ménages avec famille(s)" dataDxfId="573"/>
    <tableColumn id="10" name="Mén fam princ Couple sans enfant" dataDxfId="572"/>
    <tableColumn id="11" name="Mén fam princ Couple avec enfant(s)" dataDxfId="571"/>
    <tableColumn id="12" name="Mén fam princ Famille mono" dataDxfId="570"/>
    <tableColumn id="13" name="Pop Ménages" dataDxfId="569"/>
    <tableColumn id="14" name="Pop mén Personnes seules" dataDxfId="568"/>
    <tableColumn id="15" name="Pop mén Hommes seuls" dataDxfId="567"/>
    <tableColumn id="16" name="Pop mén Femmes seules" dataDxfId="566"/>
    <tableColumn id="17" name="Pop mén Autres sans famille" dataDxfId="565"/>
    <tableColumn id="18" name="Pop mén avec famille(s)" dataDxfId="564"/>
    <tableColumn id="19" name="Pop mén fam princ Couple sans enfant" dataDxfId="563"/>
    <tableColumn id="20" name="Pop mén fam princ Couple avec enfant(s)" dataDxfId="562"/>
    <tableColumn id="21" name="Pop mén fam princ Famille mono" dataDxfId="561"/>
    <tableColumn id="22" name="Pop 15 ans ou plus mariée" dataDxfId="560"/>
    <tableColumn id="23" name="Pop 15 ans ou plus pacsée" dataDxfId="559"/>
    <tableColumn id="24" name="Pop 15 ans ou plus en concubinage ou union libre" dataDxfId="558"/>
    <tableColumn id="25" name="Pop 15 ans ou plus veuves ou veufs" dataDxfId="557"/>
    <tableColumn id="26" name="Pop 15 ans ou plus divorcée" dataDxfId="556"/>
    <tableColumn id="27" name="Pop 15 ans ou plus célibataire" dataDxfId="555"/>
    <tableColumn id="28" name="Ménages Pers Réf Agri. expl." dataDxfId="554"/>
    <tableColumn id="29" name="Ménages Pers Réf Art. Comm. Chef entr." dataDxfId="553"/>
    <tableColumn id="30" name="Ménages Pers Réf Cadre Prof int sup" dataDxfId="552"/>
    <tableColumn id="31" name="Ménages Pers Réf Prof intermédiaire" dataDxfId="551"/>
    <tableColumn id="32" name="Ménages Pers Réf Employé" dataDxfId="550"/>
    <tableColumn id="33" name="Ménages Pers Réf Ouvrier" dataDxfId="549"/>
    <tableColumn id="34" name="Ménages Pers Réf Retraité" dataDxfId="548"/>
    <tableColumn id="35" name="Ménages Pers Réf Autre" dataDxfId="547"/>
    <tableColumn id="36" name="Pop mén Pers Réf Agri. expl." dataDxfId="546"/>
    <tableColumn id="37" name="Pop mén Pers Réf Art Com Chef entr." dataDxfId="545"/>
    <tableColumn id="38" name="Pop mén Pers Réf Cadre Prof int sup" dataDxfId="544"/>
    <tableColumn id="39" name="Pop mén Pers Réf Prof intermédiaire" dataDxfId="543"/>
    <tableColumn id="40" name="Pop mén Pers Réf Employé" dataDxfId="542"/>
    <tableColumn id="41" name="Pop mén Pers Réf Ouvrier" dataDxfId="541"/>
    <tableColumn id="42" name="Pop mén Pers Réf Retraité" dataDxfId="540"/>
    <tableColumn id="43" name="Pop mén Pers Réf Autre" dataDxfId="539"/>
    <tableColumn id="44" name="Familles" dataDxfId="538"/>
    <tableColumn id="45" name="Fam Couple avec enfant(s)" dataDxfId="537"/>
    <tableColumn id="46" name="Fam Monoparentales" dataDxfId="536"/>
    <tableColumn id="47" name="Fam Couple sans enfant" dataDxfId="535"/>
    <tableColumn id="48" name="Fam 0 enfant moins 25 ans" dataDxfId="534"/>
    <tableColumn id="49" name="Fam 1 enfant moins 25 ans" dataDxfId="533"/>
    <tableColumn id="50" name="Fam 2 enfants moins 25 ans" dataDxfId="532"/>
    <tableColumn id="51" name="Fam 3 enfants moins 25 ans" dataDxfId="531"/>
    <tableColumn id="52" name="Fam 4 enfants ou plus moins 25 ans" dataDxfId="530"/>
    <tableColumn id="53" name="Fam Couple avec uniq enfant(s) Couple" dataDxfId="529"/>
    <tableColumn id="54" name="Fam Couple avec mini 1 enfant 1 des 2 Couple" dataDxfId="528"/>
    <tableColumn id="55" name="Superficie en km²" dataDxfId="527"/>
    <tableColumn id="56" name="Part des ménages avec famille(s) (%)" dataDxfId="526"/>
    <tableColumn id="57" name="Part des ménages famille couple avec enfant(s) (%)" dataDxfId="525"/>
    <tableColumn id="58" name="Part des familles couple avec enfant(s) (%)" dataDxfId="524"/>
    <tableColumn id="59" name="Part de familles monoparentales (%)" dataDxfId="523"/>
    <tableColumn id="60" name="Nombre de familles nombreuses" dataDxfId="522"/>
    <tableColumn id="61" name="Part de familles nombreuses (%)" dataDxfId="521"/>
  </tableColumns>
  <tableStyleInfo showFirstColumn="0" showLastColumn="0" showRowStripes="1" showColumnStripes="0"/>
</table>
</file>

<file path=xl/tables/table4.xml><?xml version="1.0" encoding="utf-8"?>
<table xmlns="http://schemas.openxmlformats.org/spreadsheetml/2006/main" id="4" name="Tableau4" displayName="Tableau4" ref="A2:AK40" headerRowCount="1" totalsRowShown="0" headerRowDxfId="491" dataDxfId="489" headerRowBorderDxfId="490" tableBorderDxfId="488" totalsRowBorderDxfId="487">
  <autoFilter ref="A2:AK40"/>
  <tableColumns count="37">
    <tableColumn id="1" name="Mairies de quartiers" dataDxfId="486"/>
    <tableColumn id="2" name="Grands quartiers" dataDxfId="485"/>
    <tableColumn id="3" name="Libellé de l'Iris" dataDxfId="484"/>
    <tableColumn id="4" name="Pop 2-5 ans" dataDxfId="483"/>
    <tableColumn id="5" name="Pop 6-10 ans" dataDxfId="482"/>
    <tableColumn id="6" name="Pop 11-14 ans" dataDxfId="481"/>
    <tableColumn id="7" name="Pop 15-17 ans" dataDxfId="480"/>
    <tableColumn id="8" name="Pop 18-24 ans" dataDxfId="479"/>
    <tableColumn id="9" name="Pop 25-29 ans" dataDxfId="478"/>
    <tableColumn id="10" name="Pop 30 ans ou plus" dataDxfId="477"/>
    <tableColumn id="11" name="Pop scolarisée 2-5 ans" dataDxfId="476"/>
    <tableColumn id="12" name="Pop scolarisée 6-10 ans" dataDxfId="475"/>
    <tableColumn id="13" name="Pop scolarisée 11-14 ans" dataDxfId="474"/>
    <tableColumn id="14" name="Pop scolarisée 15-17 ans" dataDxfId="473"/>
    <tableColumn id="15" name="Pop scolarisée 18-24 ans" dataDxfId="472"/>
    <tableColumn id="16" name="Pop scolarisée 25-29 ans" dataDxfId="471"/>
    <tableColumn id="17" name="Pop scolarisée 30 ans ou plus" dataDxfId="470"/>
    <tableColumn id="18" name="Pop 15 ans ou plus non scolarisée" dataDxfId="469"/>
    <tableColumn id="19" name="Pop 15 ans ou plus non scol. Sans diplôme ou CEP" dataDxfId="468"/>
    <tableColumn id="20" name="Pop 15 ans ou plus non scol. BEPC, brevet des collèges, DNB" dataDxfId="467"/>
    <tableColumn id="21" name="Pop 15 ans ou plus non scol. CAP-BEP ou équiv." dataDxfId="466"/>
    <tableColumn id="22" name="Pop 15 ans ou plus non scol. Bac, brevet pro. ou équiv." dataDxfId="465"/>
    <tableColumn id="23" name="Pop 15 ans ou plus non scol. Enseignement sup de niveau bac + 2" dataDxfId="464"/>
    <tableColumn id="24" name="Pop 15 ans ou plus non scol. Enseignement sup de niveau bac + 3 ou 4" dataDxfId="463"/>
    <tableColumn id="25" name="Pop 15 ans ou plus non scol. Enseignement sup de niveau bac + 5 ou plus" dataDxfId="462"/>
    <tableColumn id="26" name="Hommes 15 ans ou plus non scolarisée" dataDxfId="461"/>
    <tableColumn id="27" name="Hommes 15 ans ou plus non scol. Sans diplôme ou CEP" dataDxfId="460"/>
    <tableColumn id="28" name="Hommes 15 ans ou plus non scol. CAP-BEP ou équiv." dataDxfId="459"/>
    <tableColumn id="29" name="Hommes 15 ans ou plus non scol. Bac, brevet pro. ou équiv." dataDxfId="458"/>
    <tableColumn id="30" name="Femmes 15 ans ou plus non scolarisée" dataDxfId="457"/>
    <tableColumn id="31" name="Femmes 15 ans ou plus non scol. Sans diplôme ou CEP" dataDxfId="456"/>
    <tableColumn id="32" name="Femmes 15 ans ou plus non scol. CAP-BEP ou équiv." dataDxfId="455"/>
    <tableColumn id="33" name="Femmes 15 ans ou plus non scol. Bac, brevet pro. ou équiv." dataDxfId="454"/>
    <tableColumn id="34" name="Superficie en km²" dataDxfId="453"/>
    <tableColumn id="35" name="Part pop 15 ans et plus non scol sans dip ou CEP max (%)" dataDxfId="452"/>
    <tableColumn id="36" name="Pop 15 ans ou plus non scol dipl Ens Sup" dataDxfId="451"/>
    <tableColumn id="37" name="Part pop 15 ans et plus non scol dipl Ens Sup (%)" dataDxfId="450"/>
  </tableColumns>
  <tableStyleInfo showFirstColumn="0" showLastColumn="0" showRowStripes="1" showColumnStripes="0"/>
</table>
</file>

<file path=xl/tables/table5.xml><?xml version="1.0" encoding="utf-8"?>
<table xmlns="http://schemas.openxmlformats.org/spreadsheetml/2006/main" id="5" name="Tableau5" displayName="Tableau5" ref="A2:BU40" headerRowCount="1" totalsRowShown="0" headerRowDxfId="437" dataDxfId="435" headerRowBorderDxfId="436" tableBorderDxfId="434" totalsRowBorderDxfId="433">
  <autoFilter ref="A2:BU40"/>
  <tableColumns count="73">
    <tableColumn id="1" name="Mairies de quartiers" dataDxfId="432"/>
    <tableColumn id="2" name="Grands quartiers" dataDxfId="431"/>
    <tableColumn id="3" name="Libellé de l'Iris" dataDxfId="430"/>
    <tableColumn id="4" name="Logements" dataDxfId="429"/>
    <tableColumn id="5" name="Résidences principales" dataDxfId="428"/>
    <tableColumn id="6" name="Rés secondaires et logts occasionnels" dataDxfId="427"/>
    <tableColumn id="7" name="Logements vacants" dataDxfId="426"/>
    <tableColumn id="8" name="Maisons" dataDxfId="425"/>
    <tableColumn id="9" name="Appartements" dataDxfId="424"/>
    <tableColumn id="10" name="Rés princ 1 pièce" dataDxfId="423"/>
    <tableColumn id="11" name="Rés princ 2 pièces" dataDxfId="422"/>
    <tableColumn id="12" name="Rés princ 3 pièces" dataDxfId="421"/>
    <tableColumn id="13" name="Rés princ 4 pièces" dataDxfId="420"/>
    <tableColumn id="14" name="Rés princ 5 pièces ou plus" dataDxfId="419"/>
    <tableColumn id="15" name="Rés princ de moins de 30 m2" dataDxfId="418"/>
    <tableColumn id="16" name="Rés princ de 30 à moins de 40 m2" dataDxfId="417"/>
    <tableColumn id="17" name="Rés princ de 40 à moins de 60 m2" dataDxfId="416"/>
    <tableColumn id="18" name="Rés princ de 60 à moins de 80 m2" dataDxfId="415"/>
    <tableColumn id="19" name="Rés princ de 80 à moins de 100 m2" dataDxfId="414"/>
    <tableColumn id="20" name="Rés princ de 100 à moins de 120 m2" dataDxfId="413"/>
    <tableColumn id="21" name="Rés princ de 120 m2 ou plus" dataDxfId="412"/>
    <tableColumn id="22" name="Rés princ avt 1919" dataDxfId="411"/>
    <tableColumn id="23" name="Rés princ 1919 à 1945" dataDxfId="410"/>
    <tableColumn id="24" name="Rés princ 1946 à 1970" dataDxfId="409"/>
    <tableColumn id="25" name="Rés princ 1971 à 1990" dataDxfId="408"/>
    <tableColumn id="26" name="Rés princ 1991 à 2005" dataDxfId="407"/>
    <tableColumn id="27" name="Rés princ 2006 à 2019" dataDxfId="406"/>
    <tableColumn id="28" name="Ménages" dataDxfId="405"/>
    <tableColumn id="29" name="Ménages emménagés moins 2 ans" dataDxfId="404"/>
    <tableColumn id="30" name="Ménages emménagés entre 2-4 ans" dataDxfId="403"/>
    <tableColumn id="31" name="Ménages emménagés entre 5-9 ans" dataDxfId="402"/>
    <tableColumn id="32" name="Ménages emménagés depuis 10 ans ou plus" dataDxfId="401"/>
    <tableColumn id="33" name="Pop Ménages" dataDxfId="400"/>
    <tableColumn id="34" name="Rés princ occupées Propriétaires" dataDxfId="399"/>
    <tableColumn id="35" name="Rés princ occupées Locataires" dataDxfId="398"/>
    <tableColumn id="36" name="Rés princ HLM louée vide" dataDxfId="397"/>
    <tableColumn id="37" name="Rés princ logé gratuit" dataDxfId="396"/>
    <tableColumn id="38" name="nombre de résidences principales avec combustible principal de chauffage gaz de ville - réseau de chaleur" dataDxfId="395"/>
    <tableColumn id="39" name="nombre de résidences principales avec combustible principal de chauffage fioul" dataDxfId="394"/>
    <tableColumn id="40" name="nombre de résidences principales avec combustible principal de chauffage électricité" dataDxfId="393"/>
    <tableColumn id="41" name="nombre de résidences principales avec combustible principal de chauffage gaz en bouteilles ou citerne" dataDxfId="392"/>
    <tableColumn id="42" name="nombre de résidences principales avec combustible principal de chauffage autres" dataDxfId="391"/>
    <tableColumn id="43" name="Ménages au moins un parking" dataDxfId="390"/>
    <tableColumn id="44" name="Ménages au moins une voiture" dataDxfId="389"/>
    <tableColumn id="45" name="Ménages une voiture" dataDxfId="388"/>
    <tableColumn id="46" name="Ménages deux voitures ou plus" dataDxfId="387"/>
    <tableColumn id="47" name="résidences principales en occupation dans la norm" dataDxfId="386"/>
    <tableColumn id="48" name="résidences principales en sous-occupation modérée" dataDxfId="385"/>
    <tableColumn id="49" name="résidences principales en sous-occupation accentuée" dataDxfId="384"/>
    <tableColumn id="50" name="résidences principales en sous-occupation très accentuée" dataDxfId="383"/>
    <tableColumn id="51" name="résidences principales en suroccupation modérée" dataDxfId="382"/>
    <tableColumn id="52" name="résidences principales en suroccupation accentuée" dataDxfId="381"/>
    <tableColumn id="53" name="Superficie en km²" dataDxfId="380"/>
    <tableColumn id="54" name="Superficie en hectares (LOG)" dataDxfId="379"/>
    <tableColumn id="55" name="Densité de logements au km²" dataDxfId="378"/>
    <tableColumn id="56" name="Densité de logements par hectare" dataDxfId="377"/>
    <tableColumn id="57" name="Part des logements vacants (%)" dataDxfId="376"/>
    <tableColumn id="58" name="Part des logements individuels (%)" dataDxfId="375"/>
    <tableColumn id="59" name="Nombre de RP de petite typologie" dataDxfId="374"/>
    <tableColumn id="60" name="Part des RP de petite typologie (%)" dataDxfId="373"/>
    <tableColumn id="61" name="Nombre de RP de grande typologie" dataDxfId="372"/>
    <tableColumn id="62" name="Part des RP de grande typologie (%)" dataDxfId="371"/>
    <tableColumn id="63" name="Part des ménages emménagés depuis moins de 2 ans (%)" dataDxfId="370"/>
    <tableColumn id="64" name="Ménages emménagés moins 10 ans" dataDxfId="369"/>
    <tableColumn id="65" name="Part des ménages emménagés depuis moins de 10 ans (%)" dataDxfId="368"/>
    <tableColumn id="66" name="Taille moyenne des ménages" dataDxfId="367"/>
    <tableColumn id="67" name="Nombre de RP parc privé" dataDxfId="366"/>
    <tableColumn id="68" name="Part propriétaire dans les RP parc privé (%)" dataDxfId="365"/>
    <tableColumn id="69" name="Part propriétaire dans le parc de RP total (%)" dataDxfId="364"/>
    <tableColumn id="70" name="Part HLM dans RP totale (%)" dataDxfId="363"/>
    <tableColumn id="71" name="Part HLM dans les RP locataires (%)" dataDxfId="362"/>
    <tableColumn id="72" name="Part des ménages avec parking (%)" dataDxfId="361"/>
    <tableColumn id="73" name="Part des ménages avec au moins une voiture (%)" dataDxfId="360"/>
  </tableColumns>
  <tableStyleInfo showFirstColumn="0" showLastColumn="0" showRowStripes="1" showColumnStripes="0"/>
</table>
</file>

<file path=xl/tables/table6.xml><?xml version="1.0" encoding="utf-8"?>
<table xmlns="http://schemas.openxmlformats.org/spreadsheetml/2006/main" id="6" name="Tableau8" displayName="Tableau8" ref="A2:V40" headerRowCount="1" totalsRowShown="0" headerRowDxfId="237" headerRowBorderDxfId="236" tableBorderDxfId="235" totalsRowBorderDxfId="234">
  <autoFilter ref="A2:V40"/>
  <tableColumns count="22">
    <tableColumn id="1" name="Mairies de qartiers" dataDxfId="233"/>
    <tableColumn id="2" name="Quartiers SIG (Grands quartiers)" dataDxfId="232"/>
    <tableColumn id="3" name="Libellé de l'Iris" dataDxfId="231"/>
    <tableColumn id="4" name="Age : 0" dataDxfId="230"/>
    <tableColumn id="5" name="Age : 1" dataDxfId="229"/>
    <tableColumn id="6" name="Age : 2" dataDxfId="228"/>
    <tableColumn id="7" name="Age : 3" dataDxfId="227"/>
    <tableColumn id="8" name="Age : 4" dataDxfId="226"/>
    <tableColumn id="9" name="Age : 5" dataDxfId="225"/>
    <tableColumn id="10" name="Age : 6" dataDxfId="224"/>
    <tableColumn id="11" name="Age : 7" dataDxfId="223"/>
    <tableColumn id="12" name="Age : 8" dataDxfId="222"/>
    <tableColumn id="13" name="Age : 9" dataDxfId="221"/>
    <tableColumn id="14" name="Age : 10" dataDxfId="220"/>
    <tableColumn id="15" name="Age : 11" dataDxfId="219"/>
    <tableColumn id="16" name="Age : 12" dataDxfId="218"/>
    <tableColumn id="17" name="Age : 13" dataDxfId="217"/>
    <tableColumn id="18" name="Age : 14" dataDxfId="216"/>
    <tableColumn id="19" name="Age : 15" dataDxfId="215"/>
    <tableColumn id="20" name="Age : 16" dataDxfId="214"/>
    <tableColumn id="21" name="Age : 17" dataDxfId="213"/>
    <tableColumn id="22" name="TOTAL 0-17" dataDxfId="212"/>
  </tableColumns>
  <tableStyleInfo showFirstColumn="0" showLastColumn="0" showRowStripes="1" showColumnStripes="0"/>
</table>
</file>

<file path=xl/tables/table7.xml><?xml version="1.0" encoding="utf-8"?>
<table xmlns="http://schemas.openxmlformats.org/spreadsheetml/2006/main" id="7" name="Tableau9" displayName="Tableau9" ref="A2:AE40" headerRowCount="1" totalsRowShown="0" headerRowDxfId="206" dataDxfId="204" headerRowBorderDxfId="205" tableBorderDxfId="203" totalsRowBorderDxfId="202">
  <autoFilter ref="A2:AE40"/>
  <tableColumns count="31">
    <tableColumn id="1" name="Mairies de quartiers" dataDxfId="201"/>
    <tableColumn id="2" name="Grands quartiers" dataDxfId="200"/>
    <tableColumn id="3" name="Libellé de l'Iris" dataDxfId="199"/>
    <tableColumn id="4" name="Nombre total d'allocataires" dataDxfId="198"/>
    <tableColumn id="5" name="Personnes couvertes" dataDxfId="197"/>
    <tableColumn id="6" name="Allocataires isolés sans enfant" dataDxfId="196"/>
    <tableColumn id="7" name="Allocataires mono-parent" dataDxfId="195"/>
    <tableColumn id="8" name="Allocataires couples sans enfant" dataDxfId="194"/>
    <tableColumn id="9" name="Allocataires couples avec enfant(s)" dataDxfId="193"/>
    <tableColumn id="10" name="Allocataires couples avec au moins 3 enfants à charge" dataDxfId="192"/>
    <tableColumn id="11" name="Enfants couverts par au moins une prestation Caf" dataDxfId="191"/>
    <tableColumn id="12" name="Enfants de moins de 3 ans" dataDxfId="190"/>
    <tableColumn id="13" name="Enfants de 3 à moins de 6 ans" dataDxfId="189"/>
    <tableColumn id="14" name="Enfants de 6 à moins de 11 ans" dataDxfId="188"/>
    <tableColumn id="15" name="Enfants de 11 à moins de 15 ans" dataDxfId="187"/>
    <tableColumn id="16" name="Enfants de 15 à moins de 18 ans" dataDxfId="186"/>
    <tableColumn id="17" name="Enfants de 18 à moins de 25 ans" dataDxfId="185"/>
    <tableColumn id="18" name="Allocataires étudiants" dataDxfId="184"/>
    <tableColumn id="19" name="Allocataires de moins de 25 ans non étudiants" dataDxfId="183"/>
    <tableColumn id="20" name="Allocataires percevant une aide au logement" dataDxfId="182"/>
    <tableColumn id="21" name="Allocataires percevant l’Aide Personnalisée au Logement (Métropole)" dataDxfId="181"/>
    <tableColumn id="22" name="Allocataires percevant l’Allocation Adulte Handicapé" dataDxfId="180"/>
    <tableColumn id="23" name="Allocataires percevant la prime d'activité" dataDxfId="179"/>
    <tableColumn id="24" name="Allocataires percevant le RSA socle" dataDxfId="178"/>
    <tableColumn id="25" name="Superficie en km²" dataDxfId="177"/>
    <tableColumn id="26" name="Population (CAF)" dataDxfId="176"/>
    <tableColumn id="27" name="Part de la population couverte par une allocation CAF (%)" dataDxfId="175"/>
    <tableColumn id="28" name="Part des allocataires mono-parent (%)" dataDxfId="174"/>
    <tableColumn id="29" name="Part des allocataires percevant l’APL (%)" dataDxfId="173"/>
    <tableColumn id="30" name="Part des allocataires percevant l’AAH (%)" dataDxfId="172"/>
    <tableColumn id="31" name="Part des allocataires bénéficiant du RSA socle (%)" dataDxfId="171"/>
  </tableColumns>
  <tableStyleInfo showFirstColumn="0" showLastColumn="0" showRowStripes="1" showColumnStripes="0"/>
</table>
</file>

<file path=xl/tables/table8.xml><?xml version="1.0" encoding="utf-8"?>
<table xmlns="http://schemas.openxmlformats.org/spreadsheetml/2006/main" id="8" name="Tableau10" displayName="Tableau10" ref="A2:AC40" headerRowCount="1" totalsRowShown="0" headerRowDxfId="166" dataDxfId="164" headerRowBorderDxfId="165" tableBorderDxfId="163" totalsRowBorderDxfId="162">
  <autoFilter ref="A2:AC40"/>
  <tableColumns count="29">
    <tableColumn id="1" name="Mairies de quartiers" dataDxfId="161"/>
    <tableColumn id="2" name="Grands quartiers" dataDxfId="160"/>
    <tableColumn id="3" name="Libellé de l'Iris" dataDxfId="159"/>
    <tableColumn id="4" name="Population couverte" dataDxfId="158"/>
    <tableColumn id="5" name="Hommes" dataDxfId="157"/>
    <tableColumn id="6" name="Femmes" dataDxfId="156"/>
    <tableColumn id="7" name="Moins de 18 ans" dataDxfId="155"/>
    <tableColumn id="8" name="de 18 ans à moins de 25 ans" dataDxfId="154"/>
    <tableColumn id="9" name="de 25 ans à moins de 50 ans" dataDxfId="153"/>
    <tableColumn id="10" name="de 50 ans à moins de 60 ans" dataDxfId="152"/>
    <tableColumn id="11" name="de 60 ans à moins de 75 ans" dataDxfId="151"/>
    <tableColumn id="12" name="75 ans ou plus" dataDxfId="150"/>
    <tableColumn id="13" name="Population couverte bénéficiaire de la C2S non participative" dataDxfId="149"/>
    <tableColumn id="14" name="Hommes bénéficiaires de la C2S non participative" dataDxfId="148"/>
    <tableColumn id="15" name="Femmes bénéficiaires de la C2S non participative" dataDxfId="147"/>
    <tableColumn id="16" name="Bénéficiaires de la C2S non participative de moins de 18 ans" dataDxfId="146"/>
    <tableColumn id="17" name="Bénéficiaires de la C2S non participative de 18 ans à moins de 25 ans" dataDxfId="145"/>
    <tableColumn id="18" name="Bénéficiaires de la C2S non participative de 25 ans à moins de 50 ans" dataDxfId="144"/>
    <tableColumn id="19" name="Bénéficiaires de la C2S non participative de 50 ans à moins de 60 ans" dataDxfId="143"/>
    <tableColumn id="20" name="Bénéficiaires de la C2S non participative de 60 ans ou plus" dataDxfId="142"/>
    <tableColumn id="21" name="Population couverte bénéficiaire de la C2S participative" dataDxfId="141"/>
    <tableColumn id="22" name="Hommes bénéficiaires de la C2S participative" dataDxfId="140"/>
    <tableColumn id="23" name="Femmes bénéficiaires de la C2S participative" dataDxfId="139"/>
    <tableColumn id="24" name="Bénéficiaires de la C2S participative de moins de 18 ans" dataDxfId="138"/>
    <tableColumn id="25" name="Bénéficiaires de la C2S participative de 18 ans à moins de 25 ans" dataDxfId="137"/>
    <tableColumn id="26" name="Bénéficiaires de la C2S participative de 25 ans à moins de 50 ans" dataDxfId="136"/>
    <tableColumn id="27" name="Bénéficiaires de la C2S participative de 50 ans à moins de 60 ans" dataDxfId="135"/>
    <tableColumn id="28" name="Bénéficiaires de la C2S participative de 60 ans ou plus" dataDxfId="134"/>
    <tableColumn id="29" name="Superficie en km²" dataDxfId="133"/>
  </tableColumns>
  <tableStyleInfo showFirstColumn="0" showLastColumn="0" showRowStripes="1" showColumnStripes="0"/>
</table>
</file>

<file path=xl/tables/table9.xml><?xml version="1.0" encoding="utf-8"?>
<table xmlns="http://schemas.openxmlformats.org/spreadsheetml/2006/main" id="9" name="Tableau11" displayName="Tableau11" ref="A2:BO40" headerRowCount="1" totalsRowShown="0" headerRowDxfId="122" dataDxfId="120" headerRowBorderDxfId="121" tableBorderDxfId="119" totalsRowBorderDxfId="118">
  <autoFilter ref="A2:BO40"/>
  <tableColumns count="67">
    <tableColumn id="1" name="Mairies de quartiers" dataDxfId="117"/>
    <tableColumn id="2" name="Grands quartiers" dataDxfId="116"/>
    <tableColumn id="3" name="Libellé de l'Iris" dataDxfId="115"/>
    <tableColumn id="4" name="DEFM" dataDxfId="114"/>
    <tableColumn id="5" name="DEFM hommes" dataDxfId="113"/>
    <tableColumn id="6" name="DEFM femmes" dataDxfId="112"/>
    <tableColumn id="7" name="DEFM catégories ABC" dataDxfId="111"/>
    <tableColumn id="8" name="DEFM hommes catégories ABC" dataDxfId="110"/>
    <tableColumn id="9" name="DEFM femmes catégories ABC" dataDxfId="109"/>
    <tableColumn id="10" name="DEFM hommes catégorie A" dataDxfId="108"/>
    <tableColumn id="11" name="DEFM femmes catégorie A" dataDxfId="107"/>
    <tableColumn id="12" name="DEFM catégories ABC moins de 26 ans" dataDxfId="106"/>
    <tableColumn id="13" name="DEFM hommes catégories ABC moins de 26 ans" dataDxfId="105"/>
    <tableColumn id="14" name="DEFM femmes catégories ABC moins de 26 ans" dataDxfId="104"/>
    <tableColumn id="15" name="DEFM catégories ABC de 26 ans à moins de 50 ans" dataDxfId="103"/>
    <tableColumn id="16" name="DEFM hommes catégories ABC de 26 ans à moins de 50 ans" dataDxfId="102"/>
    <tableColumn id="17" name="DEFM femmes catégories ABC de 26 ans à moins de 50 ans" dataDxfId="101"/>
    <tableColumn id="18" name="DEFM catégories ABC de 50 ans et plus" dataDxfId="100"/>
    <tableColumn id="19" name="DEFM hommes catégories ABC de 50 ans et plus" dataDxfId="99"/>
    <tableColumn id="20" name="DEFM femmes catégories ABC de 50 ans et plus" dataDxfId="98"/>
    <tableColumn id="21" name="DEFM catégories ABC nationalité française" dataDxfId="97"/>
    <tableColumn id="22" name="DEFM catégories ABC nationalité étrangère" dataDxfId="96"/>
    <tableColumn id="23" name="DEFM catégories ABC de niveau de formation inférieur au CAP-BEP" dataDxfId="95"/>
    <tableColumn id="24" name="DEFM hommes catégories ABC de niveau de formation inférieur au CAP-BEP" dataDxfId="94"/>
    <tableColumn id="25" name="DEFM femmes catégories ABC de niveau de formation inférieur au CAP-BEP" dataDxfId="93"/>
    <tableColumn id="26" name="DEFM catégories ABC de niveau de formation CAP-BEP" dataDxfId="92"/>
    <tableColumn id="27" name="DEFM hommes catégories ABC de niveau de formation CAP-BEP" dataDxfId="91"/>
    <tableColumn id="28" name="DEFM femmes catégories ABC de niveau de formation CAP-BEP" dataDxfId="90"/>
    <tableColumn id="29" name="DEFM catégories ABC de niveau de formation BAC" dataDxfId="89"/>
    <tableColumn id="30" name="DEFM hommes catégories ABC de niveau de formation BAC" dataDxfId="88"/>
    <tableColumn id="31" name="DEFM femmes catégories ABC de niveau de formation BAC" dataDxfId="87"/>
    <tableColumn id="32" name="DEFM catégories ABC de niveau de formation supérieur au BAC" dataDxfId="86"/>
    <tableColumn id="33" name="DEFM hommes catégories ABC de niveau de formation supérieur au BAC" dataDxfId="85"/>
    <tableColumn id="34" name="DEFM femmes catégories ABC de niveau de formation supérieur au BAC" dataDxfId="84"/>
    <tableColumn id="35" name="DEFM catégories ABC d'ancienneté au chômage de moins de 6 mois" dataDxfId="83"/>
    <tableColumn id="36" name="DEFM hommes catégories ABC d'ancienneté au chômage de moins de 6 mois" dataDxfId="82"/>
    <tableColumn id="37" name="DEFM femmes catégories ABC d'ancienneté au chômage de moins de 6 mois" dataDxfId="81"/>
    <tableColumn id="38" name="DEFM catégories ABC d'ancienneté au chômage de 6 mois à moins d'1 an" dataDxfId="80"/>
    <tableColumn id="39" name="DEFM hommes catégories ABC d'ancienneté au chômage de 6 mois à moins d'1 an" dataDxfId="79"/>
    <tableColumn id="40" name="DEFM femmes catégories ABC d'ancienneté au chômage de 6 mois à moins d'1 an" dataDxfId="78"/>
    <tableColumn id="41" name="DEFM catégories ABC d'ancienneté au chômage de 1 an à moins de 2 ans" dataDxfId="77"/>
    <tableColumn id="42" name="DEFM hommes catégories ABC d'ancienneté au chômage de 1 an à moins de 2 ans" dataDxfId="76"/>
    <tableColumn id="43" name="DEFM femmes catégories ABC d'ancienneté au chômage de 1 an à moins de 2 ans" dataDxfId="75"/>
    <tableColumn id="44" name="DEFM catégories ABC d'ancienneté au chômage d'au moins 2 ans" dataDxfId="74"/>
    <tableColumn id="45" name="DEFM hommes catégories ABC d'ancienneté au chômage d'au moins 2 ans" dataDxfId="73"/>
    <tableColumn id="46" name="DEFM femmes catégories ABC d'ancienneté au chômage d'au moins 2 ans" dataDxfId="72"/>
    <tableColumn id="47" name="DEFM catégories ABC dont le motif d'inscription est une 1ère entrée sur le marché du travail" dataDxfId="71"/>
    <tableColumn id="48" name="DEFM catégories ABC dont le motif d'inscription est un licenciement" dataDxfId="70"/>
    <tableColumn id="49" name="DEFM catégories ABC dont le motif d'inscription est une fin de CDD" dataDxfId="69"/>
    <tableColumn id="50" name="DEFM catégories ABC dont le motif d'inscription est une fin de mission d'intérim" dataDxfId="68"/>
    <tableColumn id="51" name="DEFM catégories ABC dont le motif d'inscription est autre" dataDxfId="67"/>
    <tableColumn id="52" name="DEFM catégories ABC bénéficiaires du RSA" dataDxfId="66"/>
    <tableColumn id="53" name="DEFM hommes catégories ABC bénéficiaires du RSA" dataDxfId="65"/>
    <tableColumn id="54" name="DEFM femmes catégories ABC bénéficiaires du RSA" dataDxfId="64"/>
    <tableColumn id="55" name="Nombre total d'allocataires" dataDxfId="63"/>
    <tableColumn id="56" name="Superficie en km²" dataDxfId="62"/>
    <tableColumn id="57" name="Population (DEFM)" dataDxfId="61"/>
    <tableColumn id="58" name="Part des DEFM dans la population totale (%)" dataDxfId="60"/>
    <tableColumn id="59" name="Part des DEFM hommes (%)" dataDxfId="59"/>
    <tableColumn id="60" name="Part des DEFM femmes (%)" dataDxfId="58"/>
    <tableColumn id="61" name="Part des DEFM catégorie ABC (tenus de faire une recherche d'emploi active)" dataDxfId="57"/>
    <tableColumn id="62" name="Part des DEFM ABC de moins de 26 ans (%)" dataDxfId="56"/>
    <tableColumn id="63" name="Part des DEFM ABC de niveau ≤ au BAC dans les DEFM ABC (%)" dataDxfId="55"/>
    <tableColumn id="64" name="Part des DEFM ABC au chômage depuis plus de 2 ans parmi les DEFM ABC (%)" dataDxfId="54"/>
    <tableColumn id="65" name="Part des DEFM ABC au chômage depuis plus de 2 ans dans l'ensemble des chômeurs inscrits à PE (%)" dataDxfId="53"/>
    <tableColumn id="66" name="Part des DEFM ABC bénéficiaires du RSA parmi les DEFM ABC (%)" dataDxfId="52"/>
    <tableColumn id="67" name="Part des DEFM ABC bénéficiaires du RSA parmi l'ensemble des inscrits à PE (%)" dataDxfId="51"/>
  </tableColumns>
  <tableStyleInfo showFirstColumn="0" showLastColumn="0" showRowStripes="1" showColumnStripes="0"/>
</table>
</file>

<file path=xl/tables/table10.xml><?xml version="1.0" encoding="utf-8"?>
<table xmlns="http://schemas.openxmlformats.org/spreadsheetml/2006/main" id="10" name="Tableau14" displayName="Tableau14" ref="A2:AL40" headerRowCount="1" totalsRowShown="0" headerRowDxfId="46" dataDxfId="44" headerRowBorderDxfId="45" tableBorderDxfId="43" totalsRowBorderDxfId="42">
  <autoFilter ref="A2:AL40"/>
  <tableColumns count="38">
    <tableColumn id="1" name="Mairies de quartiers" dataDxfId="41"/>
    <tableColumn id="2" name="Grands quartiers" dataDxfId="40"/>
    <tableColumn id="3" name="Libellé de l'Iris" dataDxfId="39"/>
    <tableColumn id="4" name="Nombre de logements du Parc Locatif Social" dataDxfId="38"/>
    <tableColumn id="5" name="Nombre de logements sociaux mis en service dans l’année" dataDxfId="37"/>
    <tableColumn id="6" name="Taux de vacance des logements sociaux" dataDxfId="36"/>
    <tableColumn id="7" name="Taux de vacance de plus de 3 mois des logements sociaux" dataDxfId="35"/>
    <tableColumn id="8" name="Taux de rotation des logements sociaux" dataDxfId="34"/>
    <tableColumn id="9" name="Part des logements sociaux collectifs" dataDxfId="33"/>
    <tableColumn id="10" name="Part des logements sociaux individuels" dataDxfId="32"/>
    <tableColumn id="11" name="Part des logements sociaux d’une pièce" dataDxfId="31"/>
    <tableColumn id="12" name="Part des logements sociaux de deux pièces" dataDxfId="30"/>
    <tableColumn id="13" name="Part des logements sociaux de trois pièces" dataDxfId="29"/>
    <tableColumn id="14" name="Part des logements sociaux de quatre pièces" dataDxfId="28"/>
    <tableColumn id="15" name="Part des logements sociaux de 5 pièces ou plus" dataDxfId="27"/>
    <tableColumn id="16" name="Part des logements sociaux de moins de 30 m²" dataDxfId="26"/>
    <tableColumn id="17" name="Part des logements sociaux de 30 m² à moins de 40 m²" dataDxfId="25"/>
    <tableColumn id="18" name="Part des logements sociaux de 40 m² à moins de 60 m²" dataDxfId="24"/>
    <tableColumn id="19" name="Part des logements sociaux de 60 m² à moins de 80 m²" dataDxfId="23"/>
    <tableColumn id="20" name="Part des logements sociaux de 80 m² à moins de 100 m²" dataDxfId="22"/>
    <tableColumn id="21" name="Part des logements sociaux de 100 m² à moins de 120 m²" dataDxfId="21"/>
    <tableColumn id="22" name="Part des logements sociaux de plus de 120 m²" dataDxfId="20"/>
    <tableColumn id="23" name="Part des logements sociaux construits avant 1949" dataDxfId="19"/>
    <tableColumn id="24" name="Part des logements sociaux construits entre 1949 et 1975" dataDxfId="18"/>
    <tableColumn id="25" name="Part des logements sociaux construits entre 1976 et 1988" dataDxfId="17"/>
    <tableColumn id="26" name="Part des logements sociaux construits entre 1989 et 2000" dataDxfId="16"/>
    <tableColumn id="27" name="Part des logements sociaux construits entre 2001 et 2013" dataDxfId="15"/>
    <tableColumn id="28" name="Part des logements sociaux construits après 2013" dataDxfId="14"/>
    <tableColumn id="29" name="Part des logements sociaux financés en PLAI" dataDxfId="13"/>
    <tableColumn id="30" name="Part des logements sociaux financés en PLUS (avant 1977)" dataDxfId="12"/>
    <tableColumn id="31" name="Part des logements sociaux financés en PLUS (après 1977)" dataDxfId="11"/>
    <tableColumn id="32" name="Part des logements sociaux financés en PLS" dataDxfId="10"/>
    <tableColumn id="33" name="Part des logements sociaux financés en PLI" dataDxfId="9"/>
    <tableColumn id="34" name="Loyer par m² des logements sociaux - Moyenne" dataDxfId="8"/>
    <tableColumn id="35" name="Loyer par m² des logements sociaux - 1er quartile" dataDxfId="7"/>
    <tableColumn id="36" name="Loyer par m² des logements sociaux - Médiane" dataDxfId="6"/>
    <tableColumn id="37" name="Loyer par m² des logements sociaux - 3ème quartile" dataDxfId="5"/>
    <tableColumn id="38" name="Superficie en km²" dataDxfId="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ee.fr/fr/statistiques/9054332" TargetMode="External" Id="rId1"/><Relationship Type="http://schemas.openxmlformats.org/officeDocument/2006/relationships/hyperlink" Target="https://www.insee.fr/fr/statistiques/9040859" TargetMode="External" Id="rId2"/><Relationship Type="http://schemas.openxmlformats.org/officeDocument/2006/relationships/hyperlink" Target="https://www.insee.fr/fr/statistiques/9058978" TargetMode="External" Id="rId3"/><Relationship Type="http://schemas.openxmlformats.org/officeDocument/2006/relationships/hyperlink" Target="https://www.insee.fr/fr/statistiques/9054820" TargetMode="External" Id="rId4"/><Relationship Type="http://schemas.openxmlformats.org/officeDocument/2006/relationships/hyperlink" Target="https://www.insee.fr/fr/statistiques/9061333" TargetMode="External" Id="rId5"/><Relationship Type="http://schemas.openxmlformats.org/officeDocument/2006/relationships/hyperlink" Target="https://www.insee.fr/fr/statistiques/8647104" TargetMode="External" Id="rId6"/><Relationship Type="http://schemas.openxmlformats.org/officeDocument/2006/relationships/hyperlink" Target="https://www.insee.fr/fr/statistiques/8682393" TargetMode="External" Id="rId7"/><Relationship Type="http://schemas.openxmlformats.org/officeDocument/2006/relationships/hyperlink" Target="https://www.insee.fr/fr/statistiques/8736938" TargetMode="External" Id="rId8"/><Relationship Type="http://schemas.openxmlformats.org/officeDocument/2006/relationships/hyperlink" Target="https://www.insee.fr/fr/statistiques/8644875" TargetMode="External" Id="rId9"/><Relationship Type="http://schemas.openxmlformats.org/officeDocument/2006/relationships/hyperlink" Target="https://www.insee.fr/fr/statistiques/9057420" TargetMode="External" Id="rId10"/><Relationship Type="http://schemas.openxmlformats.org/officeDocument/2006/relationships/hyperlink" Target="https://www.insee.fr/fr/information/2008354" TargetMode="External" Id="rId11"/><Relationship Type="http://schemas.openxmlformats.org/officeDocument/2006/relationships/hyperlink" Target="https://carto.ville-roubaix.fr/portal/apps/MapSeries/index.html?appid=439897abe91f40e29fa8d4ca5483c55b" TargetMode="External" Id="rId12"/><Relationship Type="http://schemas.openxmlformats.org/officeDocument/2006/relationships/hyperlink" Target="https://www.insee.fr/fr/statistiques/2011101?geo=COM-59512" TargetMode="External" Id="rId13"/></Relationships>
</file>

<file path=xl/worksheets/_rels/sheet2.xml.rels><Relationships xmlns="http://schemas.openxmlformats.org/package/2006/relationships"><Relationship Type="http://schemas.openxmlformats.org/officeDocument/2006/relationships/hyperlink" Target="#'POP 2023'!A1" TargetMode="External" Id="rId1"/><Relationship Type="http://schemas.openxmlformats.org/officeDocument/2006/relationships/hyperlink" Target="#'ACT RES 2023'!A1" TargetMode="External" Id="rId2"/><Relationship Type="http://schemas.openxmlformats.org/officeDocument/2006/relationships/hyperlink" Target="#'LOG 2023'!A1" TargetMode="External" Id="rId3"/><Relationship Type="http://schemas.openxmlformats.org/officeDocument/2006/relationships/hyperlink" Target="#'POP 2023'!A1" TargetMode="External" Id="rId4"/><Relationship Type="http://schemas.openxmlformats.org/officeDocument/2006/relationships/hyperlink" Target="#'ACT RES 2023'!A1" TargetMode="External" Id="rId5"/><Relationship Type="http://schemas.openxmlformats.org/officeDocument/2006/relationships/hyperlink" Target="#'LOG 2023'!A1" TargetMode="External" Id="rId6"/><Relationship Type="http://schemas.openxmlformats.org/officeDocument/2006/relationships/hyperlink" Target="#'POP 2023'!A1" TargetMode="External" Id="rId7"/><Relationship Type="http://schemas.openxmlformats.org/officeDocument/2006/relationships/hyperlink" Target="#'ACT RES 2023'!A1" TargetMode="External" Id="rId8"/><Relationship Type="http://schemas.openxmlformats.org/officeDocument/2006/relationships/hyperlink" Target="#'CAF 2024'!A1" TargetMode="External" Id="rId9"/><Relationship Type="http://schemas.openxmlformats.org/officeDocument/2006/relationships/hyperlink" Target="#'LOG 2023'!A1" TargetMode="External" Id="rId10"/><Relationship Type="http://schemas.openxmlformats.org/officeDocument/2006/relationships/hyperlink" Target="#'POP 2023'!A1" TargetMode="External" Id="rId11"/><Relationship Type="http://schemas.openxmlformats.org/officeDocument/2006/relationships/hyperlink" Target="#'ACT RES 2023'!A1" TargetMode="External" Id="rId12"/><Relationship Type="http://schemas.openxmlformats.org/officeDocument/2006/relationships/hyperlink" Target="#'CAF 2024'!A1" TargetMode="External" Id="rId13"/><Relationship Type="http://schemas.openxmlformats.org/officeDocument/2006/relationships/hyperlink" Target="#'LOG 2023'!A1" TargetMode="External" Id="rId14"/><Relationship Type="http://schemas.openxmlformats.org/officeDocument/2006/relationships/hyperlink" Target="#'POP 2023'!A1" TargetMode="External" Id="rId15"/><Relationship Type="http://schemas.openxmlformats.org/officeDocument/2006/relationships/hyperlink" Target="#'ACT RES 2023'!A1" TargetMode="External" Id="rId16"/><Relationship Type="http://schemas.openxmlformats.org/officeDocument/2006/relationships/hyperlink" Target="#'CAF 2024'!A1" TargetMode="External" Id="rId17"/><Relationship Type="http://schemas.openxmlformats.org/officeDocument/2006/relationships/hyperlink" Target="#'LOG 2023'!A1" TargetMode="External" Id="rId18"/><Relationship Type="http://schemas.openxmlformats.org/officeDocument/2006/relationships/hyperlink" Target="#'POP 2023'!A1" TargetMode="External" Id="rId19"/><Relationship Type="http://schemas.openxmlformats.org/officeDocument/2006/relationships/hyperlink" Target="#'DIP FORMATION 2023'!A1" TargetMode="External" Id="rId20"/><Relationship Type="http://schemas.openxmlformats.org/officeDocument/2006/relationships/hyperlink" Target="#'CAF 2024'!A1" TargetMode="External" Id="rId21"/><Relationship Type="http://schemas.openxmlformats.org/officeDocument/2006/relationships/hyperlink" Target="#'LOG 2023'!A1" TargetMode="External" Id="rId22"/><Relationship Type="http://schemas.openxmlformats.org/officeDocument/2006/relationships/hyperlink" Target="#'POP 2023'!A1" TargetMode="External" Id="rId23"/><Relationship Type="http://schemas.openxmlformats.org/officeDocument/2006/relationships/hyperlink" Target="#'DIP FORMATION 2023'!A1" TargetMode="External" Id="rId24"/><Relationship Type="http://schemas.openxmlformats.org/officeDocument/2006/relationships/hyperlink" Target="#'CAF 2024'!A1" TargetMode="External" Id="rId25"/><Relationship Type="http://schemas.openxmlformats.org/officeDocument/2006/relationships/hyperlink" Target="#'LOG 2023'!A1" TargetMode="External" Id="rId26"/><Relationship Type="http://schemas.openxmlformats.org/officeDocument/2006/relationships/hyperlink" Target="#'PETITE ENFANCE 2022'!A1" TargetMode="External" Id="rId27"/><Relationship Type="http://schemas.openxmlformats.org/officeDocument/2006/relationships/hyperlink" Target="#'DEFM 2024'!A1" TargetMode="External" Id="rId28"/><Relationship Type="http://schemas.openxmlformats.org/officeDocument/2006/relationships/hyperlink" Target="#'CNAM 2025'!A1" TargetMode="External" Id="rId29"/><Relationship Type="http://schemas.openxmlformats.org/officeDocument/2006/relationships/hyperlink" Target="#'LOG 2023'!A1" TargetMode="External" Id="rId30"/><Relationship Type="http://schemas.openxmlformats.org/officeDocument/2006/relationships/hyperlink" Target="#'COU FAM 2023'!A1" TargetMode="External" Id="rId31"/><Relationship Type="http://schemas.openxmlformats.org/officeDocument/2006/relationships/hyperlink" Target="#'DEFM 2024'!A1" TargetMode="External" Id="rId32"/><Relationship Type="http://schemas.openxmlformats.org/officeDocument/2006/relationships/hyperlink" Target="#'CNAM 2025'!A1" TargetMode="External" Id="rId33"/><Relationship Type="http://schemas.openxmlformats.org/officeDocument/2006/relationships/hyperlink" Target="#'RPLS 2025'!A1" TargetMode="External" Id="rId34"/><Relationship Type="http://schemas.openxmlformats.org/officeDocument/2006/relationships/hyperlink" Target="#'COU FAM 2023'!A1" TargetMode="External" Id="rId35"/><Relationship Type="http://schemas.openxmlformats.org/officeDocument/2006/relationships/hyperlink" Target="#'DEFM 2024'!A1" TargetMode="External" Id="rId36"/><Relationship Type="http://schemas.openxmlformats.org/officeDocument/2006/relationships/hyperlink" Target="#'COU FAM 2023'!A1" TargetMode="External" Id="rId37"/><Relationship Type="http://schemas.openxmlformats.org/officeDocument/2006/relationships/hyperlink" Target="#'COU FAM 2023'!A1" TargetMode="External" Id="rId38"/></Relationships>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sheetPr>
  <dimension ref="A1:F27"/>
  <sheetViews>
    <sheetView showGridLines="0" tabSelected="1" zoomScaleNormal="100" workbookViewId="0">
      <selection activeCell="A1" sqref="A1:E2"/>
    </sheetView>
  </sheetViews>
  <sheetFormatPr baseColWidth="10" defaultColWidth="8.85546875" defaultRowHeight="15"/>
  <cols>
    <col width="17" bestFit="1" customWidth="1" min="1" max="1"/>
    <col width="8.5703125" customWidth="1" style="35" min="2" max="2"/>
    <col width="10.85546875" bestFit="1" customWidth="1" style="36" min="3" max="3"/>
    <col width="70.5703125" customWidth="1" min="4" max="4"/>
    <col width="44.140625" customWidth="1" min="5" max="5"/>
  </cols>
  <sheetData>
    <row r="1" ht="18" customHeight="1">
      <c r="A1" s="66" t="inlineStr">
        <is>
          <t>Base MAS - INSEE mise à jour 2023</t>
        </is>
      </c>
      <c r="B1" s="83" t="n"/>
      <c r="C1" s="83" t="n"/>
      <c r="D1" s="83" t="n"/>
      <c r="E1" s="83" t="n"/>
    </row>
    <row r="2" ht="8.25" customHeight="1" thickBot="1">
      <c r="A2" s="84" t="n"/>
    </row>
    <row r="3">
      <c r="A3" s="11" t="inlineStr">
        <is>
          <t>Onget disponible</t>
        </is>
      </c>
      <c r="B3" s="11" t="inlineStr">
        <is>
          <t>Annee</t>
        </is>
      </c>
      <c r="C3" s="12" t="n"/>
      <c r="D3" s="13" t="inlineStr">
        <is>
          <t>Description</t>
        </is>
      </c>
      <c r="E3" s="11" t="inlineStr">
        <is>
          <t>Lien vers le dictionnaire de données</t>
        </is>
      </c>
    </row>
    <row r="4" ht="38.25" customFormat="1" customHeight="1" s="18">
      <c r="A4" s="14" t="inlineStr">
        <is>
          <t>POP</t>
        </is>
      </c>
      <c r="B4" s="15" t="n">
        <v>2023</v>
      </c>
      <c r="C4" s="16" t="n"/>
      <c r="D4" s="16" t="inlineStr">
        <is>
          <t>Contient des indicateurs détaillés sur la POPULATION de Roubaix selon le sexe, l'âge en tranches, la catégorie socio-professionnelle, en tenant compte de la population étrangère et de la population immigrée.</t>
        </is>
      </c>
      <c r="E4" s="20" t="inlineStr">
        <is>
          <t>https://www.insee.fr/fr/statistiques/9054332</t>
        </is>
      </c>
    </row>
    <row r="5" ht="38.25" customFormat="1" customHeight="1" s="18">
      <c r="A5" s="14" t="inlineStr">
        <is>
          <t>ACT RES</t>
        </is>
      </c>
      <c r="B5" s="15" t="n">
        <v>2023</v>
      </c>
      <c r="C5" s="16" t="n"/>
      <c r="D5" s="16" t="inlineStr">
        <is>
          <t>Contient des indicateurs détaillés sur les caractéristiques des ACTIVITES DES RESIDENTS, des SALARIES et non-salariés selon le sexe, l’âge par tranches et la catégorie socio-professionnelles.</t>
        </is>
      </c>
      <c r="E5" s="86" t="inlineStr">
        <is>
          <t>https://www.insee.fr/fr/statistiques/9040859</t>
        </is>
      </c>
    </row>
    <row r="6" ht="25.5" customFormat="1" customHeight="1" s="18">
      <c r="A6" s="14" t="inlineStr">
        <is>
          <t>COU FAM MÉNAGES</t>
        </is>
      </c>
      <c r="B6" s="15" t="n">
        <v>2023</v>
      </c>
      <c r="C6" s="16" t="n"/>
      <c r="D6" s="16" t="inlineStr">
        <is>
          <t>Contient des indicateurs détaillés sur lescaracteristiques des COUPLES, FAMILLES, MENAGES, (nombre d'enfants).</t>
        </is>
      </c>
      <c r="E6" s="86" t="inlineStr">
        <is>
          <t>https://www.insee.fr/fr/statistiques/9058978</t>
        </is>
      </c>
    </row>
    <row r="7" ht="38.25" customFormat="1" customHeight="1" s="18">
      <c r="A7" s="14" t="inlineStr">
        <is>
          <t>DIP FORMATION</t>
        </is>
      </c>
      <c r="B7" s="15" t="n">
        <v>2023</v>
      </c>
      <c r="C7" s="16" t="n"/>
      <c r="D7" s="16" t="inlineStr">
        <is>
          <t>Contient des indicateurs détaillés les DIPLOMES ET FORMATION, la SCOLARISATION et les niveaux de DIPLOMES,  les personnes non scolarisées de 15 à ou plus selon le sexe.</t>
        </is>
      </c>
      <c r="E7" s="86" t="inlineStr">
        <is>
          <t>https://www.insee.fr/fr/statistiques/9054820</t>
        </is>
      </c>
    </row>
    <row r="8" ht="25.5" customFormat="1" customHeight="1" s="18">
      <c r="A8" s="14" t="inlineStr">
        <is>
          <t>LOG</t>
        </is>
      </c>
      <c r="B8" s="15" t="n">
        <v>2023</v>
      </c>
      <c r="C8" s="16" t="n"/>
      <c r="D8" s="16" t="inlineStr">
        <is>
          <t>Contient des indicateurs détaillés sur des LOGEMENTS, la possession d'une voiture ainsi que le parc de logements.</t>
        </is>
      </c>
      <c r="E8" s="86" t="inlineStr">
        <is>
          <t>https://www.insee.fr/fr/statistiques/9061333</t>
        </is>
      </c>
    </row>
    <row r="9" customFormat="1" s="18">
      <c r="A9" s="14" t="inlineStr">
        <is>
          <t>PETITE ENFANCE</t>
        </is>
      </c>
      <c r="B9" s="15" t="n">
        <v>2022</v>
      </c>
      <c r="C9" s="16" t="n"/>
      <c r="D9" s="16" t="inlineStr">
        <is>
          <t xml:space="preserve">Contient des indicateurs du nombre d'enfants de 0 à 17 ans </t>
        </is>
      </c>
      <c r="E9" s="20" t="inlineStr">
        <is>
          <t>https://www.insee.fr/fr/statistiques/8647104</t>
        </is>
      </c>
    </row>
    <row r="10" ht="25.5" customFormat="1" customHeight="1" s="18">
      <c r="A10" s="14" t="inlineStr">
        <is>
          <t>CAF</t>
        </is>
      </c>
      <c r="B10" s="15" t="n">
        <v>2024</v>
      </c>
      <c r="C10" s="21" t="inlineStr">
        <is>
          <t>au 31/12/2024</t>
        </is>
      </c>
      <c r="D10" s="16" t="inlineStr">
        <is>
          <t>Contient des indicateurs sur les bénéficiaires des prestations légales versées par les CAF à l'Iris</t>
        </is>
      </c>
      <c r="E10" s="20" t="inlineStr">
        <is>
          <t>https://www.insee.fr/fr/statistiques/8682393</t>
        </is>
      </c>
    </row>
    <row r="11" ht="51" customFormat="1" customHeight="1" s="18">
      <c r="A11" s="14" t="inlineStr">
        <is>
          <t>CNAM</t>
        </is>
      </c>
      <c r="B11" s="15" t="n">
        <v>2025</v>
      </c>
      <c r="C11" s="21" t="inlineStr">
        <is>
          <t>au 01/01/2025</t>
        </is>
      </c>
      <c r="D11" s="16" t="inlineStr">
        <is>
          <t>Contient des indicateurs sur les bénéficiaires du régime général de l'assurance maladie ainsi que sur les bénéficiaires de la Complémentaire Santé Solidaire (C2S)  issus des fichiers des Caisses Primaires d’Assurance Maladie (CPAM).</t>
        </is>
      </c>
      <c r="E11" s="20" t="inlineStr">
        <is>
          <t>https://www.insee.fr/fr/statistiques/8736938</t>
        </is>
      </c>
    </row>
    <row r="12" ht="25.5" customFormat="1" customHeight="1" s="18">
      <c r="A12" s="14" t="inlineStr">
        <is>
          <t>DEFM</t>
        </is>
      </c>
      <c r="B12" s="15" t="n">
        <v>2024</v>
      </c>
      <c r="C12" s="21" t="inlineStr">
        <is>
          <t>au 31/12/2024</t>
        </is>
      </c>
      <c r="D12" s="16" t="inlineStr">
        <is>
          <t>Contient des indicateurs sur les demandeurs d'emploi  à l'Iris (Pôle Emploi-Dares)</t>
        </is>
      </c>
      <c r="E12" s="20" t="inlineStr">
        <is>
          <t>https://www.insee.fr/fr/statistiques/8644875</t>
        </is>
      </c>
    </row>
    <row r="13" ht="25.5" customFormat="1" customHeight="1" s="18">
      <c r="A13" s="14" t="inlineStr">
        <is>
          <t>RPLS</t>
        </is>
      </c>
      <c r="B13" s="15" t="n">
        <v>2025</v>
      </c>
      <c r="C13" s="21" t="inlineStr">
        <is>
          <t>au 01/01/2025</t>
        </is>
      </c>
      <c r="D13" s="16" t="inlineStr">
        <is>
          <t>Contient des indicateurs sur le Parc des Logements Locatifs des Bailleurs Sociaux à l'Iris</t>
        </is>
      </c>
      <c r="E13" s="20" t="inlineStr">
        <is>
          <t>https://www.insee.fr/fr/statistiques/9057420</t>
        </is>
      </c>
    </row>
    <row r="14" ht="8.449999999999999" customFormat="1" customHeight="1" s="18">
      <c r="A14" s="22" t="n"/>
      <c r="B14" s="23" t="n"/>
      <c r="C14" s="24" t="n"/>
      <c r="D14" s="25" t="n"/>
      <c r="E14" s="34" t="n"/>
    </row>
    <row r="15" customFormat="1" s="18">
      <c r="A15" s="70" t="inlineStr">
        <is>
          <t xml:space="preserve">Précision </t>
        </is>
      </c>
    </row>
    <row r="16" ht="15" customHeight="1">
      <c r="A16" s="65" t="inlineStr">
        <is>
          <t># Les données INSEE  sont à  l'échelle des IRIS</t>
        </is>
      </c>
    </row>
    <row r="17" ht="39" customHeight="1">
      <c r="A17" s="72" t="inlineStr">
        <is>
          <t>Dans les onglets, chaque iris correpond à une zone des découpages étudiés. Les differents zonages  proposés ne se superposant pas au iris, il s 'agit donc d'une interprestation . Il a donc une marge d’erreur. 
Des indicateurs supplémentaires calculés sont disponibles à la fin des feuilles (tout à droite) sous fond orange</t>
        </is>
      </c>
    </row>
    <row r="18" ht="15.75" customFormat="1" customHeight="1" s="27">
      <c r="A18" s="74" t="inlineStr">
        <is>
          <t>L'ensemble des variables et définitions sont présentes sur le site de l'INSEE</t>
        </is>
      </c>
      <c r="E18" s="28" t="inlineStr">
        <is>
          <t>https://www.insee.fr/fr/information/2008354</t>
        </is>
      </c>
    </row>
    <row r="19" ht="15.75" customHeight="1">
      <c r="A19" s="65" t="inlineStr">
        <is>
          <t># Des applications dédiées sont également disponibles sur le portail SIG</t>
        </is>
      </c>
      <c r="E19" s="29" t="inlineStr">
        <is>
          <t>https://carto.ville-roubaix.fr</t>
        </is>
      </c>
    </row>
    <row r="20" ht="15.75" customHeight="1">
      <c r="A20" s="75" t="inlineStr">
        <is>
          <t>https://carto.ville-roubaix.fr/portal/apps/MapSeries/index.html?appid=439897abe91f40e29fa8d4ca5483c55b</t>
        </is>
      </c>
    </row>
    <row r="21">
      <c r="A21" s="77" t="inlineStr">
        <is>
          <t># L'INSEE met également à disposition un dossier complet à l'échelle de la commune</t>
        </is>
      </c>
      <c r="F21" s="30" t="n"/>
    </row>
    <row r="22" ht="15.75" customHeight="1">
      <c r="A22" s="75" t="inlineStr">
        <is>
          <t>https://www.insee.fr/fr/statistiques/2011101?geo=COM-59512</t>
        </is>
      </c>
    </row>
    <row r="23" ht="15.75" customHeight="1">
      <c r="A23" s="78" t="inlineStr">
        <is>
          <t>Pour toutes questions, contacter le service sig : sig@ville-roubaix.fr</t>
        </is>
      </c>
    </row>
    <row r="24">
      <c r="A24" s="31" t="n"/>
      <c r="B24" s="32" t="n"/>
      <c r="C24" s="33" t="n"/>
      <c r="D24" s="25" t="n"/>
      <c r="E24" s="34" t="n"/>
    </row>
    <row r="25">
      <c r="A25" t="inlineStr">
        <is>
          <t>Mise a jour tous les ans entre octobre et decembre pour le recensement avec un decalage de 3 ans .</t>
        </is>
      </c>
    </row>
    <row r="26">
      <c r="A26" t="inlineStr">
        <is>
          <t>Mise a jour annuelle pour caf cnam DEFEM RPLS</t>
        </is>
      </c>
    </row>
    <row r="27">
      <c r="A27" s="80" t="n"/>
      <c r="B27" s="83" t="n"/>
      <c r="C27" s="83" t="n"/>
      <c r="D27" s="83" t="n"/>
    </row>
  </sheetData>
  <mergeCells count="11">
    <mergeCell ref="A21:E21"/>
    <mergeCell ref="A18:D18"/>
    <mergeCell ref="A27:D27"/>
    <mergeCell ref="A20:E20"/>
    <mergeCell ref="A16:E16"/>
    <mergeCell ref="A15:E15"/>
    <mergeCell ref="A23:E23"/>
    <mergeCell ref="A1:E2"/>
    <mergeCell ref="A19:D19"/>
    <mergeCell ref="A22:E22"/>
    <mergeCell ref="A17:E17"/>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8" r:id="rId11"/>
    <hyperlink xmlns:r="http://schemas.openxmlformats.org/officeDocument/2006/relationships" ref="A20" r:id="rId12"/>
    <hyperlink xmlns:r="http://schemas.openxmlformats.org/officeDocument/2006/relationships" ref="A22" r:id="rId13"/>
  </hyperlinks>
  <pageMargins left="0.25" right="0.25" top="0.75" bottom="0.75" header="0.3" footer="0.3"/>
  <pageSetup orientation="landscape" paperSize="9" scale="95"/>
</worksheet>
</file>

<file path=xl/worksheets/sheet2.xml><?xml version="1.0" encoding="utf-8"?>
<worksheet xmlns="http://schemas.openxmlformats.org/spreadsheetml/2006/main">
  <sheetPr>
    <outlinePr summaryBelow="1" summaryRight="1"/>
    <pageSetUpPr/>
  </sheetPr>
  <dimension ref="B2:L36"/>
  <sheetViews>
    <sheetView showGridLines="0" topLeftCell="A1" workbookViewId="0">
      <selection activeCell="A1" sqref="A1"/>
    </sheetView>
  </sheetViews>
  <sheetFormatPr baseColWidth="8" defaultRowHeight="15"/>
  <cols>
    <col width="2" customWidth="1" min="1" max="1"/>
    <col width="32" customWidth="1" min="2" max="2"/>
    <col width="12" customWidth="1" min="3" max="3"/>
    <col width="3" customWidth="1" min="4" max="4"/>
    <col width="32" customWidth="1" min="5" max="5"/>
    <col width="12" customWidth="1" min="6" max="6"/>
    <col width="3" customWidth="1" min="7" max="7"/>
    <col width="32" customWidth="1" min="8" max="8"/>
    <col width="12" customWidth="1" min="9" max="9"/>
    <col width="3" customWidth="1" min="10" max="10"/>
    <col width="32" customWidth="1" min="11" max="11"/>
    <col width="12" customWidth="1" min="12" max="12"/>
    <col width="3" customWidth="1" min="13" max="13"/>
  </cols>
  <sheetData>
    <row r="2" ht="34" customHeight="1">
      <c r="B2" s="87" t="inlineStr">
        <is>
          <t>Portrait de Roubaix · 2023</t>
        </is>
      </c>
    </row>
    <row r="3" ht="22" customHeight="1">
      <c r="B3" s="88" t="inlineStr">
        <is>
          <t>Chiffres clés de Roubaix (ensemble des IRIS), toutes sources du classeur confondues. Chaque indicateur indique sa source et son année.</t>
        </is>
      </c>
    </row>
    <row r="5">
      <c r="B5" s="89" t="inlineStr">
        <is>
          <t>DÉMOGRAPHIE</t>
        </is>
      </c>
      <c r="C5" s="90" t="n"/>
      <c r="E5" s="91" t="inlineStr">
        <is>
          <t>EMPLOI ET FORMATION</t>
        </is>
      </c>
      <c r="F5" s="92" t="n"/>
      <c r="H5" s="93" t="inlineStr">
        <is>
          <t>REVENUS ET PRESTATIONS</t>
        </is>
      </c>
      <c r="I5" s="94" t="n"/>
      <c r="K5" s="95" t="inlineStr">
        <is>
          <t>LOGEMENT</t>
        </is>
      </c>
      <c r="L5" s="96" t="n"/>
    </row>
    <row r="6">
      <c r="B6" s="90" t="n"/>
      <c r="C6" s="90" t="n"/>
      <c r="E6" s="92" t="n"/>
      <c r="F6" s="92" t="n"/>
      <c r="H6" s="94" t="n"/>
      <c r="I6" s="94" t="n"/>
      <c r="K6" s="96" t="n"/>
      <c r="L6" s="96" t="n"/>
    </row>
    <row r="7" ht="46" customHeight="1">
      <c r="B7" s="97" t="inlineStr">
        <is>
          <t>Population, densité, âges, sexe, nationalité, ménages et familles (monoparentales, nombreuses).</t>
        </is>
      </c>
      <c r="C7" s="98" t="n"/>
      <c r="E7" s="99" t="inlineStr">
        <is>
          <t>Activité, emploi, chômage, diplômes de la population non scolarisée et demandeurs d'emploi.</t>
        </is>
      </c>
      <c r="F7" s="100" t="n"/>
      <c r="H7" s="101" t="inlineStr">
        <is>
          <t>Revenus et pauvreté (Filosofi 2021, valeurs figées), allocataires CAF, RSA, AAH et complémentaire santé solidaire (CNAM).</t>
        </is>
      </c>
      <c r="I7" s="102" t="n"/>
      <c r="K7" s="103" t="inlineStr">
        <is>
          <t>Parc, vacance, typologie, statut d'occupation, logements sociaux, ancienneté et suroccupation.</t>
        </is>
      </c>
      <c r="L7" s="104" t="n"/>
    </row>
    <row r="8" ht="30" customHeight="1">
      <c r="B8" s="105" t="inlineStr">
        <is>
          <t>Habitants</t>
        </is>
      </c>
      <c r="C8" s="106">
        <f>SUM('POP 2023'!$D$3:$D$40)</f>
        <v/>
      </c>
      <c r="E8" s="105" t="inlineStr">
        <is>
          <t>Actifs (15-64 ans)</t>
        </is>
      </c>
      <c r="F8" s="107">
        <f>SUM('ACT RES 2023'!$P$3:$P$40)</f>
        <v/>
      </c>
      <c r="H8" s="105" t="inlineStr">
        <is>
          <t>Niveau de vie médian</t>
        </is>
      </c>
      <c r="I8" s="108" t="n">
        <v>16080</v>
      </c>
      <c r="K8" s="105" t="inlineStr">
        <is>
          <t>Logements</t>
        </is>
      </c>
      <c r="L8" s="109">
        <f>SUM('LOG 2023'!$D$3:$D$40)</f>
        <v/>
      </c>
    </row>
    <row r="9">
      <c r="B9" s="110" t="inlineStr">
        <is>
          <t>RP 2023 · onglet POP 2023</t>
        </is>
      </c>
      <c r="E9" s="110" t="inlineStr">
        <is>
          <t>RP 2023 · onglet ACT RES 2023</t>
        </is>
      </c>
      <c r="H9" s="111" t="inlineStr">
        <is>
          <t>Filosofi 2021 · valeur figée · Roubaix</t>
        </is>
      </c>
      <c r="K9" s="110" t="inlineStr">
        <is>
          <t>RP 2023 · onglet LOG 2023</t>
        </is>
      </c>
    </row>
    <row r="10" ht="30" customHeight="1">
      <c r="B10" s="105" t="inlineStr">
        <is>
          <t>Habitants au km²</t>
        </is>
      </c>
      <c r="C10" s="106">
        <f>IFERROR((SUM('POP 2023'!$D$3:$D$40))/(SUM('POP 2023'!$BL$3:$BL$40)),"")</f>
        <v/>
      </c>
      <c r="E10" s="105" t="inlineStr">
        <is>
          <t>Taux d'emploi (15-64 ans)</t>
        </is>
      </c>
      <c r="F10" s="112">
        <f>IFERROR((SUM('ACT RES 2023'!$AB$3:$AB$40))/(SUM('ACT RES 2023'!$D$3:$D$40)),"")</f>
        <v/>
      </c>
      <c r="H10" s="105" t="inlineStr">
        <is>
          <t>Taux de pauvreté (seuil de 60 % du niveau de vie médian)</t>
        </is>
      </c>
      <c r="I10" s="113" t="n">
        <v>47.4</v>
      </c>
      <c r="K10" s="105" t="inlineStr">
        <is>
          <t>Résidences principales</t>
        </is>
      </c>
      <c r="L10" s="109">
        <f>SUM('LOG 2023'!$E$3:$E$40)</f>
        <v/>
      </c>
    </row>
    <row r="11">
      <c r="B11" s="110" t="inlineStr">
        <is>
          <t>RP 2023 · onglet POP 2023</t>
        </is>
      </c>
      <c r="E11" s="110" t="inlineStr">
        <is>
          <t>RP 2023 · onglet ACT RES 2023</t>
        </is>
      </c>
      <c r="H11" s="111" t="inlineStr">
        <is>
          <t>Filosofi 2021 · valeur figée · Roubaix</t>
        </is>
      </c>
      <c r="K11" s="110" t="inlineStr">
        <is>
          <t>RP 2023 · onglet LOG 2023</t>
        </is>
      </c>
    </row>
    <row r="12" ht="30" customHeight="1">
      <c r="B12" s="105" t="inlineStr">
        <is>
          <t>Moins de 20 ans</t>
        </is>
      </c>
      <c r="C12" s="114">
        <f>IFERROR((SUM('POP 2023'!$P$3:$P$40))/(SUM('POP 2023'!$D$3:$D$40)),"")</f>
        <v/>
      </c>
      <c r="E12" s="105" t="inlineStr">
        <is>
          <t>Taux de chômage (15-64 ans)</t>
        </is>
      </c>
      <c r="F12" s="112">
        <f>IFERROR((SUM('ACT RES 2023'!$AN$3:$AN$40))/(SUM('ACT RES 2023'!$P$3:$P$40)),"")</f>
        <v/>
      </c>
      <c r="H12" s="105" t="inlineStr">
        <is>
          <t>Allocataires CAF</t>
        </is>
      </c>
      <c r="I12" s="115">
        <f>SUM('CAF 2024'!$D$3:$D$40)</f>
        <v/>
      </c>
      <c r="K12" s="105" t="inlineStr">
        <is>
          <t>Logements vacants</t>
        </is>
      </c>
      <c r="L12" s="116">
        <f>IFERROR((SUM('LOG 2023'!$G$3:$G$40))/(SUM('LOG 2023'!$D$3:$D$40)),"")</f>
        <v/>
      </c>
    </row>
    <row r="13">
      <c r="B13" s="110" t="inlineStr">
        <is>
          <t>RP 2023 · onglet POP 2023</t>
        </is>
      </c>
      <c r="E13" s="110" t="inlineStr">
        <is>
          <t>RP 2023 · onglet ACT RES 2023</t>
        </is>
      </c>
      <c r="H13" s="110" t="inlineStr">
        <is>
          <t>CAF 2024 · onglet CAF 2024</t>
        </is>
      </c>
      <c r="K13" s="110" t="inlineStr">
        <is>
          <t>RP 2023 · onglet LOG 2023</t>
        </is>
      </c>
    </row>
    <row r="14" ht="30" customHeight="1">
      <c r="B14" s="105" t="inlineStr">
        <is>
          <t>65 ans ou plus</t>
        </is>
      </c>
      <c r="C14" s="114">
        <f>IFERROR((SUM('POP 2023'!$R$3:$R$40))/(SUM('POP 2023'!$D$3:$D$40)),"")</f>
        <v/>
      </c>
      <c r="E14" s="105" t="inlineStr">
        <is>
          <t>Taux de chômage des 15-24 ans</t>
        </is>
      </c>
      <c r="F14" s="112">
        <f>IFERROR((SUM('ACT RES 2023'!$AO$3:$AO$40))/(SUM('ACT RES 2023'!$Q$3:$Q$40)),"")</f>
        <v/>
      </c>
      <c r="H14" s="105" t="inlineStr">
        <is>
          <t>Population couverte par la CAF</t>
        </is>
      </c>
      <c r="I14" s="117">
        <f>IFERROR((SUM('CAF 2024'!$E$3:$E$40))/(SUM('CAF 2024'!$Z$3:$Z$40)),"")</f>
        <v/>
      </c>
      <c r="K14" s="105" t="inlineStr">
        <is>
          <t>Maisons</t>
        </is>
      </c>
      <c r="L14" s="116">
        <f>IFERROR((SUM('LOG 2023'!$H$3:$H$40))/(SUM('LOG 2023'!$D$3:$D$40)),"")</f>
        <v/>
      </c>
    </row>
    <row r="15">
      <c r="B15" s="110" t="inlineStr">
        <is>
          <t>RP 2023 · onglet POP 2023</t>
        </is>
      </c>
      <c r="E15" s="110" t="inlineStr">
        <is>
          <t>RP 2023 · onglet ACT RES 2023</t>
        </is>
      </c>
      <c r="H15" s="110" t="inlineStr">
        <is>
          <t>CAF 2024 · onglet CAF 2024</t>
        </is>
      </c>
      <c r="K15" s="110" t="inlineStr">
        <is>
          <t>RP 2023 · onglet LOG 2023</t>
        </is>
      </c>
    </row>
    <row r="16" ht="30" customHeight="1">
      <c r="B16" s="105" t="inlineStr">
        <is>
          <t>Femmes</t>
        </is>
      </c>
      <c r="C16" s="114">
        <f>IFERROR((SUM('POP 2023'!$X$3:$X$40))/(SUM('POP 2023'!$D$3:$D$40)),"")</f>
        <v/>
      </c>
      <c r="E16" s="105" t="inlineStr">
        <is>
          <t>Salariés en CDI ou fonction publique</t>
        </is>
      </c>
      <c r="F16" s="112">
        <f>IFERROR((SUM('ACT RES 2023'!$BV$3:$BV$40))/(SUM('ACT RES 2023'!$BH$3:$BH$40)),"")</f>
        <v/>
      </c>
      <c r="H16" s="105" t="inlineStr">
        <is>
          <t>Allocataires CAF au RSA socle</t>
        </is>
      </c>
      <c r="I16" s="117">
        <f>IFERROR((SUM('CAF 2024'!$X$3:$X$40))/(SUM('CAF 2024'!$D$3:$D$40)),"")</f>
        <v/>
      </c>
      <c r="K16" s="105" t="inlineStr">
        <is>
          <t>Propriétaires occupants</t>
        </is>
      </c>
      <c r="L16" s="116">
        <f>IFERROR((SUM('LOG 2023'!$AH$3:$AH$40))/(SUM('LOG 2023'!$E$3:$E$40)),"")</f>
        <v/>
      </c>
    </row>
    <row r="17">
      <c r="B17" s="110" t="inlineStr">
        <is>
          <t>RP 2023 · onglet POP 2023</t>
        </is>
      </c>
      <c r="E17" s="110" t="inlineStr">
        <is>
          <t>RP 2023 · onglet ACT RES 2023</t>
        </is>
      </c>
      <c r="H17" s="110" t="inlineStr">
        <is>
          <t>CAF 2024 · onglet CAF 2024</t>
        </is>
      </c>
      <c r="K17" s="110" t="inlineStr">
        <is>
          <t>RP 2023 · onglet LOG 2023</t>
        </is>
      </c>
    </row>
    <row r="18" ht="30" customHeight="1">
      <c r="B18" s="105" t="inlineStr">
        <is>
          <t>Étrangers</t>
        </is>
      </c>
      <c r="C18" s="114">
        <f>IFERROR((SUM('POP 2023'!$BE$3:$BE$40))/(SUM('POP 2023'!$D$3:$D$40)),"")</f>
        <v/>
      </c>
      <c r="E18" s="105" t="inlineStr">
        <is>
          <t>Sans diplôme ou CEP (15 ans ou plus non scolarisés)</t>
        </is>
      </c>
      <c r="F18" s="112">
        <f>IFERROR((SUM('DIP FORMATION 2023'!$S$3:$S$40))/(SUM('DIP FORMATION 2023'!$R$3:$R$40)),"")</f>
        <v/>
      </c>
      <c r="H18" s="105" t="inlineStr">
        <is>
          <t>Allocataires CAF mono-parents</t>
        </is>
      </c>
      <c r="I18" s="117">
        <f>IFERROR((SUM('CAF 2024'!$G$3:$G$40))/(SUM('CAF 2024'!$D$3:$D$40)),"")</f>
        <v/>
      </c>
      <c r="K18" s="105" t="inlineStr">
        <is>
          <t>Locataires HLM</t>
        </is>
      </c>
      <c r="L18" s="116">
        <f>IFERROR((SUM('LOG 2023'!$AJ$3:$AJ$40))/(SUM('LOG 2023'!$E$3:$E$40)),"")</f>
        <v/>
      </c>
    </row>
    <row r="19">
      <c r="B19" s="110" t="inlineStr">
        <is>
          <t>RP 2023 · onglet POP 2023</t>
        </is>
      </c>
      <c r="E19" s="110" t="inlineStr">
        <is>
          <t>RP 2023 · onglet DIP FORMATION 2023</t>
        </is>
      </c>
      <c r="H19" s="110" t="inlineStr">
        <is>
          <t>CAF 2024 · onglet CAF 2024</t>
        </is>
      </c>
      <c r="K19" s="110" t="inlineStr">
        <is>
          <t>RP 2023 · onglet LOG 2023</t>
        </is>
      </c>
    </row>
    <row r="20" ht="30" customHeight="1">
      <c r="B20" s="105" t="inlineStr">
        <is>
          <t>Immigrés</t>
        </is>
      </c>
      <c r="C20" s="114">
        <f>IFERROR((SUM('POP 2023'!$BF$3:$BF$40))/(SUM('POP 2023'!$D$3:$D$40)),"")</f>
        <v/>
      </c>
      <c r="E20" s="105" t="inlineStr">
        <is>
          <t>Diplômés du supérieur (15 ans ou plus non scolarisés)</t>
        </is>
      </c>
      <c r="F20" s="112">
        <f>IFERROR((SUM('DIP FORMATION 2023'!$W$3:$W$40)+SUM('DIP FORMATION 2023'!$X$3:$X$40)+SUM('DIP FORMATION 2023'!$Y$3:$Y$40))/(SUM('DIP FORMATION 2023'!$R$3:$R$40)),"")</f>
        <v/>
      </c>
      <c r="H20" s="105" t="inlineStr">
        <is>
          <t>Allocataires de l'AAH</t>
        </is>
      </c>
      <c r="I20" s="115">
        <f>SUM('CAF 2024'!$V$3:$V$40)</f>
        <v/>
      </c>
      <c r="K20" s="105" t="inlineStr">
        <is>
          <t>Résidences en suroccupation</t>
        </is>
      </c>
      <c r="L20" s="116">
        <f>IFERROR((SUM('LOG 2023'!$AY$3:$AY$40)+SUM('LOG 2023'!$AZ$3:$AZ$40))/(SUM('LOG 2023'!$E$3:$E$40)),"")</f>
        <v/>
      </c>
    </row>
    <row r="21">
      <c r="B21" s="110" t="inlineStr">
        <is>
          <t>RP 2023 · onglet POP 2023</t>
        </is>
      </c>
      <c r="E21" s="110" t="inlineStr">
        <is>
          <t>RP 2023 · onglet DIP FORMATION 2023</t>
        </is>
      </c>
      <c r="H21" s="110" t="inlineStr">
        <is>
          <t>CAF 2024 · onglet CAF 2024</t>
        </is>
      </c>
      <c r="K21" s="110" t="inlineStr">
        <is>
          <t>RP 2023 · onglet LOG 2023</t>
        </is>
      </c>
    </row>
    <row r="22" ht="30" customHeight="1">
      <c r="B22" s="105" t="inlineStr">
        <is>
          <t>Enfants de 0 à 17 ans</t>
        </is>
      </c>
      <c r="C22" s="106">
        <f>SUM('PETITE ENFANCE 2022'!$V$3:$V$40)</f>
        <v/>
      </c>
      <c r="E22" s="105" t="inlineStr">
        <is>
          <t>Demandeurs d'emploi (cat. ABC)</t>
        </is>
      </c>
      <c r="F22" s="107">
        <f>SUM('DEFM 2024'!$G$3:$G$40)</f>
        <v/>
      </c>
      <c r="H22" s="105" t="inlineStr">
        <is>
          <t>Bénéficiaires de la C2S non participative</t>
        </is>
      </c>
      <c r="I22" s="117">
        <f>IFERROR((SUM('CNAM 2025'!$M$3:$M$40))/(SUM('CNAM 2025'!$D$3:$D$40)),"")</f>
        <v/>
      </c>
      <c r="K22" s="105" t="inlineStr">
        <is>
          <t>Ménages avec au moins une voiture</t>
        </is>
      </c>
      <c r="L22" s="116">
        <f>IFERROR((SUM('LOG 2023'!$AR$3:$AR$40))/(SUM('LOG 2023'!$AB$3:$AB$40)),"")</f>
        <v/>
      </c>
    </row>
    <row r="23">
      <c r="B23" s="110" t="inlineStr">
        <is>
          <t>RP (fichier détail) 2022 · onglet PETITE ENFANCE 2022</t>
        </is>
      </c>
      <c r="E23" s="110" t="inlineStr">
        <is>
          <t>France Travail 2024 · onglet DEFM 2024</t>
        </is>
      </c>
      <c r="H23" s="110" t="inlineStr">
        <is>
          <t>CNAM 2025 · onglet CNAM 2025</t>
        </is>
      </c>
      <c r="K23" s="110" t="inlineStr">
        <is>
          <t>RP 2023 · onglet LOG 2023</t>
        </is>
      </c>
    </row>
    <row r="24" ht="30" customHeight="1">
      <c r="B24" s="105" t="inlineStr">
        <is>
          <t>Ménages</t>
        </is>
      </c>
      <c r="C24" s="106">
        <f>SUM('COU FAM 2023'!$D$3:$D$40)</f>
        <v/>
      </c>
      <c r="E24" s="105" t="inlineStr">
        <is>
          <t>Demandeurs ABC de moins de 26 ans</t>
        </is>
      </c>
      <c r="F24" s="112">
        <f>IFERROR((SUM('DEFM 2024'!$L$3:$L$40))/(SUM('DEFM 2024'!$G$3:$G$40)),"")</f>
        <v/>
      </c>
      <c r="H24" s="105" t="inlineStr">
        <is>
          <t>Bénéficiaires de la C2S participative</t>
        </is>
      </c>
      <c r="I24" s="117">
        <f>IFERROR((SUM('CNAM 2025'!$U$3:$U$40))/(SUM('CNAM 2025'!$D$3:$D$40)),"")</f>
        <v/>
      </c>
      <c r="K24" s="105" t="inlineStr">
        <is>
          <t>Logements sociaux (RPLS)</t>
        </is>
      </c>
      <c r="L24" s="109">
        <f>SUM('RPLS 2025'!$D$3:$D$40)</f>
        <v/>
      </c>
    </row>
    <row r="25">
      <c r="B25" s="110" t="inlineStr">
        <is>
          <t>RP 2023 · onglet COU FAM 2023</t>
        </is>
      </c>
      <c r="E25" s="110" t="inlineStr">
        <is>
          <t>France Travail 2024 · onglet DEFM 2024</t>
        </is>
      </c>
      <c r="H25" s="110" t="inlineStr">
        <is>
          <t>CNAM 2025 · onglet CNAM 2025</t>
        </is>
      </c>
      <c r="K25" s="110" t="inlineStr">
        <is>
          <t>RPLS 2025 · onglet RPLS 2025</t>
        </is>
      </c>
    </row>
    <row r="26" ht="30" customHeight="1">
      <c r="B26" s="105" t="inlineStr">
        <is>
          <t>Taille moyenne des ménages</t>
        </is>
      </c>
      <c r="C26" s="118">
        <f>IFERROR((SUM('COU FAM 2023'!$M$3:$M$40))/(SUM('COU FAM 2023'!$D$3:$D$40)),"")</f>
        <v/>
      </c>
      <c r="E26" s="105" t="inlineStr">
        <is>
          <t>Demandeurs ABC depuis 2 ans ou plus</t>
        </is>
      </c>
      <c r="F26" s="112">
        <f>IFERROR((SUM('DEFM 2024'!$AR$3:$AR$40))/(SUM('DEFM 2024'!$G$3:$G$40)),"")</f>
        <v/>
      </c>
    </row>
    <row r="27">
      <c r="B27" s="110" t="inlineStr">
        <is>
          <t>RP 2023 · onglet COU FAM 2023</t>
        </is>
      </c>
      <c r="E27" s="110" t="inlineStr">
        <is>
          <t>France Travail 2024 · onglet DEFM 2024</t>
        </is>
      </c>
    </row>
    <row r="28" ht="30" customHeight="1">
      <c r="B28" s="105" t="inlineStr">
        <is>
          <t>Familles monoparentales</t>
        </is>
      </c>
      <c r="C28" s="114">
        <f>IFERROR((SUM('COU FAM 2023'!$AT$3:$AT$40))/(SUM('COU FAM 2023'!$AR$3:$AR$40)),"")</f>
        <v/>
      </c>
    </row>
    <row r="29">
      <c r="B29" s="110" t="inlineStr">
        <is>
          <t>RP 2023 · onglet COU FAM 2023</t>
        </is>
      </c>
    </row>
    <row r="30" ht="30" customHeight="1">
      <c r="B30" s="105" t="inlineStr">
        <is>
          <t>Familles nombreuses (3 enfants ou plus)</t>
        </is>
      </c>
      <c r="C30" s="114">
        <f>IFERROR((SUM('COU FAM 2023'!$AY$3:$AY$40)+SUM('COU FAM 2023'!$AZ$3:$AZ$40))/(SUM('COU FAM 2023'!$AR$3:$AR$40)),"")</f>
        <v/>
      </c>
    </row>
    <row r="31">
      <c r="B31" s="110" t="inlineStr">
        <is>
          <t>RP 2023 · onglet COU FAM 2023</t>
        </is>
      </c>
    </row>
    <row r="33">
      <c r="B33" s="119" t="inlineStr">
        <is>
          <t>À savoir</t>
        </is>
      </c>
      <c r="C33" s="120" t="n"/>
      <c r="D33" s="120" t="n"/>
      <c r="E33" s="120" t="n"/>
      <c r="F33" s="120" t="n"/>
      <c r="G33" s="120" t="n"/>
      <c r="H33" s="120" t="n"/>
      <c r="I33" s="120" t="n"/>
      <c r="J33" s="120" t="n"/>
      <c r="K33" s="120" t="n"/>
      <c r="L33" s="120" t="n"/>
    </row>
    <row r="34" ht="18" customHeight="1">
      <c r="B34" s="121" t="inlineStr">
        <is>
          <t>• Les parts et taux sont recalculés sur Roubaix entière (somme des IRIS), pas en moyenne des IRIS.</t>
        </is>
      </c>
    </row>
    <row r="35" ht="18" customHeight="1">
      <c r="B35" s="121" t="inlineStr">
        <is>
          <t>• Les valeurs sont des formules : elles suivent les onglets du classeur. Cliquer sur une source ouvre l'onglet.</t>
        </is>
      </c>
    </row>
    <row r="36" ht="18" customHeight="1">
      <c r="B36" s="121" t="inlineStr">
        <is>
          <t>• Revenus Filosofi 2021 (Roubaix) : valeurs figées pour comparaison, les onglets Filosofi étant retirés (données trop anciennes).</t>
        </is>
      </c>
    </row>
  </sheetData>
  <mergeCells count="14">
    <mergeCell ref="B35:L35"/>
    <mergeCell ref="K7:L7"/>
    <mergeCell ref="B7:C7"/>
    <mergeCell ref="E7:F7"/>
    <mergeCell ref="H7:I7"/>
    <mergeCell ref="B33:L33"/>
    <mergeCell ref="B5:C6"/>
    <mergeCell ref="B3:L3"/>
    <mergeCell ref="B2:L2"/>
    <mergeCell ref="B34:L34"/>
    <mergeCell ref="E5:F6"/>
    <mergeCell ref="K5:L6"/>
    <mergeCell ref="H5:I6"/>
    <mergeCell ref="B36:L36"/>
  </mergeCells>
  <hyperlinks>
    <hyperlink xmlns:r="http://schemas.openxmlformats.org/officeDocument/2006/relationships" ref="B9" r:id="rId1"/>
    <hyperlink xmlns:r="http://schemas.openxmlformats.org/officeDocument/2006/relationships" ref="E9" r:id="rId2"/>
    <hyperlink xmlns:r="http://schemas.openxmlformats.org/officeDocument/2006/relationships" ref="K9" r:id="rId3"/>
    <hyperlink xmlns:r="http://schemas.openxmlformats.org/officeDocument/2006/relationships" ref="B11" r:id="rId4"/>
    <hyperlink xmlns:r="http://schemas.openxmlformats.org/officeDocument/2006/relationships" ref="E11" r:id="rId5"/>
    <hyperlink xmlns:r="http://schemas.openxmlformats.org/officeDocument/2006/relationships" ref="K11" r:id="rId6"/>
    <hyperlink xmlns:r="http://schemas.openxmlformats.org/officeDocument/2006/relationships" ref="B13" r:id="rId7"/>
    <hyperlink xmlns:r="http://schemas.openxmlformats.org/officeDocument/2006/relationships" ref="E13" r:id="rId8"/>
    <hyperlink xmlns:r="http://schemas.openxmlformats.org/officeDocument/2006/relationships" ref="H13" r:id="rId9"/>
    <hyperlink xmlns:r="http://schemas.openxmlformats.org/officeDocument/2006/relationships" ref="K13" r:id="rId10"/>
    <hyperlink xmlns:r="http://schemas.openxmlformats.org/officeDocument/2006/relationships" ref="B15" r:id="rId11"/>
    <hyperlink xmlns:r="http://schemas.openxmlformats.org/officeDocument/2006/relationships" ref="E15" r:id="rId12"/>
    <hyperlink xmlns:r="http://schemas.openxmlformats.org/officeDocument/2006/relationships" ref="H15" r:id="rId13"/>
    <hyperlink xmlns:r="http://schemas.openxmlformats.org/officeDocument/2006/relationships" ref="K15" r:id="rId14"/>
    <hyperlink xmlns:r="http://schemas.openxmlformats.org/officeDocument/2006/relationships" ref="B17" r:id="rId15"/>
    <hyperlink xmlns:r="http://schemas.openxmlformats.org/officeDocument/2006/relationships" ref="E17" r:id="rId16"/>
    <hyperlink xmlns:r="http://schemas.openxmlformats.org/officeDocument/2006/relationships" ref="H17" r:id="rId17"/>
    <hyperlink xmlns:r="http://schemas.openxmlformats.org/officeDocument/2006/relationships" ref="K17" r:id="rId18"/>
    <hyperlink xmlns:r="http://schemas.openxmlformats.org/officeDocument/2006/relationships" ref="B19" r:id="rId19"/>
    <hyperlink xmlns:r="http://schemas.openxmlformats.org/officeDocument/2006/relationships" ref="E19" r:id="rId20"/>
    <hyperlink xmlns:r="http://schemas.openxmlformats.org/officeDocument/2006/relationships" ref="H19" r:id="rId21"/>
    <hyperlink xmlns:r="http://schemas.openxmlformats.org/officeDocument/2006/relationships" ref="K19" r:id="rId22"/>
    <hyperlink xmlns:r="http://schemas.openxmlformats.org/officeDocument/2006/relationships" ref="B21" r:id="rId23"/>
    <hyperlink xmlns:r="http://schemas.openxmlformats.org/officeDocument/2006/relationships" ref="E21" r:id="rId24"/>
    <hyperlink xmlns:r="http://schemas.openxmlformats.org/officeDocument/2006/relationships" ref="H21" r:id="rId25"/>
    <hyperlink xmlns:r="http://schemas.openxmlformats.org/officeDocument/2006/relationships" ref="K21" r:id="rId26"/>
    <hyperlink xmlns:r="http://schemas.openxmlformats.org/officeDocument/2006/relationships" ref="B23" r:id="rId27"/>
    <hyperlink xmlns:r="http://schemas.openxmlformats.org/officeDocument/2006/relationships" ref="E23" r:id="rId28"/>
    <hyperlink xmlns:r="http://schemas.openxmlformats.org/officeDocument/2006/relationships" ref="H23" r:id="rId29"/>
    <hyperlink xmlns:r="http://schemas.openxmlformats.org/officeDocument/2006/relationships" ref="K23" r:id="rId30"/>
    <hyperlink xmlns:r="http://schemas.openxmlformats.org/officeDocument/2006/relationships" ref="B25" r:id="rId31"/>
    <hyperlink xmlns:r="http://schemas.openxmlformats.org/officeDocument/2006/relationships" ref="E25" r:id="rId32"/>
    <hyperlink xmlns:r="http://schemas.openxmlformats.org/officeDocument/2006/relationships" ref="H25" r:id="rId33"/>
    <hyperlink xmlns:r="http://schemas.openxmlformats.org/officeDocument/2006/relationships" ref="K25" r:id="rId34"/>
    <hyperlink xmlns:r="http://schemas.openxmlformats.org/officeDocument/2006/relationships" ref="B27" r:id="rId35"/>
    <hyperlink xmlns:r="http://schemas.openxmlformats.org/officeDocument/2006/relationships" ref="E27" r:id="rId36"/>
    <hyperlink xmlns:r="http://schemas.openxmlformats.org/officeDocument/2006/relationships" ref="B29" r:id="rId37"/>
    <hyperlink xmlns:r="http://schemas.openxmlformats.org/officeDocument/2006/relationships" ref="B31" r:id="rId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selection activeCell="A1" sqref="A1:H1"/>
    </sheetView>
  </sheetViews>
  <sheetFormatPr baseColWidth="10" defaultRowHeight="15"/>
  <cols>
    <col width="42" customWidth="1" min="1" max="8"/>
    <col width="42" customWidth="1" min="2" max="2"/>
    <col width="42" customWidth="1" min="3" max="3"/>
    <col width="42" customWidth="1" min="4" max="4"/>
    <col width="42" customWidth="1" min="5" max="5"/>
    <col width="42" customWidth="1" min="6" max="6"/>
    <col width="42" customWidth="1" min="7" max="7"/>
    <col width="42" customWidth="1" min="8" max="8"/>
  </cols>
  <sheetData>
    <row r="1" ht="18.75" customHeight="1" thickBot="1">
      <c r="A1" s="81" t="inlineStr">
        <is>
          <t>Base MAS - INSEE mise à jour 2023</t>
        </is>
      </c>
      <c r="B1" s="85" t="n"/>
      <c r="C1" s="85" t="n"/>
      <c r="D1" s="85" t="n"/>
      <c r="E1" s="85" t="n"/>
      <c r="F1" s="85" t="n"/>
      <c r="G1" s="85" t="n"/>
      <c r="H1" s="85" t="n"/>
    </row>
    <row r="2" ht="38.8" customHeight="1" thickBot="1" thickTop="1">
      <c r="A2" s="37" t="inlineStr">
        <is>
          <t>Details sur les calculs de la population</t>
        </is>
      </c>
      <c r="B2" s="37" t="inlineStr">
        <is>
          <t>Details sur les calculs du logement</t>
        </is>
      </c>
      <c r="C2" s="37" t="inlineStr">
        <is>
          <t>Details sur les calculs des activités des résidents</t>
        </is>
      </c>
      <c r="D2" s="37" t="inlineStr">
        <is>
          <t>Details sur les calculs des couples-familles-ménages</t>
        </is>
      </c>
      <c r="E2" s="37" t="inlineStr">
        <is>
          <t>Details sur les calculs des diplômes et formations</t>
        </is>
      </c>
      <c r="F2" s="37" t="inlineStr">
        <is>
          <t>Details sur les calculs des demandeurs d'emploi</t>
        </is>
      </c>
      <c r="G2" s="37" t="inlineStr">
        <is>
          <t>Details sur les calculs des bénéficiaires de la CAF</t>
        </is>
      </c>
      <c r="H2" s="37" t="inlineStr">
        <is>
          <t>Details sur les calculs des bénéficiaires de la CNAM</t>
        </is>
      </c>
    </row>
    <row r="3" ht="75.19999999999999" customHeight="1" thickTop="1">
      <c r="A3" s="39" t="inlineStr">
        <is>
          <t>Superficie en hectares (POP) -&gt; Superficie en km² * 100</t>
        </is>
      </c>
      <c r="B3" s="39" t="inlineStr">
        <is>
          <t>Superficie en hectares (LOG) -&gt; Superficie en km² * 100</t>
        </is>
      </c>
      <c r="C3" s="39" t="inlineStr">
        <is>
          <t>Population (ACT RES) -&gt; Population (feuille POP)</t>
        </is>
      </c>
      <c r="D3" s="39" t="inlineStr">
        <is>
          <t>Part des ménages avec famille(s) (%) -&gt; Ménages avec famille(s) * 100 / Ménages</t>
        </is>
      </c>
      <c r="E3" s="39" t="inlineStr">
        <is>
          <t>Part pop 15 ans et plus non scol sans dip ou CEP max (%) -&gt; Pop 15 ans ou plus non scol. Sans diplôme ou CEP * 100 / Pop 15 ans ou plus non scolarisée</t>
        </is>
      </c>
      <c r="F3" s="39" t="inlineStr">
        <is>
          <t>Population (DEFM) -&gt; Population (feuille POP)</t>
        </is>
      </c>
      <c r="G3" s="39" t="inlineStr">
        <is>
          <t>Population (CAF) -&gt; Population (feuille POP)</t>
        </is>
      </c>
      <c r="H3" s="122" t="inlineStr">
        <is>
          <t>Part de la population couverte bénéficiaire de la C2S non participative (%) -&gt; Population couverte bénéficiaire de la C2S non participative (ex-CMUC) * 100 / Population couverte bénéficiaire du régime général
(non calculé : variable absente de ce millésime)</t>
        </is>
      </c>
    </row>
    <row r="4" ht="75.19999999999999" customHeight="1">
      <c r="A4" s="39" t="inlineStr">
        <is>
          <t>Densité de population en hab/km² -&gt; Population / Superficie en km²</t>
        </is>
      </c>
      <c r="B4" s="39" t="inlineStr">
        <is>
          <t>Densité de logements au km² -&gt; Logements / Superficie en km²</t>
        </is>
      </c>
      <c r="C4" s="39" t="inlineStr">
        <is>
          <t>Part de la population en âge de travailler (%) -&gt; Pop 15-64 ans * 100 / Population (ACT RES)</t>
        </is>
      </c>
      <c r="D4" s="39" t="inlineStr">
        <is>
          <t>Part des ménages famille couple avec enfant(s) (%) -&gt; Mén fam princ Couple avec enfant(s) * 100 / Ménages</t>
        </is>
      </c>
      <c r="E4" s="39" t="inlineStr">
        <is>
          <t>Pop 15 ans ou plus non scol dipl Ens Sup -&gt; Pop 15 ans ou plus non scol. Enseignement sup de niveau bac + 2 + Pop 15 ans ou plus non scol. Enseignement sup de niveau bac + 3 ou 4 + Pop 15 ans ou plus non scol. Enseignement sup de niveau bac + 5 ou plus</t>
        </is>
      </c>
      <c r="F4" s="39" t="inlineStr">
        <is>
          <t>Part des DEFM dans la population totale (%) -&gt; DEFM * 100 / Population (DEFM)</t>
        </is>
      </c>
      <c r="G4" s="39" t="inlineStr">
        <is>
          <t>Part de la population couverte par une allocation CAF (%) -&gt; Personnes couvertes * 100 / Population (CAF)</t>
        </is>
      </c>
      <c r="H4" s="122" t="inlineStr">
        <is>
          <t>Part des bénéficiaires de la C2S non participative de moins de 18 ans (%) -&gt; Bénéficiaires de la C2S non participative (ex-CMUC) de moins de 18 ans * 100 / Population couverte bénéficiaire de la C2S non participative (ex-CMUC)
(non calculé : variable absente de ce millésime)</t>
        </is>
      </c>
    </row>
    <row r="5" ht="64" customHeight="1">
      <c r="A5" s="39" t="inlineStr">
        <is>
          <t>Part de la population de l’IRIS dans la population totale (%) -&gt; Population * 100 / Population (total Roubaix)</t>
        </is>
      </c>
      <c r="B5" s="39" t="inlineStr">
        <is>
          <t>Densité de logements par hectare -&gt; Logements / Superficie en hectares (LOG)</t>
        </is>
      </c>
      <c r="C5" s="39" t="inlineStr">
        <is>
          <t>Part de la population active dans la population en âge de travailler (%) -&gt; Actifs 15-64 ans * 100 / Pop 15-64 ans</t>
        </is>
      </c>
      <c r="D5" s="39" t="inlineStr">
        <is>
          <t>Part des familles couple avec enfant(s) (%) -&gt; Fam Couple avec enfant(s) * 100 / Familles</t>
        </is>
      </c>
      <c r="E5" s="39" t="inlineStr">
        <is>
          <t>Part pop 15 ans et plus non scol dipl Ens Sup (%) -&gt; Pop 15 ans ou plus non scol dipl Ens Sup * 100 / Pop 15 ans ou plus non scolarisée</t>
        </is>
      </c>
      <c r="F5" s="39" t="inlineStr">
        <is>
          <t>Part des DEFM hommes (%) -&gt; DEFM hommes * 100 / Population (DEFM)</t>
        </is>
      </c>
      <c r="G5" s="39" t="inlineStr">
        <is>
          <t>Part des allocataires mono-parent (%) -&gt; Allocataires mono-parent * 100 / Nombre total d'allocataires</t>
        </is>
      </c>
      <c r="H5" s="122" t="inlineStr">
        <is>
          <t>Part des moins de 18 ans bénéficiaires de la C2S non participative(%) -&gt; Bénéficiaires de la C2S non participative (ex-CMUC) de moins de 18 ans * 100 / Bénéficiaires du régime général de moins de 18 ans
(non calculé : variable absente de ce millésime)</t>
        </is>
      </c>
    </row>
    <row r="6" ht="64" customHeight="1">
      <c r="A6" s="39" t="inlineStr">
        <is>
          <t>Densité d’habitants à l’hectare -&gt; Population / Superficie en hectares (POP)</t>
        </is>
      </c>
      <c r="B6" s="39" t="inlineStr">
        <is>
          <t>Part des logements vacants (%) -&gt; Logements vacants * 100 / Logements</t>
        </is>
      </c>
      <c r="C6" s="39" t="inlineStr">
        <is>
          <t>Part des actifs 15-24 ans (%) -&gt; Actifs 15-24 ans * 100 / Pop 15-24 ans</t>
        </is>
      </c>
      <c r="D6" s="39" t="inlineStr">
        <is>
          <t>Part de familles monoparentales (%) -&gt; Fam Monoparentales * 100 / Familles</t>
        </is>
      </c>
      <c r="E6" s="123" t="n"/>
      <c r="F6" s="39" t="inlineStr">
        <is>
          <t>Part des DEFM femmes (%) -&gt; DEFM femmes * 100 / Population (DEFM)</t>
        </is>
      </c>
      <c r="G6" s="39" t="inlineStr">
        <is>
          <t>Part des allocataires percevant l’APL (%) -&gt; Allocataires percevant l’Aide Personnalisée au Logement (Métropole) * 100 / Nombre total d'allocataires</t>
        </is>
      </c>
      <c r="H6" s="122" t="inlineStr">
        <is>
          <t>Part de la population couverte bénéficiaire de la C2S participative (%) -&gt; Population couverte bénéficiaire de la C2S participative (ex-ACS) * 100 / Population couverte bénéficiaire du régime général
(non calculé : variable absente de ce millésime)</t>
        </is>
      </c>
    </row>
    <row r="7" ht="75.19999999999999" customHeight="1">
      <c r="A7" s="122" t="inlineStr">
        <is>
          <t>Population de plus de 60 ans -&gt; Pop 60-74 ans + Pop 75 ans ou plus
(non calculé : variable absente de ce millésime)</t>
        </is>
      </c>
      <c r="B7" s="39" t="inlineStr">
        <is>
          <t>Part des logements individuels (%) -&gt; Maisons * 100 / Logements</t>
        </is>
      </c>
      <c r="C7" s="39" t="inlineStr">
        <is>
          <t>Taux d’emploi des 15-64 ans (%) -&gt; Actifs occupés 15-64 ans * 100 / Pop 15-64 ans</t>
        </is>
      </c>
      <c r="D7" s="39" t="inlineStr">
        <is>
          <t>Nombre de familles nombreuses -&gt; Fam 3 enfants moins 25 ans + Fam 4 enfants ou plus moins 25 ans</t>
        </is>
      </c>
      <c r="E7" s="123" t="n"/>
      <c r="F7" s="39" t="inlineStr">
        <is>
          <t>Part des DEFM catégorie ABC (tenus de faire une recherche d'emploi active) -&gt; DEFM catégories ABC * 100 / DEFM</t>
        </is>
      </c>
      <c r="G7" s="39" t="inlineStr">
        <is>
          <t>Part des allocataires percevant l’AAH (%) -&gt; Allocataires percevant l’Allocation Adulte Handicapé * 100 / Nombre total d'allocataires</t>
        </is>
      </c>
      <c r="H7" s="122" t="inlineStr">
        <is>
          <t>Part des bénéficiaires de la C2S participative de moins de 18 ans (%) -&gt; Bénéficiaires de la C2S participative (ex-ACS) de moins de 18 ans * 100 / Population couverte bénéficiaire de la C2S participative (ex-ACS)
(non calculé : variable absente de ce millésime)</t>
        </is>
      </c>
    </row>
    <row r="8" ht="64" customHeight="1">
      <c r="A8" s="122" t="inlineStr">
        <is>
          <t>Part de la population de plus de 60 ans (%) parmi la population iris -&gt; Population de plus de 60 ans * 100 / Population
(non calculé : variable absente de ce millésime)</t>
        </is>
      </c>
      <c r="B8" s="39" t="inlineStr">
        <is>
          <t>Nombre de RP de petite typologie -&gt; Rés princ 1 pièce + Rés princ 2 pièces</t>
        </is>
      </c>
      <c r="C8" s="39" t="inlineStr">
        <is>
          <t>Taux d’emploi des 15-24 ans (%) -&gt; Actifs occupés 15-24 ans * 100 / Pop 15-24 ans</t>
        </is>
      </c>
      <c r="D8" s="39" t="inlineStr">
        <is>
          <t>Part de familles nombreuses (%) -&gt; Nombre de familles nombreuses * 100 / Familles</t>
        </is>
      </c>
      <c r="E8" s="123" t="n"/>
      <c r="F8" s="39" t="inlineStr">
        <is>
          <t>Part des DEFM ABC de moins de 26 ans (%) -&gt; DEFM catégories ABC moins de 26 ans * 100 / DEFM catégories ABC</t>
        </is>
      </c>
      <c r="G8" s="39" t="inlineStr">
        <is>
          <t>Part des allocataires bénéficiant du RSA socle (%) -&gt; Allocataires percevant le RSA socle * 100 / Nombre total d'allocataires</t>
        </is>
      </c>
      <c r="H8" s="122" t="inlineStr">
        <is>
          <t>Part des moins de 18 ans bénéficiaires de la C2S participative (%) -&gt; Bénéficiaires de la C2S participative (ex-ACS) de moins de 18 ans * 100 / Bénéficiaires du régime général de moins de 18 ans
(non calculé : variable absente de ce millésime)</t>
        </is>
      </c>
    </row>
    <row r="9" ht="64" customHeight="1">
      <c r="A9" s="39" t="inlineStr">
        <is>
          <t>Part de la population de moins de 20 ans (%) parmi la population iris -&gt; Pop 0-19 ans * 100 / Population</t>
        </is>
      </c>
      <c r="B9" s="39" t="inlineStr">
        <is>
          <t>Part des RP de petite typologie (%) -&gt; Nombre de RP de petite typologie * 100 / Résidences principales</t>
        </is>
      </c>
      <c r="C9" s="39" t="inlineStr">
        <is>
          <t>Taux de chômage dans la pop active (%) -&gt; Chômeurs 15-64 ans * 100 / Actifs 15-64 ans</t>
        </is>
      </c>
      <c r="D9" s="123" t="n"/>
      <c r="E9" s="123" t="n"/>
      <c r="F9" s="39" t="inlineStr">
        <is>
          <t>Part des DEFM ABC de niveau ≤ au BAC dans les DEFM ABC (%) -&gt; (DEFM catégories ABC de niveau de formation inférieur au CAP-BEP + DEFM catégories ABC de niveau de formation CAP-BEP + DEFM catégories ABC de niveau de formation BAC) * 100 / DEFM catégories ABC</t>
        </is>
      </c>
      <c r="G9" s="123" t="n"/>
      <c r="H9" s="123" t="n"/>
    </row>
    <row r="10" ht="52.8" customHeight="1">
      <c r="A10" s="122" t="inlineStr">
        <is>
          <t>Indice de jeunesse -&gt; Pop 0-19 ans / (Pop 60-74 ans + Pop 75 ans ou plus)
(non calculé : variable absente de ce millésime)</t>
        </is>
      </c>
      <c r="B10" s="39" t="inlineStr">
        <is>
          <t>Nombre de RP de grande typologie -&gt; Rés princ 3 pièces + Rés princ 4 pièces + Rés princ 5 pièces ou plus</t>
        </is>
      </c>
      <c r="C10" s="39" t="inlineStr">
        <is>
          <t>Taux de chômage chez les 15-24 ans dans la pop active (%) -&gt; Chômeurs 15-24 ans * 100 / Actifs 15-24 ans</t>
        </is>
      </c>
      <c r="D10" s="123" t="n"/>
      <c r="E10" s="123" t="n"/>
      <c r="F10" s="39" t="inlineStr">
        <is>
          <t>Part des DEFM ABC au chômage depuis plus de 2 ans parmi les DEFM ABC (%) -&gt; DEFM catégories ABC d'ancienneté au chômage d'au moins 2 ans * 100 / DEFM catégories ABC</t>
        </is>
      </c>
      <c r="G10" s="123" t="n"/>
      <c r="H10" s="123" t="n"/>
    </row>
    <row r="11" ht="52.8" customHeight="1">
      <c r="A11" s="39" t="inlineStr">
        <is>
          <t>Indice de vieillissement -&gt; Pop 65 ans ou plus / Pop 0-19 ans</t>
        </is>
      </c>
      <c r="B11" s="39" t="inlineStr">
        <is>
          <t>Part des RP de grande typologie (%) -&gt; Nombre de RP de grande typologie * 100 / Résidences principales</t>
        </is>
      </c>
      <c r="C11" s="39" t="inlineStr">
        <is>
          <t>Part salariés chez les actifs occupés (%) -&gt; Salariés 15 ans ou plus * 100 / Actifs occupés 15 ans ou plus</t>
        </is>
      </c>
      <c r="D11" s="123" t="n"/>
      <c r="E11" s="123" t="n"/>
      <c r="F11" s="39" t="inlineStr">
        <is>
          <t>Part des DEFM ABC au chômage depuis plus de 2 ans dans l'ensemble des chômeurs inscrits à PE (%) -&gt; DEFM catégories ABC d'ancienneté au chômage d'au moins 2 ans * 100 / DEFM</t>
        </is>
      </c>
      <c r="G11" s="123" t="n"/>
      <c r="H11" s="123" t="n"/>
    </row>
    <row r="12" ht="41.59999999999999" customHeight="1">
      <c r="A12" s="39" t="inlineStr">
        <is>
          <t>Part de la population étrangère parmi la population iris (%) -&gt; Pop Etrangers * 100 / Population</t>
        </is>
      </c>
      <c r="B12" s="39" t="inlineStr">
        <is>
          <t>Part des ménages emménagés depuis moins de 2 ans (%) -&gt; Ménages emménagés moins 2 ans * 100 / Ménages</t>
        </is>
      </c>
      <c r="C12" s="39" t="inlineStr">
        <is>
          <t>Part des femmes chez les salariés de 15 ans et plus (%) -&gt; Salariés 15 ans ou plus Femmes * 100 / Salariés 15 ans ou plus</t>
        </is>
      </c>
      <c r="D12" s="123" t="n"/>
      <c r="E12" s="123" t="n"/>
      <c r="F12" s="39" t="inlineStr">
        <is>
          <t>Part des DEFM ABC bénéficiaires du RSA parmi les DEFM ABC (%) -&gt; DEFM catégories ABC bénéficiaires du RSA * 100 / DEFM catégories ABC</t>
        </is>
      </c>
      <c r="G12" s="123" t="n"/>
      <c r="H12" s="123" t="n"/>
    </row>
    <row r="13" ht="41.59999999999999" customHeight="1">
      <c r="A13" s="39" t="inlineStr">
        <is>
          <t>Part de la population immigrée parmi la population iris (%) -&gt; Pop Immigrés * 100 / Population</t>
        </is>
      </c>
      <c r="B13" s="39" t="inlineStr">
        <is>
          <t>Ménages emménagés moins 10 ans -&gt; Ménages - Ménages emménagés depuis 10 ans ou plus</t>
        </is>
      </c>
      <c r="C13" s="39" t="inlineStr">
        <is>
          <t>Part des actifs occupés salariés en CDI ou fonction publique (%) -&gt; Salariés 15 ans ou plus Fonct publ, CDI * 100 / Salariés 15 ans ou plus</t>
        </is>
      </c>
      <c r="D13" s="123" t="n"/>
      <c r="E13" s="123" t="n"/>
      <c r="F13" s="39" t="inlineStr">
        <is>
          <t>Part des DEFM ABC bénéficiaires du RSA parmi l'ensemble des inscrits à PE (%) -&gt; DEFM catégories ABC bénéficiaires du RSA * 100 / DEFM</t>
        </is>
      </c>
      <c r="G13" s="123" t="n"/>
      <c r="H13" s="123" t="n"/>
    </row>
    <row r="14" ht="52.8" customHeight="1">
      <c r="A14" s="123" t="n"/>
      <c r="B14" s="39" t="inlineStr">
        <is>
          <t>Part des ménages emménagés depuis moins de 10 ans (%) -&gt; Ménages emménagés moins 10 ans * 100 / Ménages</t>
        </is>
      </c>
      <c r="C14" s="39" t="inlineStr">
        <is>
          <t>Part des actifs occupés travaillant dans la commune de résidence (%) -&gt; Actif occ 15 ans ou plus travaille commune résidence * 100 / Actifs occupés 15 ans ou plus</t>
        </is>
      </c>
      <c r="D14" s="123" t="n"/>
      <c r="E14" s="123" t="n"/>
      <c r="F14" s="123" t="n"/>
      <c r="G14" s="123" t="n"/>
      <c r="H14" s="123" t="n"/>
    </row>
    <row r="15" ht="19.2" customHeight="1">
      <c r="A15" s="123" t="n"/>
      <c r="B15" s="39" t="inlineStr">
        <is>
          <t>Taille moyenne des ménages -&gt; Pop Ménages / Ménages</t>
        </is>
      </c>
      <c r="C15" s="123" t="n"/>
      <c r="D15" s="123" t="n"/>
      <c r="E15" s="123" t="n"/>
      <c r="F15" s="123" t="n"/>
      <c r="G15" s="123" t="n"/>
      <c r="H15" s="123" t="n"/>
    </row>
    <row r="16" ht="30.4" customHeight="1">
      <c r="A16" s="123" t="n"/>
      <c r="B16" s="39" t="inlineStr">
        <is>
          <t>Nombre de RP parc privé -&gt; Résidences principales - Rés princ HLM louée vide</t>
        </is>
      </c>
      <c r="C16" s="123" t="n"/>
      <c r="D16" s="123" t="n"/>
      <c r="E16" s="123" t="n"/>
      <c r="F16" s="123" t="n"/>
      <c r="G16" s="123" t="n"/>
      <c r="H16" s="123" t="n"/>
    </row>
    <row r="17" ht="41.59999999999999" customHeight="1">
      <c r="A17" s="123" t="n"/>
      <c r="B17" s="39" t="inlineStr">
        <is>
          <t>Part propriétaire dans les RP parc privé (%) -&gt; Rés princ occupées Propriétaires * 100 / Nombre de RP parc privé</t>
        </is>
      </c>
      <c r="C17" s="123" t="n"/>
      <c r="D17" s="123" t="n"/>
      <c r="E17" s="123" t="n"/>
      <c r="F17" s="123" t="n"/>
      <c r="G17" s="123" t="n"/>
      <c r="H17" s="123" t="n"/>
    </row>
    <row r="18" ht="41.59999999999999" customHeight="1">
      <c r="A18" s="123" t="n"/>
      <c r="B18" s="39" t="inlineStr">
        <is>
          <t>Part propriétaire dans le parc de RP total (%) -&gt; Rés princ occupées Propriétaires * 100 / Résidences principales</t>
        </is>
      </c>
      <c r="C18" s="123" t="n"/>
      <c r="D18" s="123" t="n"/>
      <c r="E18" s="123" t="n"/>
      <c r="F18" s="123" t="n"/>
      <c r="G18" s="123" t="n"/>
      <c r="H18" s="123" t="n"/>
    </row>
    <row r="19" ht="30.4" customHeight="1">
      <c r="A19" s="123" t="n"/>
      <c r="B19" s="39" t="inlineStr">
        <is>
          <t>Part HLM dans RP totale (%) -&gt; Rés princ HLM louée vide * 100 / Résidences principales</t>
        </is>
      </c>
      <c r="C19" s="123" t="n"/>
      <c r="D19" s="123" t="n"/>
      <c r="E19" s="123" t="n"/>
      <c r="F19" s="123" t="n"/>
      <c r="G19" s="123" t="n"/>
      <c r="H19" s="123" t="n"/>
    </row>
    <row r="20" ht="30.4" customHeight="1">
      <c r="A20" s="123" t="n"/>
      <c r="B20" s="39" t="inlineStr">
        <is>
          <t>Part HLM dans les RP locataires (%) -&gt; Rés princ HLM louée vide * 100 / Rés princ occupées Locataires</t>
        </is>
      </c>
      <c r="C20" s="123" t="n"/>
      <c r="D20" s="123" t="n"/>
      <c r="E20" s="123" t="n"/>
      <c r="F20" s="123" t="n"/>
      <c r="G20" s="123" t="n"/>
      <c r="H20" s="123" t="n"/>
    </row>
    <row r="21" ht="30.4" customHeight="1">
      <c r="A21" s="123" t="n"/>
      <c r="B21" s="39" t="inlineStr">
        <is>
          <t>Part des ménages avec parking (%) -&gt; Ménages au moins un parking * 100 / Ménages</t>
        </is>
      </c>
      <c r="C21" s="123" t="n"/>
      <c r="D21" s="123" t="n"/>
      <c r="E21" s="123" t="n"/>
      <c r="F21" s="123" t="n"/>
      <c r="G21" s="123" t="n"/>
      <c r="H21" s="123" t="n"/>
    </row>
    <row r="22" ht="30.4" customHeight="1">
      <c r="A22" s="123" t="n"/>
      <c r="B22" s="39" t="inlineStr">
        <is>
          <t>Part des ménages avec au moins une voiture (%) -&gt; Ménages au moins une voiture * 100 / Ménages</t>
        </is>
      </c>
      <c r="C22" s="123" t="n"/>
      <c r="D22" s="123" t="n"/>
      <c r="E22" s="123" t="n"/>
      <c r="F22" s="123" t="n"/>
      <c r="G22" s="123" t="n"/>
      <c r="H22" s="123" t="n"/>
    </row>
  </sheetData>
  <mergeCells count="1">
    <mergeCell ref="A1:H1"/>
  </mergeCells>
  <pageMargins left="0.7" right="0.7" top="0.75" bottom="0.75" header="0.3" footer="0.3"/>
  <pageSetup orientation="landscape" paperSize="9"/>
</worksheet>
</file>

<file path=xl/worksheets/sheet4.xml><?xml version="1.0" encoding="utf-8"?>
<worksheet xmlns="http://schemas.openxmlformats.org/spreadsheetml/2006/main">
  <sheetPr>
    <outlinePr summaryBelow="1" summaryRight="1"/>
    <pageSetUpPr/>
  </sheetPr>
  <dimension ref="A1:BT40"/>
  <sheetViews>
    <sheetView topLeftCell="A1" workbookViewId="0">
      <pane xSplit="3" ySplit="2" topLeftCell="D3" activePane="bottomRight" state="frozen"/>
      <selection pane="topRight"/>
      <selection pane="bottomLeft"/>
      <selection pane="bottomRight" activeCell="H1" sqref="H1"/>
      <selection pane="bottomLeft" activeCell="A3" sqref="A3"/>
      <selection pane="bottomRight" activeCell="A1" sqref="A1"/>
    </sheetView>
  </sheetViews>
  <sheetFormatPr baseColWidth="10" defaultColWidth="9.140625" defaultRowHeight="15"/>
  <cols>
    <col width="13" customWidth="1" min="1" max="1"/>
    <col width="31" customWidth="1" min="2" max="2"/>
    <col width="26" customWidth="1" min="3" max="3"/>
    <col width="14" customWidth="1" min="4" max="4"/>
    <col width="14" customWidth="1" min="5" max="5"/>
    <col width="14" customWidth="1" min="6" max="6"/>
    <col width="14" customWidth="1" min="7" max="7"/>
    <col width="14" customWidth="1" min="8" max="11"/>
    <col width="14" customWidth="1" min="9" max="9"/>
    <col width="14" customWidth="1" min="10" max="10"/>
    <col width="14" customWidth="1" min="11" max="11"/>
    <col width="14" customWidth="1" min="12" max="17"/>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3"/>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6" customWidth="1" min="30" max="33"/>
    <col width="18" customWidth="1" min="31" max="31"/>
    <col width="17" customWidth="1" min="32" max="32"/>
    <col width="18" customWidth="1" min="33" max="33"/>
    <col width="14" customWidth="1" min="34" max="34"/>
    <col width="14" customWidth="1" min="35" max="35"/>
    <col width="14" customWidth="1" min="36" max="36"/>
    <col width="14" customWidth="1" min="37" max="37"/>
    <col width="14" customWidth="1" min="38" max="38"/>
    <col width="17" customWidth="1" min="39" max="39"/>
    <col width="20" customWidth="1" min="40" max="43"/>
    <col width="17" customWidth="1" min="41" max="41"/>
    <col width="18" customWidth="1" min="42" max="42"/>
    <col width="14" customWidth="1" min="43" max="43"/>
    <col width="14" customWidth="1" min="44" max="44"/>
    <col width="14" customWidth="1" min="45" max="45"/>
    <col width="14" customWidth="1" min="46" max="46"/>
    <col width="14" customWidth="1" min="47" max="47"/>
    <col width="17" customWidth="1" min="48" max="48"/>
    <col width="20" customWidth="1" min="49" max="49"/>
    <col width="17" customWidth="1" min="50" max="50"/>
    <col width="18"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24" customWidth="1" min="67" max="67"/>
    <col width="15" customWidth="1" min="68" max="68"/>
    <col width="23" customWidth="1" min="69" max="69"/>
    <col width="18" customWidth="1" min="70" max="70"/>
    <col width="23" customWidth="1" min="71" max="71"/>
    <col width="23" customWidth="1" min="72" max="72"/>
    <col width="35.7109375" customWidth="1" min="73" max="73"/>
    <col width="33.5703125" customWidth="1" min="74" max="74"/>
    <col width="15" customWidth="1" min="75" max="75"/>
    <col width="15.28515625" customWidth="1" min="76" max="77"/>
    <col width="15" customWidth="1" min="78" max="78"/>
    <col width="19.28515625" customWidth="1" min="79" max="79"/>
    <col width="18.7109375" customWidth="1" min="80" max="80"/>
    <col width="28.42578125" customWidth="1" min="81" max="81"/>
    <col width="33.5703125" customWidth="1" min="82" max="82"/>
    <col width="55" customWidth="1" min="83" max="83"/>
    <col width="30.140625" customWidth="1" min="84" max="84"/>
    <col width="28.28515625" customWidth="1" min="85" max="85"/>
    <col width="61.28515625" customWidth="1" min="86" max="86"/>
    <col width="63" customWidth="1" min="87" max="87"/>
    <col width="19.7109375" customWidth="1" min="88" max="88"/>
    <col width="24.28515625" customWidth="1" min="89" max="89"/>
    <col width="55" customWidth="1" min="90" max="90"/>
    <col width="54.85546875" customWidth="1" min="91" max="91"/>
  </cols>
  <sheetData>
    <row r="1" ht="21" customHeight="1">
      <c r="A1" s="124" t="inlineStr">
        <is>
          <t>Données infra-communales - Population</t>
        </is>
      </c>
      <c r="B1" s="125" t="n"/>
      <c r="C1" s="126" t="n"/>
      <c r="D1" s="127">
        <f>SUBTOTAL(9,D3:D40)</f>
        <v/>
      </c>
      <c r="E1" s="127">
        <f>SUBTOTAL(9,E3:E40)</f>
        <v/>
      </c>
      <c r="F1" s="127">
        <f>SUBTOTAL(9,F3:F40)</f>
        <v/>
      </c>
      <c r="G1" s="127">
        <f>SUBTOTAL(9,G3:G40)</f>
        <v/>
      </c>
      <c r="H1" s="127">
        <f>SUBTOTAL(9,H3:H40)</f>
        <v/>
      </c>
      <c r="I1" s="127">
        <f>SUBTOTAL(9,I3:I40)</f>
        <v/>
      </c>
      <c r="J1" s="127">
        <f>SUBTOTAL(9,J3:J40)</f>
        <v/>
      </c>
      <c r="K1" s="127">
        <f>SUBTOTAL(9,K3:K40)</f>
        <v/>
      </c>
      <c r="L1" s="127">
        <f>SUBTOTAL(9,L3:L40)</f>
        <v/>
      </c>
      <c r="M1" s="127">
        <f>SUBTOTAL(9,M3:M40)</f>
        <v/>
      </c>
      <c r="N1" s="127">
        <f>SUBTOTAL(9,N3:N40)</f>
        <v/>
      </c>
      <c r="O1" s="127">
        <f>SUBTOTAL(9,O3:O40)</f>
        <v/>
      </c>
      <c r="P1" s="127">
        <f>SUBTOTAL(9,P3:P40)</f>
        <v/>
      </c>
      <c r="Q1" s="127">
        <f>SUBTOTAL(9,Q3:Q40)</f>
        <v/>
      </c>
      <c r="R1" s="127">
        <f>SUBTOTAL(9,R3:R40)</f>
        <v/>
      </c>
      <c r="S1" s="127">
        <f>SUBTOTAL(9,S3:S40)</f>
        <v/>
      </c>
      <c r="T1" s="127">
        <f>SUBTOTAL(9,T3:T40)</f>
        <v/>
      </c>
      <c r="U1" s="127">
        <f>SUBTOTAL(9,U3:U40)</f>
        <v/>
      </c>
      <c r="V1" s="127">
        <f>SUBTOTAL(9,V3:V40)</f>
        <v/>
      </c>
      <c r="W1" s="127">
        <f>SUBTOTAL(9,W3:W40)</f>
        <v/>
      </c>
      <c r="X1" s="127">
        <f>SUBTOTAL(9,X3:X40)</f>
        <v/>
      </c>
      <c r="Y1" s="127">
        <f>SUBTOTAL(9,Y3:Y40)</f>
        <v/>
      </c>
      <c r="Z1" s="127">
        <f>SUBTOTAL(9,Z3:Z40)</f>
        <v/>
      </c>
      <c r="AA1" s="127">
        <f>SUBTOTAL(9,AA3:AA40)</f>
        <v/>
      </c>
      <c r="AB1" s="127">
        <f>SUBTOTAL(9,AB3:AB40)</f>
        <v/>
      </c>
      <c r="AC1" s="127">
        <f>SUBTOTAL(9,AC3:AC40)</f>
        <v/>
      </c>
      <c r="AD1" s="127">
        <f>SUBTOTAL(9,AD3:AD40)</f>
        <v/>
      </c>
      <c r="AE1" s="127">
        <f>SUBTOTAL(9,AE3:AE40)</f>
        <v/>
      </c>
      <c r="AF1" s="127">
        <f>SUBTOTAL(9,AF3:AF40)</f>
        <v/>
      </c>
      <c r="AG1" s="127">
        <f>SUBTOTAL(9,AG3:AG40)</f>
        <v/>
      </c>
      <c r="AH1" s="127">
        <f>SUBTOTAL(9,AH3:AH40)</f>
        <v/>
      </c>
      <c r="AI1" s="127">
        <f>SUBTOTAL(9,AI3:AI40)</f>
        <v/>
      </c>
      <c r="AJ1" s="127">
        <f>SUBTOTAL(9,AJ3:AJ40)</f>
        <v/>
      </c>
      <c r="AK1" s="127">
        <f>SUBTOTAL(9,AK3:AK40)</f>
        <v/>
      </c>
      <c r="AL1" s="127">
        <f>SUBTOTAL(9,AL3:AL40)</f>
        <v/>
      </c>
      <c r="AM1" s="127">
        <f>SUBTOTAL(9,AM3:AM40)</f>
        <v/>
      </c>
      <c r="AN1" s="127">
        <f>SUBTOTAL(9,AN3:AN40)</f>
        <v/>
      </c>
      <c r="AO1" s="127">
        <f>SUBTOTAL(9,AO3:AO40)</f>
        <v/>
      </c>
      <c r="AP1" s="127">
        <f>SUBTOTAL(9,AP3:AP40)</f>
        <v/>
      </c>
      <c r="AQ1" s="127">
        <f>SUBTOTAL(9,AQ3:AQ40)</f>
        <v/>
      </c>
      <c r="AR1" s="127">
        <f>SUBTOTAL(9,AR3:AR40)</f>
        <v/>
      </c>
      <c r="AS1" s="127">
        <f>SUBTOTAL(9,AS3:AS40)</f>
        <v/>
      </c>
      <c r="AT1" s="127">
        <f>SUBTOTAL(9,AT3:AT40)</f>
        <v/>
      </c>
      <c r="AU1" s="127">
        <f>SUBTOTAL(9,AU3:AU40)</f>
        <v/>
      </c>
      <c r="AV1" s="127">
        <f>SUBTOTAL(9,AV3:AV40)</f>
        <v/>
      </c>
      <c r="AW1" s="127">
        <f>SUBTOTAL(9,AW3:AW40)</f>
        <v/>
      </c>
      <c r="AX1" s="127">
        <f>SUBTOTAL(9,AX3:AX40)</f>
        <v/>
      </c>
      <c r="AY1" s="127">
        <f>SUBTOTAL(9,AY3:AY40)</f>
        <v/>
      </c>
      <c r="AZ1" s="127">
        <f>SUBTOTAL(9,AZ3:AZ40)</f>
        <v/>
      </c>
      <c r="BA1" s="127">
        <f>SUBTOTAL(9,BA3:BA40)</f>
        <v/>
      </c>
      <c r="BB1" s="127">
        <f>SUBTOTAL(9,BB3:BB40)</f>
        <v/>
      </c>
      <c r="BC1" s="127">
        <f>SUBTOTAL(9,BC3:BC40)</f>
        <v/>
      </c>
      <c r="BD1" s="127">
        <f>SUBTOTAL(9,BD3:BD40)</f>
        <v/>
      </c>
      <c r="BE1" s="127">
        <f>SUBTOTAL(9,BE3:BE40)</f>
        <v/>
      </c>
      <c r="BF1" s="127">
        <f>SUBTOTAL(9,BF3:BF40)</f>
        <v/>
      </c>
      <c r="BG1" s="127">
        <f>SUBTOTAL(9,BG3:BG40)</f>
        <v/>
      </c>
      <c r="BH1" s="127">
        <f>SUBTOTAL(9,BH3:BH40)</f>
        <v/>
      </c>
      <c r="BI1" s="127">
        <f>SUBTOTAL(9,BI3:BI40)</f>
        <v/>
      </c>
      <c r="BJ1" s="127">
        <f>SUBTOTAL(9,BJ3:BJ40)</f>
        <v/>
      </c>
      <c r="BK1" s="127">
        <f>SUBTOTAL(9,BK3:BK40)</f>
        <v/>
      </c>
      <c r="BL1" s="128">
        <f>SUBTOTAL(9,BL3:BL40)</f>
        <v/>
      </c>
      <c r="BM1" s="128">
        <f>SUBTOTAL(9,BM3:BM40)</f>
        <v/>
      </c>
      <c r="BN1" s="129" t="n"/>
      <c r="BO1" s="129" t="n"/>
      <c r="BP1" s="129" t="n"/>
      <c r="BQ1" s="129" t="n"/>
      <c r="BR1" s="129" t="n"/>
      <c r="BS1" s="129" t="n"/>
      <c r="BT1" s="129" t="n"/>
    </row>
    <row r="2" ht="70" customHeight="1">
      <c r="A2" s="45" t="inlineStr">
        <is>
          <t>Mairies de quartiers</t>
        </is>
      </c>
      <c r="B2" s="45" t="inlineStr">
        <is>
          <t>Grands quartiers</t>
        </is>
      </c>
      <c r="C2" s="45" t="inlineStr">
        <is>
          <t>Libellé de l'Iris</t>
        </is>
      </c>
      <c r="D2" s="46" t="inlineStr">
        <is>
          <t>Population</t>
        </is>
      </c>
      <c r="E2" s="46" t="inlineStr">
        <is>
          <t>Pop 0-2 ans</t>
        </is>
      </c>
      <c r="F2" s="46" t="inlineStr">
        <is>
          <t>Pop 3-5 ans</t>
        </is>
      </c>
      <c r="G2" s="46" t="inlineStr">
        <is>
          <t>Pop 6-10 ans</t>
        </is>
      </c>
      <c r="H2" s="46" t="inlineStr">
        <is>
          <t>Pop 11-17 ans</t>
        </is>
      </c>
      <c r="I2" s="46" t="inlineStr">
        <is>
          <t>Pop 18-24 ans</t>
        </is>
      </c>
      <c r="J2" s="46" t="inlineStr">
        <is>
          <t>Pop 25-39 ans</t>
        </is>
      </c>
      <c r="K2" s="46" t="inlineStr">
        <is>
          <t>Pop 40-54 ans</t>
        </is>
      </c>
      <c r="L2" s="46" t="inlineStr">
        <is>
          <t>Pop 55-64 ans</t>
        </is>
      </c>
      <c r="M2" s="46" t="inlineStr">
        <is>
          <t>Pop 65-79 ans</t>
        </is>
      </c>
      <c r="N2" s="46" t="inlineStr">
        <is>
          <t>Pop 80 ans ou plus</t>
        </is>
      </c>
      <c r="O2" s="46" t="inlineStr">
        <is>
          <t>Pop 0-14 ans</t>
        </is>
      </c>
      <c r="P2" s="46" t="inlineStr">
        <is>
          <t>Pop 0-19 ans</t>
        </is>
      </c>
      <c r="Q2" s="46" t="inlineStr">
        <is>
          <t>Pop 20-64 ans</t>
        </is>
      </c>
      <c r="R2" s="46" t="inlineStr">
        <is>
          <t>Pop 65 ans ou plus</t>
        </is>
      </c>
      <c r="S2" s="46" t="inlineStr">
        <is>
          <t>Pop Hommes</t>
        </is>
      </c>
      <c r="T2" s="46" t="inlineStr">
        <is>
          <t>Pop Hommes 0-14 ans</t>
        </is>
      </c>
      <c r="U2" s="46" t="inlineStr">
        <is>
          <t>Pop Hommes 0-19 ans</t>
        </is>
      </c>
      <c r="V2" s="46" t="inlineStr">
        <is>
          <t>Pop Hommes 20-64 ans</t>
        </is>
      </c>
      <c r="W2" s="46" t="inlineStr">
        <is>
          <t>Pop Hommes 65 ans ou plus</t>
        </is>
      </c>
      <c r="X2" s="46" t="inlineStr">
        <is>
          <t>Pop Femmes</t>
        </is>
      </c>
      <c r="Y2" s="46" t="inlineStr">
        <is>
          <t>Pop Femmes 0-14 ans</t>
        </is>
      </c>
      <c r="Z2" s="46" t="inlineStr">
        <is>
          <t>Pop Femmes 0-19 ans</t>
        </is>
      </c>
      <c r="AA2" s="46" t="inlineStr">
        <is>
          <t>Pop Femmes 20-64 ans</t>
        </is>
      </c>
      <c r="AB2" s="46" t="inlineStr">
        <is>
          <t>Pop Femmes 65 ans ou plus</t>
        </is>
      </c>
      <c r="AC2" s="46" t="inlineStr">
        <is>
          <t>Pop 15 ans ou plus</t>
        </is>
      </c>
      <c r="AD2" s="46" t="inlineStr">
        <is>
          <t>Pop 15 ans ou plus Agriculteurs exploitants</t>
        </is>
      </c>
      <c r="AE2" s="46" t="inlineStr">
        <is>
          <t>Pop 15 ans ou plus Artisans, Comm., Chefs entr.</t>
        </is>
      </c>
      <c r="AF2" s="46" t="inlineStr">
        <is>
          <t>Pop 15 ans ou plus Cadres, Prof. intel. sup.</t>
        </is>
      </c>
      <c r="AG2" s="46" t="inlineStr">
        <is>
          <t>Pop 15 ans ou plus Prof. intermédiaires</t>
        </is>
      </c>
      <c r="AH2" s="46" t="inlineStr">
        <is>
          <t>Pop 15 ans ou plus Employés</t>
        </is>
      </c>
      <c r="AI2" s="46" t="inlineStr">
        <is>
          <t>Pop 15 ans ou plus Ouvriers</t>
        </is>
      </c>
      <c r="AJ2" s="46" t="inlineStr">
        <is>
          <t>Pop 15 ans ou plus Retraités</t>
        </is>
      </c>
      <c r="AK2" s="46" t="inlineStr">
        <is>
          <t>Pop 15 ans ou plus Autres</t>
        </is>
      </c>
      <c r="AL2" s="46" t="inlineStr">
        <is>
          <t>Pop 15 ans ou plus Hommes</t>
        </is>
      </c>
      <c r="AM2" s="46" t="inlineStr">
        <is>
          <t>Pop 15 ans ou plus Hommes Agriculteurs exploitants</t>
        </is>
      </c>
      <c r="AN2" s="46" t="inlineStr">
        <is>
          <t>Pop 15 ans ou plus Hommes Artisans, Comm., Chefs entr.</t>
        </is>
      </c>
      <c r="AO2" s="46" t="inlineStr">
        <is>
          <t>Pop 15 ans ou plus Hommes Cadres, Prof. intel. sup.</t>
        </is>
      </c>
      <c r="AP2" s="46" t="inlineStr">
        <is>
          <t>Pop 15 ans ou plus Hommes Prof. intermédiaires</t>
        </is>
      </c>
      <c r="AQ2" s="46" t="inlineStr">
        <is>
          <t>Pop 15 ans ou plus Hommes Employés</t>
        </is>
      </c>
      <c r="AR2" s="46" t="inlineStr">
        <is>
          <t>Pop 15 ans ou plus Hommes Ouvriers</t>
        </is>
      </c>
      <c r="AS2" s="46" t="inlineStr">
        <is>
          <t>Pop 15 ans ou plus Hommes Retraités</t>
        </is>
      </c>
      <c r="AT2" s="46" t="inlineStr">
        <is>
          <t>Pop 15 ans ou plus Hommes Autres</t>
        </is>
      </c>
      <c r="AU2" s="46" t="inlineStr">
        <is>
          <t>Pop 15 ans ou plus Femmes</t>
        </is>
      </c>
      <c r="AV2" s="46" t="inlineStr">
        <is>
          <t>Pop 15 ans ou plus Femmes Agriculteurs exploitants</t>
        </is>
      </c>
      <c r="AW2" s="46" t="inlineStr">
        <is>
          <t>Pop 15 ans ou plus Femmes Artisans, Comm., Chefs entr.</t>
        </is>
      </c>
      <c r="AX2" s="46" t="inlineStr">
        <is>
          <t>Pop 15 ans ou plus Femmes Cadres, Prof. intel. sup.</t>
        </is>
      </c>
      <c r="AY2" s="46" t="inlineStr">
        <is>
          <t>Pop 15 ans ou plus Femmes Prof. intermédiaires</t>
        </is>
      </c>
      <c r="AZ2" s="46" t="inlineStr">
        <is>
          <t>Pop 15 ans ou plus Femmes Employés</t>
        </is>
      </c>
      <c r="BA2" s="46" t="inlineStr">
        <is>
          <t>Pop 15 ans ou plus Femmes Ouvriers</t>
        </is>
      </c>
      <c r="BB2" s="46" t="inlineStr">
        <is>
          <t>Pop 15 ans ou plus Femmes Retraités</t>
        </is>
      </c>
      <c r="BC2" s="46" t="inlineStr">
        <is>
          <t>Pop 15 ans ou plus Femmes Autres</t>
        </is>
      </c>
      <c r="BD2" s="46" t="inlineStr">
        <is>
          <t>Pop Français</t>
        </is>
      </c>
      <c r="BE2" s="46" t="inlineStr">
        <is>
          <t>Pop Etrangers</t>
        </is>
      </c>
      <c r="BF2" s="46" t="inlineStr">
        <is>
          <t>Pop Immigrés</t>
        </is>
      </c>
      <c r="BG2" s="46" t="inlineStr">
        <is>
          <t>Pop ménages</t>
        </is>
      </c>
      <c r="BH2" s="46" t="inlineStr">
        <is>
          <t>Pop hors ménages</t>
        </is>
      </c>
      <c r="BI2" s="46" t="inlineStr">
        <is>
          <t>Pop 15-24 ans</t>
        </is>
      </c>
      <c r="BJ2" s="46" t="inlineStr">
        <is>
          <t>Pop 15-24 ans Hommes</t>
        </is>
      </c>
      <c r="BK2" s="46" t="inlineStr">
        <is>
          <t>Pop 15-24 ans Femmes</t>
        </is>
      </c>
      <c r="BL2" s="47" t="inlineStr">
        <is>
          <t>Superficie en km²</t>
        </is>
      </c>
      <c r="BM2" s="47" t="inlineStr">
        <is>
          <t>Superficie en hectares (POP)</t>
        </is>
      </c>
      <c r="BN2" s="130" t="inlineStr">
        <is>
          <t>Densité de population en hab/km²</t>
        </is>
      </c>
      <c r="BO2" s="130" t="inlineStr">
        <is>
          <t>Part de la population de l’IRIS dans la population totale (%)</t>
        </is>
      </c>
      <c r="BP2" s="130" t="inlineStr">
        <is>
          <t>Densité d’habitants à l’hectare</t>
        </is>
      </c>
      <c r="BQ2" s="130" t="inlineStr">
        <is>
          <t>Part de la population de moins de 20 ans (%) parmi la population iris</t>
        </is>
      </c>
      <c r="BR2" s="130" t="inlineStr">
        <is>
          <t>Indice de vieillissement</t>
        </is>
      </c>
      <c r="BS2" s="130" t="inlineStr">
        <is>
          <t>Part de la population étrangère parmi la population iris (%)</t>
        </is>
      </c>
      <c r="BT2" s="131" t="inlineStr">
        <is>
          <t>Part de la population immigrée parmi la population iris (%)</t>
        </is>
      </c>
    </row>
    <row r="3" ht="30" customHeight="1">
      <c r="A3" s="3" t="inlineStr">
        <is>
          <t>OUEST</t>
        </is>
      </c>
      <c r="B3" s="3" t="inlineStr">
        <is>
          <t>FRESNOY MACKELLERIE</t>
        </is>
      </c>
      <c r="C3" s="3" t="inlineStr">
        <is>
          <t>Mackellerie</t>
        </is>
      </c>
      <c r="D3" s="132" t="n">
        <v>2501</v>
      </c>
      <c r="E3" s="132" t="n">
        <v>99</v>
      </c>
      <c r="F3" s="132" t="n">
        <v>204</v>
      </c>
      <c r="G3" s="132" t="n">
        <v>235</v>
      </c>
      <c r="H3" s="132" t="n">
        <v>304</v>
      </c>
      <c r="I3" s="132" t="n">
        <v>256</v>
      </c>
      <c r="J3" s="132" t="n">
        <v>540</v>
      </c>
      <c r="K3" s="132" t="n">
        <v>413</v>
      </c>
      <c r="L3" s="132" t="n">
        <v>221</v>
      </c>
      <c r="M3" s="132" t="n">
        <v>173</v>
      </c>
      <c r="N3" s="132" t="n">
        <v>55</v>
      </c>
      <c r="O3" s="132" t="n">
        <v>725</v>
      </c>
      <c r="P3" s="132" t="n">
        <v>914</v>
      </c>
      <c r="Q3" s="132" t="n">
        <v>1358</v>
      </c>
      <c r="R3" s="132" t="n">
        <v>229</v>
      </c>
      <c r="S3" s="132" t="n">
        <v>1280</v>
      </c>
      <c r="T3" s="132" t="n">
        <v>415</v>
      </c>
      <c r="U3" s="132" t="n">
        <v>519</v>
      </c>
      <c r="V3" s="132" t="n">
        <v>647</v>
      </c>
      <c r="W3" s="132" t="n">
        <v>115</v>
      </c>
      <c r="X3" s="132" t="n">
        <v>1221</v>
      </c>
      <c r="Y3" s="132" t="n">
        <v>310</v>
      </c>
      <c r="Z3" s="132" t="n">
        <v>395</v>
      </c>
      <c r="AA3" s="132" t="n">
        <v>711</v>
      </c>
      <c r="AB3" s="132" t="n">
        <v>114</v>
      </c>
      <c r="AC3" s="132" t="n">
        <v>1849</v>
      </c>
      <c r="AD3" s="132" t="n">
        <v>0</v>
      </c>
      <c r="AE3" s="132" t="n">
        <v>36</v>
      </c>
      <c r="AF3" s="132" t="n">
        <v>87</v>
      </c>
      <c r="AG3" s="132" t="n">
        <v>175</v>
      </c>
      <c r="AH3" s="132" t="n">
        <v>370</v>
      </c>
      <c r="AI3" s="132" t="n">
        <v>334</v>
      </c>
      <c r="AJ3" s="132" t="n">
        <v>283</v>
      </c>
      <c r="AK3" s="132" t="n">
        <v>564</v>
      </c>
      <c r="AL3" s="132" t="n">
        <v>869</v>
      </c>
      <c r="AM3" s="132" t="n">
        <v>0</v>
      </c>
      <c r="AN3" s="132" t="n">
        <v>18</v>
      </c>
      <c r="AO3" s="132" t="n">
        <v>50</v>
      </c>
      <c r="AP3" s="132" t="n">
        <v>91</v>
      </c>
      <c r="AQ3" s="132" t="n">
        <v>121</v>
      </c>
      <c r="AR3" s="132" t="n">
        <v>257</v>
      </c>
      <c r="AS3" s="132" t="n">
        <v>137</v>
      </c>
      <c r="AT3" s="132" t="n">
        <v>193</v>
      </c>
      <c r="AU3" s="132" t="n">
        <v>981</v>
      </c>
      <c r="AV3" s="132" t="n">
        <v>0</v>
      </c>
      <c r="AW3" s="132" t="n">
        <v>18</v>
      </c>
      <c r="AX3" s="132" t="n">
        <v>38</v>
      </c>
      <c r="AY3" s="132" t="n">
        <v>84</v>
      </c>
      <c r="AZ3" s="132" t="n">
        <v>249</v>
      </c>
      <c r="BA3" s="132" t="n">
        <v>76</v>
      </c>
      <c r="BB3" s="132" t="n">
        <v>146</v>
      </c>
      <c r="BC3" s="132" t="n">
        <v>371</v>
      </c>
      <c r="BD3" s="132" t="n">
        <v>2113</v>
      </c>
      <c r="BE3" s="132" t="n">
        <v>388</v>
      </c>
      <c r="BF3" s="132" t="n">
        <v>502</v>
      </c>
      <c r="BG3" s="132" t="n">
        <v>2460</v>
      </c>
      <c r="BH3" s="132" t="n">
        <v>41</v>
      </c>
      <c r="BI3" s="132" t="n">
        <v>373</v>
      </c>
      <c r="BJ3" s="132" t="n">
        <v>166</v>
      </c>
      <c r="BK3" s="132" t="n">
        <v>207</v>
      </c>
      <c r="BL3" s="133" t="n">
        <v>0.32</v>
      </c>
      <c r="BM3" s="133" t="n">
        <v>31.63</v>
      </c>
      <c r="BN3" s="133" t="n">
        <v>7906.73</v>
      </c>
      <c r="BO3" s="134" t="n">
        <v>2.5</v>
      </c>
      <c r="BP3" s="133" t="n">
        <v>79.06999999999999</v>
      </c>
      <c r="BQ3" s="134" t="n">
        <v>36.6</v>
      </c>
      <c r="BR3" s="133" t="n">
        <v>0.25</v>
      </c>
      <c r="BS3" s="134" t="n">
        <v>15.5</v>
      </c>
      <c r="BT3" s="134" t="n">
        <v>20.1</v>
      </c>
    </row>
    <row r="4" ht="30" customHeight="1">
      <c r="A4" s="3" t="inlineStr">
        <is>
          <t>OUEST</t>
        </is>
      </c>
      <c r="B4" s="3" t="inlineStr">
        <is>
          <t>ARMENTIERES</t>
        </is>
      </c>
      <c r="C4" s="3" t="inlineStr">
        <is>
          <t>Fresnoy</t>
        </is>
      </c>
      <c r="D4" s="132" t="n">
        <v>4280</v>
      </c>
      <c r="E4" s="132" t="n">
        <v>112</v>
      </c>
      <c r="F4" s="132" t="n">
        <v>174</v>
      </c>
      <c r="G4" s="132" t="n">
        <v>338</v>
      </c>
      <c r="H4" s="132" t="n">
        <v>447</v>
      </c>
      <c r="I4" s="132" t="n">
        <v>784</v>
      </c>
      <c r="J4" s="132" t="n">
        <v>834</v>
      </c>
      <c r="K4" s="132" t="n">
        <v>781</v>
      </c>
      <c r="L4" s="132" t="n">
        <v>403</v>
      </c>
      <c r="M4" s="132" t="n">
        <v>330</v>
      </c>
      <c r="N4" s="132" t="n">
        <v>77</v>
      </c>
      <c r="O4" s="132" t="n">
        <v>877</v>
      </c>
      <c r="P4" s="132" t="n">
        <v>1313</v>
      </c>
      <c r="Q4" s="132" t="n">
        <v>2560</v>
      </c>
      <c r="R4" s="132" t="n">
        <v>407</v>
      </c>
      <c r="S4" s="132" t="n">
        <v>2144</v>
      </c>
      <c r="T4" s="132" t="n">
        <v>496</v>
      </c>
      <c r="U4" s="132" t="n">
        <v>691</v>
      </c>
      <c r="V4" s="132" t="n">
        <v>1267</v>
      </c>
      <c r="W4" s="132" t="n">
        <v>185</v>
      </c>
      <c r="X4" s="132" t="n">
        <v>2135</v>
      </c>
      <c r="Y4" s="132" t="n">
        <v>381</v>
      </c>
      <c r="Z4" s="132" t="n">
        <v>622</v>
      </c>
      <c r="AA4" s="132" t="n">
        <v>1293</v>
      </c>
      <c r="AB4" s="132" t="n">
        <v>221</v>
      </c>
      <c r="AC4" s="132" t="n">
        <v>3619</v>
      </c>
      <c r="AD4" s="132" t="n">
        <v>0</v>
      </c>
      <c r="AE4" s="132" t="n">
        <v>71</v>
      </c>
      <c r="AF4" s="132" t="n">
        <v>308</v>
      </c>
      <c r="AG4" s="132" t="n">
        <v>441</v>
      </c>
      <c r="AH4" s="132" t="n">
        <v>614</v>
      </c>
      <c r="AI4" s="132" t="n">
        <v>458</v>
      </c>
      <c r="AJ4" s="132" t="n">
        <v>467</v>
      </c>
      <c r="AK4" s="132" t="n">
        <v>1260</v>
      </c>
      <c r="AL4" s="132" t="n">
        <v>1745</v>
      </c>
      <c r="AM4" s="132" t="n">
        <v>0</v>
      </c>
      <c r="AN4" s="132" t="n">
        <v>46</v>
      </c>
      <c r="AO4" s="132" t="n">
        <v>205</v>
      </c>
      <c r="AP4" s="132" t="n">
        <v>225</v>
      </c>
      <c r="AQ4" s="132" t="n">
        <v>244</v>
      </c>
      <c r="AR4" s="132" t="n">
        <v>346</v>
      </c>
      <c r="AS4" s="132" t="n">
        <v>200</v>
      </c>
      <c r="AT4" s="132" t="n">
        <v>479</v>
      </c>
      <c r="AU4" s="132" t="n">
        <v>1875</v>
      </c>
      <c r="AV4" s="132" t="n">
        <v>0</v>
      </c>
      <c r="AW4" s="132" t="n">
        <v>25</v>
      </c>
      <c r="AX4" s="132" t="n">
        <v>104</v>
      </c>
      <c r="AY4" s="132" t="n">
        <v>216</v>
      </c>
      <c r="AZ4" s="132" t="n">
        <v>370</v>
      </c>
      <c r="BA4" s="132" t="n">
        <v>111</v>
      </c>
      <c r="BB4" s="132" t="n">
        <v>268</v>
      </c>
      <c r="BC4" s="132" t="n">
        <v>781</v>
      </c>
      <c r="BD4" s="132" t="n">
        <v>3567</v>
      </c>
      <c r="BE4" s="132" t="n">
        <v>713</v>
      </c>
      <c r="BF4" s="132" t="n">
        <v>892</v>
      </c>
      <c r="BG4" s="132" t="n">
        <v>4279</v>
      </c>
      <c r="BH4" s="132" t="n">
        <v>0</v>
      </c>
      <c r="BI4" s="132" t="n">
        <v>978</v>
      </c>
      <c r="BJ4" s="132" t="n">
        <v>423</v>
      </c>
      <c r="BK4" s="132" t="n">
        <v>555</v>
      </c>
      <c r="BL4" s="133" t="n">
        <v>0.53</v>
      </c>
      <c r="BM4" s="133" t="n">
        <v>52.75</v>
      </c>
      <c r="BN4" s="133" t="n">
        <v>8113.17</v>
      </c>
      <c r="BO4" s="134" t="n">
        <v>4.4</v>
      </c>
      <c r="BP4" s="133" t="n">
        <v>81.13</v>
      </c>
      <c r="BQ4" s="134" t="n">
        <v>30.7</v>
      </c>
      <c r="BR4" s="133" t="n">
        <v>0.31</v>
      </c>
      <c r="BS4" s="134" t="n">
        <v>16.7</v>
      </c>
      <c r="BT4" s="134" t="n">
        <v>20.8</v>
      </c>
    </row>
    <row r="5" ht="30" customHeight="1">
      <c r="A5" s="3" t="inlineStr">
        <is>
          <t>NORD</t>
        </is>
      </c>
      <c r="B5" s="3" t="inlineStr">
        <is>
          <t>FOSSE AUX CHENES</t>
        </is>
      </c>
      <c r="C5" s="3" t="inlineStr">
        <is>
          <t>Fosse aux Chênes</t>
        </is>
      </c>
      <c r="D5" s="132" t="n">
        <v>2843</v>
      </c>
      <c r="E5" s="132" t="n">
        <v>98</v>
      </c>
      <c r="F5" s="132" t="n">
        <v>189</v>
      </c>
      <c r="G5" s="132" t="n">
        <v>181</v>
      </c>
      <c r="H5" s="132" t="n">
        <v>312</v>
      </c>
      <c r="I5" s="132" t="n">
        <v>332</v>
      </c>
      <c r="J5" s="132" t="n">
        <v>499</v>
      </c>
      <c r="K5" s="132" t="n">
        <v>585</v>
      </c>
      <c r="L5" s="132" t="n">
        <v>276</v>
      </c>
      <c r="M5" s="132" t="n">
        <v>273</v>
      </c>
      <c r="N5" s="132" t="n">
        <v>98</v>
      </c>
      <c r="O5" s="132" t="n">
        <v>653</v>
      </c>
      <c r="P5" s="132" t="n">
        <v>869</v>
      </c>
      <c r="Q5" s="132" t="n">
        <v>1604</v>
      </c>
      <c r="R5" s="132" t="n">
        <v>370</v>
      </c>
      <c r="S5" s="132" t="n">
        <v>1413</v>
      </c>
      <c r="T5" s="132" t="n">
        <v>356</v>
      </c>
      <c r="U5" s="132" t="n">
        <v>456</v>
      </c>
      <c r="V5" s="132" t="n">
        <v>786</v>
      </c>
      <c r="W5" s="132" t="n">
        <v>172</v>
      </c>
      <c r="X5" s="132" t="n">
        <v>1430</v>
      </c>
      <c r="Y5" s="132" t="n">
        <v>296</v>
      </c>
      <c r="Z5" s="132" t="n">
        <v>413</v>
      </c>
      <c r="AA5" s="132" t="n">
        <v>818</v>
      </c>
      <c r="AB5" s="132" t="n">
        <v>199</v>
      </c>
      <c r="AC5" s="132" t="n">
        <v>1948</v>
      </c>
      <c r="AD5" s="132" t="n">
        <v>0</v>
      </c>
      <c r="AE5" s="132" t="n">
        <v>56</v>
      </c>
      <c r="AF5" s="132" t="n">
        <v>52</v>
      </c>
      <c r="AG5" s="132" t="n">
        <v>93</v>
      </c>
      <c r="AH5" s="132" t="n">
        <v>259</v>
      </c>
      <c r="AI5" s="132" t="n">
        <v>307</v>
      </c>
      <c r="AJ5" s="132" t="n">
        <v>403</v>
      </c>
      <c r="AK5" s="132" t="n">
        <v>777</v>
      </c>
      <c r="AL5" s="132" t="n">
        <v>922</v>
      </c>
      <c r="AM5" s="132" t="n">
        <v>0</v>
      </c>
      <c r="AN5" s="132" t="n">
        <v>46</v>
      </c>
      <c r="AO5" s="132" t="n">
        <v>19</v>
      </c>
      <c r="AP5" s="132" t="n">
        <v>38</v>
      </c>
      <c r="AQ5" s="132" t="n">
        <v>54</v>
      </c>
      <c r="AR5" s="132" t="n">
        <v>234</v>
      </c>
      <c r="AS5" s="132" t="n">
        <v>185</v>
      </c>
      <c r="AT5" s="132" t="n">
        <v>346</v>
      </c>
      <c r="AU5" s="132" t="n">
        <v>1026</v>
      </c>
      <c r="AV5" s="132" t="n">
        <v>0</v>
      </c>
      <c r="AW5" s="132" t="n">
        <v>11</v>
      </c>
      <c r="AX5" s="132" t="n">
        <v>33</v>
      </c>
      <c r="AY5" s="132" t="n">
        <v>55</v>
      </c>
      <c r="AZ5" s="132" t="n">
        <v>205</v>
      </c>
      <c r="BA5" s="132" t="n">
        <v>74</v>
      </c>
      <c r="BB5" s="132" t="n">
        <v>218</v>
      </c>
      <c r="BC5" s="132" t="n">
        <v>431</v>
      </c>
      <c r="BD5" s="132" t="n">
        <v>2135</v>
      </c>
      <c r="BE5" s="132" t="n">
        <v>708</v>
      </c>
      <c r="BF5" s="132" t="n">
        <v>834</v>
      </c>
      <c r="BG5" s="132" t="n">
        <v>2703</v>
      </c>
      <c r="BH5" s="132" t="n">
        <v>140</v>
      </c>
      <c r="BI5" s="132" t="n">
        <v>460</v>
      </c>
      <c r="BJ5" s="132" t="n">
        <v>214</v>
      </c>
      <c r="BK5" s="132" t="n">
        <v>246</v>
      </c>
      <c r="BL5" s="133" t="n">
        <v>0.41</v>
      </c>
      <c r="BM5" s="133" t="n">
        <v>40.66</v>
      </c>
      <c r="BN5" s="133" t="n">
        <v>6992.38</v>
      </c>
      <c r="BO5" s="134" t="n">
        <v>2.9</v>
      </c>
      <c r="BP5" s="133" t="n">
        <v>69.93000000000001</v>
      </c>
      <c r="BQ5" s="134" t="n">
        <v>30.5</v>
      </c>
      <c r="BR5" s="133" t="n">
        <v>0.43</v>
      </c>
      <c r="BS5" s="134" t="n">
        <v>24.9</v>
      </c>
      <c r="BT5" s="134" t="n">
        <v>29.3</v>
      </c>
    </row>
    <row r="6" ht="30" customHeight="1">
      <c r="A6" s="3" t="inlineStr">
        <is>
          <t>NORD</t>
        </is>
      </c>
      <c r="B6" s="3" t="inlineStr">
        <is>
          <t>ALMA GARE</t>
        </is>
      </c>
      <c r="C6" s="3" t="inlineStr">
        <is>
          <t>Alma Sud</t>
        </is>
      </c>
      <c r="D6" s="132" t="n">
        <v>1529</v>
      </c>
      <c r="E6" s="132" t="n">
        <v>64</v>
      </c>
      <c r="F6" s="132" t="n">
        <v>124</v>
      </c>
      <c r="G6" s="132" t="n">
        <v>173</v>
      </c>
      <c r="H6" s="132" t="n">
        <v>172</v>
      </c>
      <c r="I6" s="132" t="n">
        <v>217</v>
      </c>
      <c r="J6" s="132" t="n">
        <v>273</v>
      </c>
      <c r="K6" s="132" t="n">
        <v>248</v>
      </c>
      <c r="L6" s="132" t="n">
        <v>161</v>
      </c>
      <c r="M6" s="132" t="n">
        <v>92</v>
      </c>
      <c r="N6" s="132" t="n">
        <v>4</v>
      </c>
      <c r="O6" s="132" t="n">
        <v>452</v>
      </c>
      <c r="P6" s="132" t="n">
        <v>602</v>
      </c>
      <c r="Q6" s="132" t="n">
        <v>830</v>
      </c>
      <c r="R6" s="132" t="n">
        <v>96</v>
      </c>
      <c r="S6" s="132" t="n">
        <v>777</v>
      </c>
      <c r="T6" s="132" t="n">
        <v>245</v>
      </c>
      <c r="U6" s="132" t="n">
        <v>318</v>
      </c>
      <c r="V6" s="132" t="n">
        <v>413</v>
      </c>
      <c r="W6" s="132" t="n">
        <v>47</v>
      </c>
      <c r="X6" s="132" t="n">
        <v>751</v>
      </c>
      <c r="Y6" s="132" t="n">
        <v>207</v>
      </c>
      <c r="Z6" s="132" t="n">
        <v>284</v>
      </c>
      <c r="AA6" s="132" t="n">
        <v>417</v>
      </c>
      <c r="AB6" s="132" t="n">
        <v>49</v>
      </c>
      <c r="AC6" s="132" t="n">
        <v>1051</v>
      </c>
      <c r="AD6" s="132" t="n">
        <v>0</v>
      </c>
      <c r="AE6" s="132" t="n">
        <v>21</v>
      </c>
      <c r="AF6" s="132" t="n">
        <v>15</v>
      </c>
      <c r="AG6" s="132" t="n">
        <v>26</v>
      </c>
      <c r="AH6" s="132" t="n">
        <v>127</v>
      </c>
      <c r="AI6" s="132" t="n">
        <v>237</v>
      </c>
      <c r="AJ6" s="132" t="n">
        <v>111</v>
      </c>
      <c r="AK6" s="132" t="n">
        <v>514</v>
      </c>
      <c r="AL6" s="132" t="n">
        <v>518</v>
      </c>
      <c r="AM6" s="132" t="n">
        <v>0</v>
      </c>
      <c r="AN6" s="132" t="n">
        <v>21</v>
      </c>
      <c r="AO6" s="132" t="n">
        <v>5</v>
      </c>
      <c r="AP6" s="132" t="n">
        <v>15</v>
      </c>
      <c r="AQ6" s="132" t="n">
        <v>32</v>
      </c>
      <c r="AR6" s="132" t="n">
        <v>180</v>
      </c>
      <c r="AS6" s="132" t="n">
        <v>52</v>
      </c>
      <c r="AT6" s="132" t="n">
        <v>212</v>
      </c>
      <c r="AU6" s="132" t="n">
        <v>534</v>
      </c>
      <c r="AV6" s="132" t="n">
        <v>0</v>
      </c>
      <c r="AW6" s="132" t="n">
        <v>0</v>
      </c>
      <c r="AX6" s="132" t="n">
        <v>11</v>
      </c>
      <c r="AY6" s="132" t="n">
        <v>11</v>
      </c>
      <c r="AZ6" s="132" t="n">
        <v>94</v>
      </c>
      <c r="BA6" s="132" t="n">
        <v>58</v>
      </c>
      <c r="BB6" s="132" t="n">
        <v>59</v>
      </c>
      <c r="BC6" s="132" t="n">
        <v>301</v>
      </c>
      <c r="BD6" s="132" t="n">
        <v>974</v>
      </c>
      <c r="BE6" s="132" t="n">
        <v>554</v>
      </c>
      <c r="BF6" s="132" t="n">
        <v>559</v>
      </c>
      <c r="BG6" s="132" t="n">
        <v>1529</v>
      </c>
      <c r="BH6" s="132" t="n">
        <v>0</v>
      </c>
      <c r="BI6" s="132" t="n">
        <v>299</v>
      </c>
      <c r="BJ6" s="132" t="n">
        <v>153</v>
      </c>
      <c r="BK6" s="132" t="n">
        <v>146</v>
      </c>
      <c r="BL6" s="133" t="n">
        <v>0.09</v>
      </c>
      <c r="BM6" s="133" t="n">
        <v>9.35</v>
      </c>
      <c r="BN6" s="133" t="n">
        <v>16355.06</v>
      </c>
      <c r="BO6" s="134" t="n">
        <v>1.6</v>
      </c>
      <c r="BP6" s="133" t="n">
        <v>163.49</v>
      </c>
      <c r="BQ6" s="134" t="n">
        <v>39.4</v>
      </c>
      <c r="BR6" s="133" t="n">
        <v>0.16</v>
      </c>
      <c r="BS6" s="134" t="n">
        <v>36.3</v>
      </c>
      <c r="BT6" s="134" t="n">
        <v>36.6</v>
      </c>
    </row>
    <row r="7" ht="30" customHeight="1">
      <c r="A7" s="3" t="inlineStr">
        <is>
          <t>NORD</t>
        </is>
      </c>
      <c r="B7" s="3" t="inlineStr">
        <is>
          <t>ALMA GARE</t>
        </is>
      </c>
      <c r="C7" s="3" t="inlineStr">
        <is>
          <t>Alma Nord</t>
        </is>
      </c>
      <c r="D7" s="132" t="n">
        <v>1613</v>
      </c>
      <c r="E7" s="132" t="n">
        <v>45</v>
      </c>
      <c r="F7" s="132" t="n">
        <v>110</v>
      </c>
      <c r="G7" s="132" t="n">
        <v>161</v>
      </c>
      <c r="H7" s="132" t="n">
        <v>248</v>
      </c>
      <c r="I7" s="132" t="n">
        <v>171</v>
      </c>
      <c r="J7" s="132" t="n">
        <v>280</v>
      </c>
      <c r="K7" s="132" t="n">
        <v>300</v>
      </c>
      <c r="L7" s="132" t="n">
        <v>129</v>
      </c>
      <c r="M7" s="132" t="n">
        <v>145</v>
      </c>
      <c r="N7" s="132" t="n">
        <v>25</v>
      </c>
      <c r="O7" s="132" t="n">
        <v>441</v>
      </c>
      <c r="P7" s="132" t="n">
        <v>611</v>
      </c>
      <c r="Q7" s="132" t="n">
        <v>832</v>
      </c>
      <c r="R7" s="132" t="n">
        <v>169</v>
      </c>
      <c r="S7" s="132" t="n">
        <v>799</v>
      </c>
      <c r="T7" s="132" t="n">
        <v>250</v>
      </c>
      <c r="U7" s="132" t="n">
        <v>310</v>
      </c>
      <c r="V7" s="132" t="n">
        <v>399</v>
      </c>
      <c r="W7" s="132" t="n">
        <v>90</v>
      </c>
      <c r="X7" s="132" t="n">
        <v>813</v>
      </c>
      <c r="Y7" s="132" t="n">
        <v>191</v>
      </c>
      <c r="Z7" s="132" t="n">
        <v>301</v>
      </c>
      <c r="AA7" s="132" t="n">
        <v>432</v>
      </c>
      <c r="AB7" s="132" t="n">
        <v>79</v>
      </c>
      <c r="AC7" s="132" t="n">
        <v>1010</v>
      </c>
      <c r="AD7" s="132" t="n">
        <v>0</v>
      </c>
      <c r="AE7" s="132" t="n">
        <v>18</v>
      </c>
      <c r="AF7" s="132" t="n">
        <v>25</v>
      </c>
      <c r="AG7" s="132" t="n">
        <v>60</v>
      </c>
      <c r="AH7" s="132" t="n">
        <v>100</v>
      </c>
      <c r="AI7" s="132" t="n">
        <v>180</v>
      </c>
      <c r="AJ7" s="132" t="n">
        <v>171</v>
      </c>
      <c r="AK7" s="132" t="n">
        <v>456</v>
      </c>
      <c r="AL7" s="132" t="n">
        <v>470</v>
      </c>
      <c r="AM7" s="132" t="n">
        <v>0</v>
      </c>
      <c r="AN7" s="132" t="n">
        <v>18</v>
      </c>
      <c r="AO7" s="132" t="n">
        <v>8</v>
      </c>
      <c r="AP7" s="132" t="n">
        <v>22</v>
      </c>
      <c r="AQ7" s="132" t="n">
        <v>20</v>
      </c>
      <c r="AR7" s="132" t="n">
        <v>137</v>
      </c>
      <c r="AS7" s="132" t="n">
        <v>96</v>
      </c>
      <c r="AT7" s="132" t="n">
        <v>168</v>
      </c>
      <c r="AU7" s="132" t="n">
        <v>540</v>
      </c>
      <c r="AV7" s="132" t="n">
        <v>0</v>
      </c>
      <c r="AW7" s="132" t="n">
        <v>0</v>
      </c>
      <c r="AX7" s="132" t="n">
        <v>17</v>
      </c>
      <c r="AY7" s="132" t="n">
        <v>38</v>
      </c>
      <c r="AZ7" s="132" t="n">
        <v>80</v>
      </c>
      <c r="BA7" s="132" t="n">
        <v>43</v>
      </c>
      <c r="BB7" s="132" t="n">
        <v>75</v>
      </c>
      <c r="BC7" s="132" t="n">
        <v>288</v>
      </c>
      <c r="BD7" s="132" t="n">
        <v>1190</v>
      </c>
      <c r="BE7" s="132" t="n">
        <v>423</v>
      </c>
      <c r="BF7" s="132" t="n">
        <v>503</v>
      </c>
      <c r="BG7" s="132" t="n">
        <v>1613</v>
      </c>
      <c r="BH7" s="132" t="n">
        <v>0</v>
      </c>
      <c r="BI7" s="132" t="n">
        <v>294</v>
      </c>
      <c r="BJ7" s="132" t="n">
        <v>112</v>
      </c>
      <c r="BK7" s="132" t="n">
        <v>182</v>
      </c>
      <c r="BL7" s="133" t="n">
        <v>0.42</v>
      </c>
      <c r="BM7" s="133" t="n">
        <v>41.78</v>
      </c>
      <c r="BN7" s="133" t="n">
        <v>3860.19</v>
      </c>
      <c r="BO7" s="134" t="n">
        <v>1.6</v>
      </c>
      <c r="BP7" s="133" t="n">
        <v>38.6</v>
      </c>
      <c r="BQ7" s="134" t="n">
        <v>37.9</v>
      </c>
      <c r="BR7" s="133" t="n">
        <v>0.28</v>
      </c>
      <c r="BS7" s="134" t="n">
        <v>26.2</v>
      </c>
      <c r="BT7" s="134" t="n">
        <v>31.2</v>
      </c>
    </row>
    <row r="8" ht="30" customHeight="1">
      <c r="A8" s="3" t="inlineStr">
        <is>
          <t>NORD</t>
        </is>
      </c>
      <c r="B8" s="3" t="inlineStr">
        <is>
          <t>ENTREPONT</t>
        </is>
      </c>
      <c r="C8" s="3" t="inlineStr">
        <is>
          <t>Entrepont-Cartigny</t>
        </is>
      </c>
      <c r="D8" s="132" t="n">
        <v>2372</v>
      </c>
      <c r="E8" s="132" t="n">
        <v>60</v>
      </c>
      <c r="F8" s="132" t="n">
        <v>145</v>
      </c>
      <c r="G8" s="132" t="n">
        <v>231</v>
      </c>
      <c r="H8" s="132" t="n">
        <v>305</v>
      </c>
      <c r="I8" s="132" t="n">
        <v>233</v>
      </c>
      <c r="J8" s="132" t="n">
        <v>427</v>
      </c>
      <c r="K8" s="132" t="n">
        <v>461</v>
      </c>
      <c r="L8" s="132" t="n">
        <v>200</v>
      </c>
      <c r="M8" s="132" t="n">
        <v>260</v>
      </c>
      <c r="N8" s="132" t="n">
        <v>49</v>
      </c>
      <c r="O8" s="132" t="n">
        <v>617</v>
      </c>
      <c r="P8" s="132" t="n">
        <v>834</v>
      </c>
      <c r="Q8" s="132" t="n">
        <v>1229</v>
      </c>
      <c r="R8" s="132" t="n">
        <v>309</v>
      </c>
      <c r="S8" s="132" t="n">
        <v>1190</v>
      </c>
      <c r="T8" s="132" t="n">
        <v>323</v>
      </c>
      <c r="U8" s="132" t="n">
        <v>449</v>
      </c>
      <c r="V8" s="132" t="n">
        <v>593</v>
      </c>
      <c r="W8" s="132" t="n">
        <v>148</v>
      </c>
      <c r="X8" s="132" t="n">
        <v>1182</v>
      </c>
      <c r="Y8" s="132" t="n">
        <v>294</v>
      </c>
      <c r="Z8" s="132" t="n">
        <v>385</v>
      </c>
      <c r="AA8" s="132" t="n">
        <v>636</v>
      </c>
      <c r="AB8" s="132" t="n">
        <v>161</v>
      </c>
      <c r="AC8" s="132" t="n">
        <v>1813</v>
      </c>
      <c r="AD8" s="132" t="n">
        <v>0</v>
      </c>
      <c r="AE8" s="132" t="n">
        <v>40</v>
      </c>
      <c r="AF8" s="132" t="n">
        <v>37</v>
      </c>
      <c r="AG8" s="132" t="n">
        <v>138</v>
      </c>
      <c r="AH8" s="132" t="n">
        <v>299</v>
      </c>
      <c r="AI8" s="132" t="n">
        <v>331</v>
      </c>
      <c r="AJ8" s="132" t="n">
        <v>319</v>
      </c>
      <c r="AK8" s="132" t="n">
        <v>651</v>
      </c>
      <c r="AL8" s="132" t="n">
        <v>899</v>
      </c>
      <c r="AM8" s="132" t="n">
        <v>0</v>
      </c>
      <c r="AN8" s="132" t="n">
        <v>31</v>
      </c>
      <c r="AO8" s="132" t="n">
        <v>12</v>
      </c>
      <c r="AP8" s="132" t="n">
        <v>63</v>
      </c>
      <c r="AQ8" s="132" t="n">
        <v>68</v>
      </c>
      <c r="AR8" s="132" t="n">
        <v>267</v>
      </c>
      <c r="AS8" s="132" t="n">
        <v>162</v>
      </c>
      <c r="AT8" s="132" t="n">
        <v>296</v>
      </c>
      <c r="AU8" s="132" t="n">
        <v>913</v>
      </c>
      <c r="AV8" s="132" t="n">
        <v>0</v>
      </c>
      <c r="AW8" s="132" t="n">
        <v>8</v>
      </c>
      <c r="AX8" s="132" t="n">
        <v>24</v>
      </c>
      <c r="AY8" s="132" t="n">
        <v>75</v>
      </c>
      <c r="AZ8" s="132" t="n">
        <v>231</v>
      </c>
      <c r="BA8" s="132" t="n">
        <v>64</v>
      </c>
      <c r="BB8" s="132" t="n">
        <v>156</v>
      </c>
      <c r="BC8" s="132" t="n">
        <v>355</v>
      </c>
      <c r="BD8" s="132" t="n">
        <v>1783</v>
      </c>
      <c r="BE8" s="132" t="n">
        <v>589</v>
      </c>
      <c r="BF8" s="132" t="n">
        <v>597</v>
      </c>
      <c r="BG8" s="132" t="n">
        <v>2364</v>
      </c>
      <c r="BH8" s="132" t="n">
        <v>8</v>
      </c>
      <c r="BI8" s="132" t="n">
        <v>357</v>
      </c>
      <c r="BJ8" s="132" t="n">
        <v>182</v>
      </c>
      <c r="BK8" s="132" t="n">
        <v>175</v>
      </c>
      <c r="BL8" s="133" t="n">
        <v>0.85</v>
      </c>
      <c r="BM8" s="133" t="n">
        <v>84.98999999999999</v>
      </c>
      <c r="BN8" s="133" t="n">
        <v>2790.47</v>
      </c>
      <c r="BO8" s="134" t="n">
        <v>2.4</v>
      </c>
      <c r="BP8" s="133" t="n">
        <v>27.9</v>
      </c>
      <c r="BQ8" s="134" t="n">
        <v>35.2</v>
      </c>
      <c r="BR8" s="133" t="n">
        <v>0.37</v>
      </c>
      <c r="BS8" s="134" t="n">
        <v>24.8</v>
      </c>
      <c r="BT8" s="134" t="n">
        <v>25.2</v>
      </c>
    </row>
    <row r="9" ht="30" customHeight="1">
      <c r="A9" s="3" t="inlineStr">
        <is>
          <t>NORD</t>
        </is>
      </c>
      <c r="B9" s="3" t="inlineStr">
        <is>
          <t>HUTIN - ORAN - CARTIGNY</t>
        </is>
      </c>
      <c r="C9" s="3" t="inlineStr">
        <is>
          <t>Hutin-Oran</t>
        </is>
      </c>
      <c r="D9" s="132" t="n">
        <v>2166</v>
      </c>
      <c r="E9" s="132" t="n">
        <v>76</v>
      </c>
      <c r="F9" s="132" t="n">
        <v>144</v>
      </c>
      <c r="G9" s="132" t="n">
        <v>166</v>
      </c>
      <c r="H9" s="132" t="n">
        <v>310</v>
      </c>
      <c r="I9" s="132" t="n">
        <v>196</v>
      </c>
      <c r="J9" s="132" t="n">
        <v>351</v>
      </c>
      <c r="K9" s="132" t="n">
        <v>441</v>
      </c>
      <c r="L9" s="132" t="n">
        <v>141</v>
      </c>
      <c r="M9" s="132" t="n">
        <v>269</v>
      </c>
      <c r="N9" s="132" t="n">
        <v>72</v>
      </c>
      <c r="O9" s="132" t="n">
        <v>584</v>
      </c>
      <c r="P9" s="132" t="n">
        <v>768</v>
      </c>
      <c r="Q9" s="132" t="n">
        <v>1057</v>
      </c>
      <c r="R9" s="132" t="n">
        <v>342</v>
      </c>
      <c r="S9" s="132" t="n">
        <v>1041</v>
      </c>
      <c r="T9" s="132" t="n">
        <v>301</v>
      </c>
      <c r="U9" s="132" t="n">
        <v>386</v>
      </c>
      <c r="V9" s="132" t="n">
        <v>510</v>
      </c>
      <c r="W9" s="132" t="n">
        <v>145</v>
      </c>
      <c r="X9" s="132" t="n">
        <v>1126</v>
      </c>
      <c r="Y9" s="132" t="n">
        <v>283</v>
      </c>
      <c r="Z9" s="132" t="n">
        <v>382</v>
      </c>
      <c r="AA9" s="132" t="n">
        <v>547</v>
      </c>
      <c r="AB9" s="132" t="n">
        <v>197</v>
      </c>
      <c r="AC9" s="132" t="n">
        <v>1543</v>
      </c>
      <c r="AD9" s="132" t="n">
        <v>0</v>
      </c>
      <c r="AE9" s="132" t="n">
        <v>11</v>
      </c>
      <c r="AF9" s="132" t="n">
        <v>42</v>
      </c>
      <c r="AG9" s="132" t="n">
        <v>158</v>
      </c>
      <c r="AH9" s="132" t="n">
        <v>190</v>
      </c>
      <c r="AI9" s="132" t="n">
        <v>286</v>
      </c>
      <c r="AJ9" s="132" t="n">
        <v>363</v>
      </c>
      <c r="AK9" s="132" t="n">
        <v>493</v>
      </c>
      <c r="AL9" s="132" t="n">
        <v>725</v>
      </c>
      <c r="AM9" s="132" t="n">
        <v>0</v>
      </c>
      <c r="AN9" s="132" t="n">
        <v>10</v>
      </c>
      <c r="AO9" s="132" t="n">
        <v>7</v>
      </c>
      <c r="AP9" s="132" t="n">
        <v>83</v>
      </c>
      <c r="AQ9" s="132" t="n">
        <v>61</v>
      </c>
      <c r="AR9" s="132" t="n">
        <v>214</v>
      </c>
      <c r="AS9" s="132" t="n">
        <v>161</v>
      </c>
      <c r="AT9" s="132" t="n">
        <v>188</v>
      </c>
      <c r="AU9" s="132" t="n">
        <v>818</v>
      </c>
      <c r="AV9" s="132" t="n">
        <v>0</v>
      </c>
      <c r="AW9" s="132" t="n">
        <v>1</v>
      </c>
      <c r="AX9" s="132" t="n">
        <v>35</v>
      </c>
      <c r="AY9" s="132" t="n">
        <v>75</v>
      </c>
      <c r="AZ9" s="132" t="n">
        <v>129</v>
      </c>
      <c r="BA9" s="132" t="n">
        <v>72</v>
      </c>
      <c r="BB9" s="132" t="n">
        <v>201</v>
      </c>
      <c r="BC9" s="132" t="n">
        <v>305</v>
      </c>
      <c r="BD9" s="132" t="n">
        <v>1734</v>
      </c>
      <c r="BE9" s="132" t="n">
        <v>432</v>
      </c>
      <c r="BF9" s="132" t="n">
        <v>526</v>
      </c>
      <c r="BG9" s="132" t="n">
        <v>2166</v>
      </c>
      <c r="BH9" s="132" t="n">
        <v>0</v>
      </c>
      <c r="BI9" s="132" t="n">
        <v>308</v>
      </c>
      <c r="BJ9" s="132" t="n">
        <v>139</v>
      </c>
      <c r="BK9" s="132" t="n">
        <v>169</v>
      </c>
      <c r="BL9" s="133" t="n">
        <v>0.42</v>
      </c>
      <c r="BM9" s="133" t="n">
        <v>41.76</v>
      </c>
      <c r="BN9" s="133" t="n">
        <v>5187.63</v>
      </c>
      <c r="BO9" s="134" t="n">
        <v>2.2</v>
      </c>
      <c r="BP9" s="133" t="n">
        <v>51.88</v>
      </c>
      <c r="BQ9" s="134" t="n">
        <v>35.4</v>
      </c>
      <c r="BR9" s="133" t="n">
        <v>0.45</v>
      </c>
      <c r="BS9" s="134" t="n">
        <v>19.9</v>
      </c>
      <c r="BT9" s="134" t="n">
        <v>24.3</v>
      </c>
    </row>
    <row r="10" ht="30" customHeight="1">
      <c r="A10" s="3" t="inlineStr">
        <is>
          <t>NORD</t>
        </is>
      </c>
      <c r="B10" s="3" t="inlineStr">
        <is>
          <t>CUL DE FOUR</t>
        </is>
      </c>
      <c r="C10" s="3" t="inlineStr">
        <is>
          <t>Cul de Four</t>
        </is>
      </c>
      <c r="D10" s="132" t="n">
        <v>3471</v>
      </c>
      <c r="E10" s="132" t="n">
        <v>108</v>
      </c>
      <c r="F10" s="132" t="n">
        <v>274</v>
      </c>
      <c r="G10" s="132" t="n">
        <v>298</v>
      </c>
      <c r="H10" s="132" t="n">
        <v>525</v>
      </c>
      <c r="I10" s="132" t="n">
        <v>429</v>
      </c>
      <c r="J10" s="132" t="n">
        <v>575</v>
      </c>
      <c r="K10" s="132" t="n">
        <v>638</v>
      </c>
      <c r="L10" s="132" t="n">
        <v>294</v>
      </c>
      <c r="M10" s="132" t="n">
        <v>252</v>
      </c>
      <c r="N10" s="132" t="n">
        <v>78</v>
      </c>
      <c r="O10" s="132" t="n">
        <v>991</v>
      </c>
      <c r="P10" s="132" t="n">
        <v>1355</v>
      </c>
      <c r="Q10" s="132" t="n">
        <v>1785</v>
      </c>
      <c r="R10" s="132" t="n">
        <v>331</v>
      </c>
      <c r="S10" s="132" t="n">
        <v>1791</v>
      </c>
      <c r="T10" s="132" t="n">
        <v>536</v>
      </c>
      <c r="U10" s="132" t="n">
        <v>729</v>
      </c>
      <c r="V10" s="132" t="n">
        <v>897</v>
      </c>
      <c r="W10" s="132" t="n">
        <v>165</v>
      </c>
      <c r="X10" s="132" t="n">
        <v>1680</v>
      </c>
      <c r="Y10" s="132" t="n">
        <v>455</v>
      </c>
      <c r="Z10" s="132" t="n">
        <v>626</v>
      </c>
      <c r="AA10" s="132" t="n">
        <v>888</v>
      </c>
      <c r="AB10" s="132" t="n">
        <v>166</v>
      </c>
      <c r="AC10" s="132" t="n">
        <v>2428</v>
      </c>
      <c r="AD10" s="132" t="n">
        <v>0</v>
      </c>
      <c r="AE10" s="132" t="n">
        <v>36</v>
      </c>
      <c r="AF10" s="132" t="n">
        <v>38</v>
      </c>
      <c r="AG10" s="132" t="n">
        <v>134</v>
      </c>
      <c r="AH10" s="132" t="n">
        <v>314</v>
      </c>
      <c r="AI10" s="132" t="n">
        <v>517</v>
      </c>
      <c r="AJ10" s="132" t="n">
        <v>329</v>
      </c>
      <c r="AK10" s="132" t="n">
        <v>1059</v>
      </c>
      <c r="AL10" s="132" t="n">
        <v>1233</v>
      </c>
      <c r="AM10" s="132" t="n">
        <v>0</v>
      </c>
      <c r="AN10" s="132" t="n">
        <v>36</v>
      </c>
      <c r="AO10" s="132" t="n">
        <v>32</v>
      </c>
      <c r="AP10" s="132" t="n">
        <v>53</v>
      </c>
      <c r="AQ10" s="132" t="n">
        <v>122</v>
      </c>
      <c r="AR10" s="132" t="n">
        <v>418</v>
      </c>
      <c r="AS10" s="132" t="n">
        <v>132</v>
      </c>
      <c r="AT10" s="132" t="n">
        <v>440</v>
      </c>
      <c r="AU10" s="132" t="n">
        <v>1195</v>
      </c>
      <c r="AV10" s="132" t="n">
        <v>0</v>
      </c>
      <c r="AW10" s="132" t="n">
        <v>0</v>
      </c>
      <c r="AX10" s="132" t="n">
        <v>6</v>
      </c>
      <c r="AY10" s="132" t="n">
        <v>81</v>
      </c>
      <c r="AZ10" s="132" t="n">
        <v>192</v>
      </c>
      <c r="BA10" s="132" t="n">
        <v>99</v>
      </c>
      <c r="BB10" s="132" t="n">
        <v>198</v>
      </c>
      <c r="BC10" s="132" t="n">
        <v>619</v>
      </c>
      <c r="BD10" s="132" t="n">
        <v>2556</v>
      </c>
      <c r="BE10" s="132" t="n">
        <v>915</v>
      </c>
      <c r="BF10" s="132" t="n">
        <v>945</v>
      </c>
      <c r="BG10" s="132" t="n">
        <v>3471</v>
      </c>
      <c r="BH10" s="132" t="n">
        <v>0</v>
      </c>
      <c r="BI10" s="132" t="n">
        <v>643</v>
      </c>
      <c r="BJ10" s="132" t="n">
        <v>356</v>
      </c>
      <c r="BK10" s="132" t="n">
        <v>287</v>
      </c>
      <c r="BL10" s="133" t="n">
        <v>0.5600000000000001</v>
      </c>
      <c r="BM10" s="133" t="n">
        <v>56.3</v>
      </c>
      <c r="BN10" s="133" t="n">
        <v>6165.13</v>
      </c>
      <c r="BO10" s="134" t="n">
        <v>3.5</v>
      </c>
      <c r="BP10" s="133" t="n">
        <v>61.65</v>
      </c>
      <c r="BQ10" s="134" t="n">
        <v>39</v>
      </c>
      <c r="BR10" s="133" t="n">
        <v>0.24</v>
      </c>
      <c r="BS10" s="134" t="n">
        <v>26.4</v>
      </c>
      <c r="BT10" s="134" t="n">
        <v>27.2</v>
      </c>
    </row>
    <row r="11" ht="30" customHeight="1">
      <c r="A11" s="3" t="inlineStr">
        <is>
          <t>NORD</t>
        </is>
      </c>
      <c r="B11" s="3" t="inlineStr">
        <is>
          <t>HOMMELET</t>
        </is>
      </c>
      <c r="C11" s="3" t="inlineStr">
        <is>
          <t>Hommelet Nord</t>
        </is>
      </c>
      <c r="D11" s="132" t="n">
        <v>2308</v>
      </c>
      <c r="E11" s="132" t="n">
        <v>68</v>
      </c>
      <c r="F11" s="132" t="n">
        <v>180</v>
      </c>
      <c r="G11" s="132" t="n">
        <v>219</v>
      </c>
      <c r="H11" s="132" t="n">
        <v>297</v>
      </c>
      <c r="I11" s="132" t="n">
        <v>260</v>
      </c>
      <c r="J11" s="132" t="n">
        <v>453</v>
      </c>
      <c r="K11" s="132" t="n">
        <v>410</v>
      </c>
      <c r="L11" s="132" t="n">
        <v>180</v>
      </c>
      <c r="M11" s="132" t="n">
        <v>228</v>
      </c>
      <c r="N11" s="132" t="n">
        <v>14</v>
      </c>
      <c r="O11" s="132" t="n">
        <v>635</v>
      </c>
      <c r="P11" s="132" t="n">
        <v>851</v>
      </c>
      <c r="Q11" s="132" t="n">
        <v>1215</v>
      </c>
      <c r="R11" s="132" t="n">
        <v>242</v>
      </c>
      <c r="S11" s="132" t="n">
        <v>1130</v>
      </c>
      <c r="T11" s="132" t="n">
        <v>281</v>
      </c>
      <c r="U11" s="132" t="n">
        <v>374</v>
      </c>
      <c r="V11" s="132" t="n">
        <v>636</v>
      </c>
      <c r="W11" s="132" t="n">
        <v>121</v>
      </c>
      <c r="X11" s="132" t="n">
        <v>1177</v>
      </c>
      <c r="Y11" s="132" t="n">
        <v>354</v>
      </c>
      <c r="Z11" s="132" t="n">
        <v>477</v>
      </c>
      <c r="AA11" s="132" t="n">
        <v>579</v>
      </c>
      <c r="AB11" s="132" t="n">
        <v>121</v>
      </c>
      <c r="AC11" s="132" t="n">
        <v>1761</v>
      </c>
      <c r="AD11" s="132" t="n">
        <v>0</v>
      </c>
      <c r="AE11" s="132" t="n">
        <v>42</v>
      </c>
      <c r="AF11" s="132" t="n">
        <v>105</v>
      </c>
      <c r="AG11" s="132" t="n">
        <v>137</v>
      </c>
      <c r="AH11" s="132" t="n">
        <v>196</v>
      </c>
      <c r="AI11" s="132" t="n">
        <v>337</v>
      </c>
      <c r="AJ11" s="132" t="n">
        <v>280</v>
      </c>
      <c r="AK11" s="132" t="n">
        <v>665</v>
      </c>
      <c r="AL11" s="132" t="n">
        <v>885</v>
      </c>
      <c r="AM11" s="132" t="n">
        <v>0</v>
      </c>
      <c r="AN11" s="132" t="n">
        <v>38</v>
      </c>
      <c r="AO11" s="132" t="n">
        <v>54</v>
      </c>
      <c r="AP11" s="132" t="n">
        <v>97</v>
      </c>
      <c r="AQ11" s="132" t="n">
        <v>51</v>
      </c>
      <c r="AR11" s="132" t="n">
        <v>264</v>
      </c>
      <c r="AS11" s="132" t="n">
        <v>138</v>
      </c>
      <c r="AT11" s="132" t="n">
        <v>244</v>
      </c>
      <c r="AU11" s="132" t="n">
        <v>876</v>
      </c>
      <c r="AV11" s="132" t="n">
        <v>0</v>
      </c>
      <c r="AW11" s="132" t="n">
        <v>4</v>
      </c>
      <c r="AX11" s="132" t="n">
        <v>50</v>
      </c>
      <c r="AY11" s="132" t="n">
        <v>40</v>
      </c>
      <c r="AZ11" s="132" t="n">
        <v>145</v>
      </c>
      <c r="BA11" s="132" t="n">
        <v>73</v>
      </c>
      <c r="BB11" s="132" t="n">
        <v>143</v>
      </c>
      <c r="BC11" s="132" t="n">
        <v>420</v>
      </c>
      <c r="BD11" s="132" t="n">
        <v>1735</v>
      </c>
      <c r="BE11" s="132" t="n">
        <v>573</v>
      </c>
      <c r="BF11" s="132" t="n">
        <v>608</v>
      </c>
      <c r="BG11" s="132" t="n">
        <v>2308</v>
      </c>
      <c r="BH11" s="132" t="n">
        <v>0</v>
      </c>
      <c r="BI11" s="132" t="n">
        <v>388</v>
      </c>
      <c r="BJ11" s="132" t="n">
        <v>165</v>
      </c>
      <c r="BK11" s="132" t="n">
        <v>223</v>
      </c>
      <c r="BL11" s="133" t="n">
        <v>0.18</v>
      </c>
      <c r="BM11" s="133" t="n">
        <v>18.34</v>
      </c>
      <c r="BN11" s="133" t="n">
        <v>12585.26</v>
      </c>
      <c r="BO11" s="134" t="n">
        <v>2.3</v>
      </c>
      <c r="BP11" s="133" t="n">
        <v>125.84</v>
      </c>
      <c r="BQ11" s="134" t="n">
        <v>36.9</v>
      </c>
      <c r="BR11" s="133" t="n">
        <v>0.28</v>
      </c>
      <c r="BS11" s="134" t="n">
        <v>24.8</v>
      </c>
      <c r="BT11" s="134" t="n">
        <v>26.3</v>
      </c>
    </row>
    <row r="12" ht="30" customHeight="1">
      <c r="A12" s="3" t="inlineStr">
        <is>
          <t>NORD</t>
        </is>
      </c>
      <c r="B12" s="3" t="inlineStr">
        <is>
          <t>HOMMELET</t>
        </is>
      </c>
      <c r="C12" s="3" t="inlineStr">
        <is>
          <t>Hommelet Centre</t>
        </is>
      </c>
      <c r="D12" s="132" t="n">
        <v>2774</v>
      </c>
      <c r="E12" s="132" t="n">
        <v>69</v>
      </c>
      <c r="F12" s="132" t="n">
        <v>204</v>
      </c>
      <c r="G12" s="132" t="n">
        <v>247</v>
      </c>
      <c r="H12" s="132" t="n">
        <v>436</v>
      </c>
      <c r="I12" s="132" t="n">
        <v>267</v>
      </c>
      <c r="J12" s="132" t="n">
        <v>363</v>
      </c>
      <c r="K12" s="132" t="n">
        <v>550</v>
      </c>
      <c r="L12" s="132" t="n">
        <v>270</v>
      </c>
      <c r="M12" s="132" t="n">
        <v>262</v>
      </c>
      <c r="N12" s="132" t="n">
        <v>106</v>
      </c>
      <c r="O12" s="132" t="n">
        <v>746</v>
      </c>
      <c r="P12" s="132" t="n">
        <v>1045</v>
      </c>
      <c r="Q12" s="132" t="n">
        <v>1361</v>
      </c>
      <c r="R12" s="132" t="n">
        <v>369</v>
      </c>
      <c r="S12" s="132" t="n">
        <v>1300</v>
      </c>
      <c r="T12" s="132" t="n">
        <v>367</v>
      </c>
      <c r="U12" s="132" t="n">
        <v>540</v>
      </c>
      <c r="V12" s="132" t="n">
        <v>614</v>
      </c>
      <c r="W12" s="132" t="n">
        <v>145</v>
      </c>
      <c r="X12" s="132" t="n">
        <v>1474</v>
      </c>
      <c r="Y12" s="132" t="n">
        <v>378</v>
      </c>
      <c r="Z12" s="132" t="n">
        <v>505</v>
      </c>
      <c r="AA12" s="132" t="n">
        <v>747</v>
      </c>
      <c r="AB12" s="132" t="n">
        <v>223</v>
      </c>
      <c r="AC12" s="132" t="n">
        <v>2141</v>
      </c>
      <c r="AD12" s="132" t="n">
        <v>0</v>
      </c>
      <c r="AE12" s="132" t="n">
        <v>53</v>
      </c>
      <c r="AF12" s="132" t="n">
        <v>45</v>
      </c>
      <c r="AG12" s="132" t="n">
        <v>121</v>
      </c>
      <c r="AH12" s="132" t="n">
        <v>313</v>
      </c>
      <c r="AI12" s="132" t="n">
        <v>374</v>
      </c>
      <c r="AJ12" s="132" t="n">
        <v>405</v>
      </c>
      <c r="AK12" s="132" t="n">
        <v>830</v>
      </c>
      <c r="AL12" s="132" t="n">
        <v>1000</v>
      </c>
      <c r="AM12" s="132" t="n">
        <v>0</v>
      </c>
      <c r="AN12" s="132" t="n">
        <v>36</v>
      </c>
      <c r="AO12" s="132" t="n">
        <v>26</v>
      </c>
      <c r="AP12" s="132" t="n">
        <v>68</v>
      </c>
      <c r="AQ12" s="132" t="n">
        <v>118</v>
      </c>
      <c r="AR12" s="132" t="n">
        <v>267</v>
      </c>
      <c r="AS12" s="132" t="n">
        <v>172</v>
      </c>
      <c r="AT12" s="132" t="n">
        <v>313</v>
      </c>
      <c r="AU12" s="132" t="n">
        <v>1141</v>
      </c>
      <c r="AV12" s="132" t="n">
        <v>0</v>
      </c>
      <c r="AW12" s="132" t="n">
        <v>17</v>
      </c>
      <c r="AX12" s="132" t="n">
        <v>20</v>
      </c>
      <c r="AY12" s="132" t="n">
        <v>53</v>
      </c>
      <c r="AZ12" s="132" t="n">
        <v>195</v>
      </c>
      <c r="BA12" s="132" t="n">
        <v>107</v>
      </c>
      <c r="BB12" s="132" t="n">
        <v>233</v>
      </c>
      <c r="BC12" s="132" t="n">
        <v>517</v>
      </c>
      <c r="BD12" s="132" t="n">
        <v>2086</v>
      </c>
      <c r="BE12" s="132" t="n">
        <v>688</v>
      </c>
      <c r="BF12" s="132" t="n">
        <v>784</v>
      </c>
      <c r="BG12" s="132" t="n">
        <v>2701</v>
      </c>
      <c r="BH12" s="132" t="n">
        <v>73</v>
      </c>
      <c r="BI12" s="132" t="n">
        <v>477</v>
      </c>
      <c r="BJ12" s="132" t="n">
        <v>249</v>
      </c>
      <c r="BK12" s="132" t="n">
        <v>228</v>
      </c>
      <c r="BL12" s="133" t="n">
        <v>0.28</v>
      </c>
      <c r="BM12" s="133" t="n">
        <v>28.27</v>
      </c>
      <c r="BN12" s="133" t="n">
        <v>9811.370000000001</v>
      </c>
      <c r="BO12" s="134" t="n">
        <v>2.8</v>
      </c>
      <c r="BP12" s="133" t="n">
        <v>98.12</v>
      </c>
      <c r="BQ12" s="134" t="n">
        <v>37.7</v>
      </c>
      <c r="BR12" s="133" t="n">
        <v>0.35</v>
      </c>
      <c r="BS12" s="134" t="n">
        <v>24.8</v>
      </c>
      <c r="BT12" s="134" t="n">
        <v>28.3</v>
      </c>
    </row>
    <row r="13" ht="30" customHeight="1">
      <c r="A13" s="3" t="inlineStr">
        <is>
          <t>NORD</t>
        </is>
      </c>
      <c r="B13" s="3" t="inlineStr">
        <is>
          <t>HOMMELET</t>
        </is>
      </c>
      <c r="C13" s="3" t="inlineStr">
        <is>
          <t>Hommelet Sud</t>
        </is>
      </c>
      <c r="D13" s="132" t="n">
        <v>2353</v>
      </c>
      <c r="E13" s="132" t="n">
        <v>56</v>
      </c>
      <c r="F13" s="132" t="n">
        <v>132</v>
      </c>
      <c r="G13" s="132" t="n">
        <v>197</v>
      </c>
      <c r="H13" s="132" t="n">
        <v>302</v>
      </c>
      <c r="I13" s="132" t="n">
        <v>302</v>
      </c>
      <c r="J13" s="132" t="n">
        <v>428</v>
      </c>
      <c r="K13" s="132" t="n">
        <v>474</v>
      </c>
      <c r="L13" s="132" t="n">
        <v>217</v>
      </c>
      <c r="M13" s="132" t="n">
        <v>182</v>
      </c>
      <c r="N13" s="132" t="n">
        <v>63</v>
      </c>
      <c r="O13" s="132" t="n">
        <v>533</v>
      </c>
      <c r="P13" s="132" t="n">
        <v>777</v>
      </c>
      <c r="Q13" s="132" t="n">
        <v>1332</v>
      </c>
      <c r="R13" s="132" t="n">
        <v>245</v>
      </c>
      <c r="S13" s="132" t="n">
        <v>1229</v>
      </c>
      <c r="T13" s="132" t="n">
        <v>272</v>
      </c>
      <c r="U13" s="132" t="n">
        <v>385</v>
      </c>
      <c r="V13" s="132" t="n">
        <v>728</v>
      </c>
      <c r="W13" s="132" t="n">
        <v>116</v>
      </c>
      <c r="X13" s="132" t="n">
        <v>1124</v>
      </c>
      <c r="Y13" s="132" t="n">
        <v>261</v>
      </c>
      <c r="Z13" s="132" t="n">
        <v>391</v>
      </c>
      <c r="AA13" s="132" t="n">
        <v>604</v>
      </c>
      <c r="AB13" s="132" t="n">
        <v>129</v>
      </c>
      <c r="AC13" s="132" t="n">
        <v>1909</v>
      </c>
      <c r="AD13" s="132" t="n">
        <v>0</v>
      </c>
      <c r="AE13" s="132" t="n">
        <v>38</v>
      </c>
      <c r="AF13" s="132" t="n">
        <v>132</v>
      </c>
      <c r="AG13" s="132" t="n">
        <v>126</v>
      </c>
      <c r="AH13" s="132" t="n">
        <v>273</v>
      </c>
      <c r="AI13" s="132" t="n">
        <v>389</v>
      </c>
      <c r="AJ13" s="132" t="n">
        <v>266</v>
      </c>
      <c r="AK13" s="132" t="n">
        <v>685</v>
      </c>
      <c r="AL13" s="132" t="n">
        <v>986</v>
      </c>
      <c r="AM13" s="132" t="n">
        <v>0</v>
      </c>
      <c r="AN13" s="132" t="n">
        <v>25</v>
      </c>
      <c r="AO13" s="132" t="n">
        <v>85</v>
      </c>
      <c r="AP13" s="132" t="n">
        <v>64</v>
      </c>
      <c r="AQ13" s="132" t="n">
        <v>90</v>
      </c>
      <c r="AR13" s="132" t="n">
        <v>313</v>
      </c>
      <c r="AS13" s="132" t="n">
        <v>125</v>
      </c>
      <c r="AT13" s="132" t="n">
        <v>283</v>
      </c>
      <c r="AU13" s="132" t="n">
        <v>923</v>
      </c>
      <c r="AV13" s="132" t="n">
        <v>0</v>
      </c>
      <c r="AW13" s="132" t="n">
        <v>13</v>
      </c>
      <c r="AX13" s="132" t="n">
        <v>47</v>
      </c>
      <c r="AY13" s="132" t="n">
        <v>61</v>
      </c>
      <c r="AZ13" s="132" t="n">
        <v>182</v>
      </c>
      <c r="BA13" s="132" t="n">
        <v>76</v>
      </c>
      <c r="BB13" s="132" t="n">
        <v>141</v>
      </c>
      <c r="BC13" s="132" t="n">
        <v>402</v>
      </c>
      <c r="BD13" s="132" t="n">
        <v>1736</v>
      </c>
      <c r="BE13" s="132" t="n">
        <v>618</v>
      </c>
      <c r="BF13" s="132" t="n">
        <v>681</v>
      </c>
      <c r="BG13" s="132" t="n">
        <v>2250</v>
      </c>
      <c r="BH13" s="132" t="n">
        <v>103</v>
      </c>
      <c r="BI13" s="132" t="n">
        <v>457</v>
      </c>
      <c r="BJ13" s="132" t="n">
        <v>247</v>
      </c>
      <c r="BK13" s="132" t="n">
        <v>210</v>
      </c>
      <c r="BL13" s="133" t="n">
        <v>0.21</v>
      </c>
      <c r="BM13" s="133" t="n">
        <v>21.15</v>
      </c>
      <c r="BN13" s="133" t="n">
        <v>11129.05</v>
      </c>
      <c r="BO13" s="134" t="n">
        <v>2.4</v>
      </c>
      <c r="BP13" s="133" t="n">
        <v>111.27</v>
      </c>
      <c r="BQ13" s="134" t="n">
        <v>33</v>
      </c>
      <c r="BR13" s="133" t="n">
        <v>0.31</v>
      </c>
      <c r="BS13" s="134" t="n">
        <v>26.2</v>
      </c>
      <c r="BT13" s="134" t="n">
        <v>28.9</v>
      </c>
    </row>
    <row r="14" ht="30" customHeight="1">
      <c r="A14" s="3" t="inlineStr">
        <is>
          <t>OUEST</t>
        </is>
      </c>
      <c r="B14" s="3" t="inlineStr">
        <is>
          <t>EPEULE</t>
        </is>
      </c>
      <c r="C14" s="3" t="inlineStr">
        <is>
          <t>Épeule Nord</t>
        </is>
      </c>
      <c r="D14" s="132" t="n">
        <v>1947</v>
      </c>
      <c r="E14" s="132" t="n">
        <v>46</v>
      </c>
      <c r="F14" s="132" t="n">
        <v>124</v>
      </c>
      <c r="G14" s="132" t="n">
        <v>198</v>
      </c>
      <c r="H14" s="132" t="n">
        <v>210</v>
      </c>
      <c r="I14" s="132" t="n">
        <v>204</v>
      </c>
      <c r="J14" s="132" t="n">
        <v>313</v>
      </c>
      <c r="K14" s="132" t="n">
        <v>369</v>
      </c>
      <c r="L14" s="132" t="n">
        <v>249</v>
      </c>
      <c r="M14" s="132" t="n">
        <v>194</v>
      </c>
      <c r="N14" s="132" t="n">
        <v>40</v>
      </c>
      <c r="O14" s="132" t="n">
        <v>475</v>
      </c>
      <c r="P14" s="132" t="n">
        <v>660</v>
      </c>
      <c r="Q14" s="132" t="n">
        <v>1054</v>
      </c>
      <c r="R14" s="132" t="n">
        <v>233</v>
      </c>
      <c r="S14" s="132" t="n">
        <v>964</v>
      </c>
      <c r="T14" s="132" t="n">
        <v>230</v>
      </c>
      <c r="U14" s="132" t="n">
        <v>325</v>
      </c>
      <c r="V14" s="132" t="n">
        <v>510</v>
      </c>
      <c r="W14" s="132" t="n">
        <v>129</v>
      </c>
      <c r="X14" s="132" t="n">
        <v>983</v>
      </c>
      <c r="Y14" s="132" t="n">
        <v>245</v>
      </c>
      <c r="Z14" s="132" t="n">
        <v>335</v>
      </c>
      <c r="AA14" s="132" t="n">
        <v>544</v>
      </c>
      <c r="AB14" s="132" t="n">
        <v>104</v>
      </c>
      <c r="AC14" s="132" t="n">
        <v>1347</v>
      </c>
      <c r="AD14" s="132" t="n">
        <v>0</v>
      </c>
      <c r="AE14" s="132" t="n">
        <v>31</v>
      </c>
      <c r="AF14" s="132" t="n">
        <v>15</v>
      </c>
      <c r="AG14" s="132" t="n">
        <v>87</v>
      </c>
      <c r="AH14" s="132" t="n">
        <v>198</v>
      </c>
      <c r="AI14" s="132" t="n">
        <v>256</v>
      </c>
      <c r="AJ14" s="132" t="n">
        <v>214</v>
      </c>
      <c r="AK14" s="132" t="n">
        <v>546</v>
      </c>
      <c r="AL14" s="132" t="n">
        <v>692</v>
      </c>
      <c r="AM14" s="132" t="n">
        <v>0</v>
      </c>
      <c r="AN14" s="132" t="n">
        <v>28</v>
      </c>
      <c r="AO14" s="132" t="n">
        <v>8</v>
      </c>
      <c r="AP14" s="132" t="n">
        <v>35</v>
      </c>
      <c r="AQ14" s="132" t="n">
        <v>80</v>
      </c>
      <c r="AR14" s="132" t="n">
        <v>206</v>
      </c>
      <c r="AS14" s="132" t="n">
        <v>123</v>
      </c>
      <c r="AT14" s="132" t="n">
        <v>212</v>
      </c>
      <c r="AU14" s="132" t="n">
        <v>656</v>
      </c>
      <c r="AV14" s="132" t="n">
        <v>0</v>
      </c>
      <c r="AW14" s="132" t="n">
        <v>3</v>
      </c>
      <c r="AX14" s="132" t="n">
        <v>7</v>
      </c>
      <c r="AY14" s="132" t="n">
        <v>52</v>
      </c>
      <c r="AZ14" s="132" t="n">
        <v>119</v>
      </c>
      <c r="BA14" s="132" t="n">
        <v>50</v>
      </c>
      <c r="BB14" s="132" t="n">
        <v>91</v>
      </c>
      <c r="BC14" s="132" t="n">
        <v>333</v>
      </c>
      <c r="BD14" s="132" t="n">
        <v>1254</v>
      </c>
      <c r="BE14" s="132" t="n">
        <v>694</v>
      </c>
      <c r="BF14" s="132" t="n">
        <v>685</v>
      </c>
      <c r="BG14" s="132" t="n">
        <v>1947</v>
      </c>
      <c r="BH14" s="132" t="n">
        <v>0</v>
      </c>
      <c r="BI14" s="132" t="n">
        <v>308</v>
      </c>
      <c r="BJ14" s="132" t="n">
        <v>158</v>
      </c>
      <c r="BK14" s="132" t="n">
        <v>150</v>
      </c>
      <c r="BL14" s="133" t="n">
        <v>0.15</v>
      </c>
      <c r="BM14" s="133" t="n">
        <v>15.31</v>
      </c>
      <c r="BN14" s="133" t="n">
        <v>12719.86</v>
      </c>
      <c r="BO14" s="134" t="n">
        <v>2</v>
      </c>
      <c r="BP14" s="133" t="n">
        <v>127.18</v>
      </c>
      <c r="BQ14" s="134" t="n">
        <v>33.9</v>
      </c>
      <c r="BR14" s="133" t="n">
        <v>0.35</v>
      </c>
      <c r="BS14" s="134" t="n">
        <v>35.6</v>
      </c>
      <c r="BT14" s="134" t="n">
        <v>35.2</v>
      </c>
    </row>
    <row r="15" ht="30" customHeight="1">
      <c r="A15" s="3" t="inlineStr">
        <is>
          <t>OUEST</t>
        </is>
      </c>
      <c r="B15" s="3" t="inlineStr">
        <is>
          <t>EPEULE</t>
        </is>
      </c>
      <c r="C15" s="3" t="inlineStr">
        <is>
          <t>Épeule Centre</t>
        </is>
      </c>
      <c r="D15" s="132" t="n">
        <v>2457</v>
      </c>
      <c r="E15" s="132" t="n">
        <v>64</v>
      </c>
      <c r="F15" s="132" t="n">
        <v>200</v>
      </c>
      <c r="G15" s="132" t="n">
        <v>198</v>
      </c>
      <c r="H15" s="132" t="n">
        <v>270</v>
      </c>
      <c r="I15" s="132" t="n">
        <v>288</v>
      </c>
      <c r="J15" s="132" t="n">
        <v>474</v>
      </c>
      <c r="K15" s="132" t="n">
        <v>449</v>
      </c>
      <c r="L15" s="132" t="n">
        <v>243</v>
      </c>
      <c r="M15" s="132" t="n">
        <v>214</v>
      </c>
      <c r="N15" s="132" t="n">
        <v>58</v>
      </c>
      <c r="O15" s="132" t="n">
        <v>622</v>
      </c>
      <c r="P15" s="132" t="n">
        <v>797</v>
      </c>
      <c r="Q15" s="132" t="n">
        <v>1388</v>
      </c>
      <c r="R15" s="132" t="n">
        <v>272</v>
      </c>
      <c r="S15" s="132" t="n">
        <v>1210</v>
      </c>
      <c r="T15" s="132" t="n">
        <v>324</v>
      </c>
      <c r="U15" s="132" t="n">
        <v>407</v>
      </c>
      <c r="V15" s="132" t="n">
        <v>697</v>
      </c>
      <c r="W15" s="132" t="n">
        <v>106</v>
      </c>
      <c r="X15" s="132" t="n">
        <v>1247</v>
      </c>
      <c r="Y15" s="132" t="n">
        <v>297</v>
      </c>
      <c r="Z15" s="132" t="n">
        <v>390</v>
      </c>
      <c r="AA15" s="132" t="n">
        <v>691</v>
      </c>
      <c r="AB15" s="132" t="n">
        <v>166</v>
      </c>
      <c r="AC15" s="132" t="n">
        <v>1757</v>
      </c>
      <c r="AD15" s="132" t="n">
        <v>0</v>
      </c>
      <c r="AE15" s="132" t="n">
        <v>56</v>
      </c>
      <c r="AF15" s="132" t="n">
        <v>98</v>
      </c>
      <c r="AG15" s="132" t="n">
        <v>154</v>
      </c>
      <c r="AH15" s="132" t="n">
        <v>277</v>
      </c>
      <c r="AI15" s="132" t="n">
        <v>282</v>
      </c>
      <c r="AJ15" s="132" t="n">
        <v>232</v>
      </c>
      <c r="AK15" s="132" t="n">
        <v>659</v>
      </c>
      <c r="AL15" s="132" t="n">
        <v>869</v>
      </c>
      <c r="AM15" s="132" t="n">
        <v>0</v>
      </c>
      <c r="AN15" s="132" t="n">
        <v>50</v>
      </c>
      <c r="AO15" s="132" t="n">
        <v>61</v>
      </c>
      <c r="AP15" s="132" t="n">
        <v>90</v>
      </c>
      <c r="AQ15" s="132" t="n">
        <v>93</v>
      </c>
      <c r="AR15" s="132" t="n">
        <v>206</v>
      </c>
      <c r="AS15" s="132" t="n">
        <v>89</v>
      </c>
      <c r="AT15" s="132" t="n">
        <v>280</v>
      </c>
      <c r="AU15" s="132" t="n">
        <v>888</v>
      </c>
      <c r="AV15" s="132" t="n">
        <v>0</v>
      </c>
      <c r="AW15" s="132" t="n">
        <v>6</v>
      </c>
      <c r="AX15" s="132" t="n">
        <v>36</v>
      </c>
      <c r="AY15" s="132" t="n">
        <v>64</v>
      </c>
      <c r="AZ15" s="132" t="n">
        <v>184</v>
      </c>
      <c r="BA15" s="132" t="n">
        <v>75</v>
      </c>
      <c r="BB15" s="132" t="n">
        <v>143</v>
      </c>
      <c r="BC15" s="132" t="n">
        <v>379</v>
      </c>
      <c r="BD15" s="132" t="n">
        <v>1813</v>
      </c>
      <c r="BE15" s="132" t="n">
        <v>644</v>
      </c>
      <c r="BF15" s="132" t="n">
        <v>686</v>
      </c>
      <c r="BG15" s="132" t="n">
        <v>2457</v>
      </c>
      <c r="BH15" s="132" t="n">
        <v>0</v>
      </c>
      <c r="BI15" s="132" t="n">
        <v>397</v>
      </c>
      <c r="BJ15" s="132" t="n">
        <v>206</v>
      </c>
      <c r="BK15" s="132" t="n">
        <v>191</v>
      </c>
      <c r="BL15" s="133" t="n">
        <v>0.2</v>
      </c>
      <c r="BM15" s="133" t="n">
        <v>19.52</v>
      </c>
      <c r="BN15" s="133" t="n">
        <v>12586.53</v>
      </c>
      <c r="BO15" s="134" t="n">
        <v>2.5</v>
      </c>
      <c r="BP15" s="133" t="n">
        <v>125.89</v>
      </c>
      <c r="BQ15" s="134" t="n">
        <v>32.4</v>
      </c>
      <c r="BR15" s="133" t="n">
        <v>0.34</v>
      </c>
      <c r="BS15" s="134" t="n">
        <v>26.2</v>
      </c>
      <c r="BT15" s="134" t="n">
        <v>27.9</v>
      </c>
    </row>
    <row r="16" ht="30" customHeight="1">
      <c r="A16" s="3" t="inlineStr">
        <is>
          <t>OUEST</t>
        </is>
      </c>
      <c r="B16" s="3" t="inlineStr">
        <is>
          <t>EPEULE</t>
        </is>
      </c>
      <c r="C16" s="3" t="inlineStr">
        <is>
          <t>Épeule Sud</t>
        </is>
      </c>
      <c r="D16" s="132" t="n">
        <v>2009</v>
      </c>
      <c r="E16" s="132" t="n">
        <v>41</v>
      </c>
      <c r="F16" s="132" t="n">
        <v>89</v>
      </c>
      <c r="G16" s="132" t="n">
        <v>120</v>
      </c>
      <c r="H16" s="132" t="n">
        <v>217</v>
      </c>
      <c r="I16" s="132" t="n">
        <v>339</v>
      </c>
      <c r="J16" s="132" t="n">
        <v>341</v>
      </c>
      <c r="K16" s="132" t="n">
        <v>423</v>
      </c>
      <c r="L16" s="132" t="n">
        <v>221</v>
      </c>
      <c r="M16" s="132" t="n">
        <v>164</v>
      </c>
      <c r="N16" s="132" t="n">
        <v>53</v>
      </c>
      <c r="O16" s="132" t="n">
        <v>358</v>
      </c>
      <c r="P16" s="132" t="n">
        <v>573</v>
      </c>
      <c r="Q16" s="132" t="n">
        <v>1219</v>
      </c>
      <c r="R16" s="132" t="n">
        <v>218</v>
      </c>
      <c r="S16" s="132" t="n">
        <v>1039</v>
      </c>
      <c r="T16" s="132" t="n">
        <v>183</v>
      </c>
      <c r="U16" s="132" t="n">
        <v>279</v>
      </c>
      <c r="V16" s="132" t="n">
        <v>656</v>
      </c>
      <c r="W16" s="132" t="n">
        <v>104</v>
      </c>
      <c r="X16" s="132" t="n">
        <v>970</v>
      </c>
      <c r="Y16" s="132" t="n">
        <v>175</v>
      </c>
      <c r="Z16" s="132" t="n">
        <v>294</v>
      </c>
      <c r="AA16" s="132" t="n">
        <v>563</v>
      </c>
      <c r="AB16" s="132" t="n">
        <v>114</v>
      </c>
      <c r="AC16" s="132" t="n">
        <v>1656</v>
      </c>
      <c r="AD16" s="132" t="n">
        <v>0</v>
      </c>
      <c r="AE16" s="132" t="n">
        <v>53</v>
      </c>
      <c r="AF16" s="132" t="n">
        <v>154</v>
      </c>
      <c r="AG16" s="132" t="n">
        <v>168</v>
      </c>
      <c r="AH16" s="132" t="n">
        <v>250</v>
      </c>
      <c r="AI16" s="132" t="n">
        <v>248</v>
      </c>
      <c r="AJ16" s="132" t="n">
        <v>236</v>
      </c>
      <c r="AK16" s="132" t="n">
        <v>546</v>
      </c>
      <c r="AL16" s="132" t="n">
        <v>870</v>
      </c>
      <c r="AM16" s="132" t="n">
        <v>0</v>
      </c>
      <c r="AN16" s="132" t="n">
        <v>41</v>
      </c>
      <c r="AO16" s="132" t="n">
        <v>93</v>
      </c>
      <c r="AP16" s="132" t="n">
        <v>89</v>
      </c>
      <c r="AQ16" s="132" t="n">
        <v>96</v>
      </c>
      <c r="AR16" s="132" t="n">
        <v>201</v>
      </c>
      <c r="AS16" s="132" t="n">
        <v>108</v>
      </c>
      <c r="AT16" s="132" t="n">
        <v>242</v>
      </c>
      <c r="AU16" s="132" t="n">
        <v>786</v>
      </c>
      <c r="AV16" s="132" t="n">
        <v>0</v>
      </c>
      <c r="AW16" s="132" t="n">
        <v>13</v>
      </c>
      <c r="AX16" s="132" t="n">
        <v>61</v>
      </c>
      <c r="AY16" s="132" t="n">
        <v>79</v>
      </c>
      <c r="AZ16" s="132" t="n">
        <v>154</v>
      </c>
      <c r="BA16" s="132" t="n">
        <v>47</v>
      </c>
      <c r="BB16" s="132" t="n">
        <v>128</v>
      </c>
      <c r="BC16" s="132" t="n">
        <v>305</v>
      </c>
      <c r="BD16" s="132" t="n">
        <v>1578</v>
      </c>
      <c r="BE16" s="132" t="n">
        <v>431</v>
      </c>
      <c r="BF16" s="132" t="n">
        <v>413</v>
      </c>
      <c r="BG16" s="132" t="n">
        <v>1956</v>
      </c>
      <c r="BH16" s="132" t="n">
        <v>53</v>
      </c>
      <c r="BI16" s="132" t="n">
        <v>448</v>
      </c>
      <c r="BJ16" s="132" t="n">
        <v>246</v>
      </c>
      <c r="BK16" s="132" t="n">
        <v>201</v>
      </c>
      <c r="BL16" s="133" t="n">
        <v>0.15</v>
      </c>
      <c r="BM16" s="133" t="n">
        <v>14.75</v>
      </c>
      <c r="BN16" s="133" t="n">
        <v>13617.65</v>
      </c>
      <c r="BO16" s="134" t="n">
        <v>2</v>
      </c>
      <c r="BP16" s="133" t="n">
        <v>136.21</v>
      </c>
      <c r="BQ16" s="134" t="n">
        <v>28.5</v>
      </c>
      <c r="BR16" s="133" t="n">
        <v>0.38</v>
      </c>
      <c r="BS16" s="134" t="n">
        <v>21.5</v>
      </c>
      <c r="BT16" s="134" t="n">
        <v>20.6</v>
      </c>
    </row>
    <row r="17" ht="30" customHeight="1">
      <c r="A17" s="3" t="inlineStr">
        <is>
          <t>OUEST</t>
        </is>
      </c>
      <c r="B17" s="3" t="inlineStr">
        <is>
          <t>TRICHON</t>
        </is>
      </c>
      <c r="C17" s="3" t="inlineStr">
        <is>
          <t>Trichon</t>
        </is>
      </c>
      <c r="D17" s="132" t="n">
        <v>2886</v>
      </c>
      <c r="E17" s="132" t="n">
        <v>80</v>
      </c>
      <c r="F17" s="132" t="n">
        <v>162</v>
      </c>
      <c r="G17" s="132" t="n">
        <v>258</v>
      </c>
      <c r="H17" s="132" t="n">
        <v>345</v>
      </c>
      <c r="I17" s="132" t="n">
        <v>423</v>
      </c>
      <c r="J17" s="132" t="n">
        <v>644</v>
      </c>
      <c r="K17" s="132" t="n">
        <v>507</v>
      </c>
      <c r="L17" s="132" t="n">
        <v>248</v>
      </c>
      <c r="M17" s="132" t="n">
        <v>171</v>
      </c>
      <c r="N17" s="132" t="n">
        <v>48</v>
      </c>
      <c r="O17" s="132" t="n">
        <v>703</v>
      </c>
      <c r="P17" s="132" t="n">
        <v>969</v>
      </c>
      <c r="Q17" s="132" t="n">
        <v>1698</v>
      </c>
      <c r="R17" s="132" t="n">
        <v>219</v>
      </c>
      <c r="S17" s="132" t="n">
        <v>1452</v>
      </c>
      <c r="T17" s="132" t="n">
        <v>359</v>
      </c>
      <c r="U17" s="132" t="n">
        <v>481</v>
      </c>
      <c r="V17" s="132" t="n">
        <v>873</v>
      </c>
      <c r="W17" s="132" t="n">
        <v>98</v>
      </c>
      <c r="X17" s="132" t="n">
        <v>1435</v>
      </c>
      <c r="Y17" s="132" t="n">
        <v>344</v>
      </c>
      <c r="Z17" s="132" t="n">
        <v>488</v>
      </c>
      <c r="AA17" s="132" t="n">
        <v>826</v>
      </c>
      <c r="AB17" s="132" t="n">
        <v>121</v>
      </c>
      <c r="AC17" s="132" t="n">
        <v>2265</v>
      </c>
      <c r="AD17" s="132" t="n">
        <v>0</v>
      </c>
      <c r="AE17" s="132" t="n">
        <v>108</v>
      </c>
      <c r="AF17" s="132" t="n">
        <v>166</v>
      </c>
      <c r="AG17" s="132" t="n">
        <v>233</v>
      </c>
      <c r="AH17" s="132" t="n">
        <v>385</v>
      </c>
      <c r="AI17" s="132" t="n">
        <v>275</v>
      </c>
      <c r="AJ17" s="132" t="n">
        <v>239</v>
      </c>
      <c r="AK17" s="132" t="n">
        <v>860</v>
      </c>
      <c r="AL17" s="132" t="n">
        <v>1112</v>
      </c>
      <c r="AM17" s="132" t="n">
        <v>0</v>
      </c>
      <c r="AN17" s="132" t="n">
        <v>82</v>
      </c>
      <c r="AO17" s="132" t="n">
        <v>101</v>
      </c>
      <c r="AP17" s="132" t="n">
        <v>105</v>
      </c>
      <c r="AQ17" s="132" t="n">
        <v>120</v>
      </c>
      <c r="AR17" s="132" t="n">
        <v>220</v>
      </c>
      <c r="AS17" s="132" t="n">
        <v>124</v>
      </c>
      <c r="AT17" s="132" t="n">
        <v>360</v>
      </c>
      <c r="AU17" s="132" t="n">
        <v>1154</v>
      </c>
      <c r="AV17" s="132" t="n">
        <v>0</v>
      </c>
      <c r="AW17" s="132" t="n">
        <v>26</v>
      </c>
      <c r="AX17" s="132" t="n">
        <v>65</v>
      </c>
      <c r="AY17" s="132" t="n">
        <v>129</v>
      </c>
      <c r="AZ17" s="132" t="n">
        <v>265</v>
      </c>
      <c r="BA17" s="132" t="n">
        <v>54</v>
      </c>
      <c r="BB17" s="132" t="n">
        <v>115</v>
      </c>
      <c r="BC17" s="132" t="n">
        <v>500</v>
      </c>
      <c r="BD17" s="132" t="n">
        <v>2302</v>
      </c>
      <c r="BE17" s="132" t="n">
        <v>584</v>
      </c>
      <c r="BF17" s="132" t="n">
        <v>611</v>
      </c>
      <c r="BG17" s="132" t="n">
        <v>2869</v>
      </c>
      <c r="BH17" s="132" t="n">
        <v>17</v>
      </c>
      <c r="BI17" s="132" t="n">
        <v>566</v>
      </c>
      <c r="BJ17" s="132" t="n">
        <v>258</v>
      </c>
      <c r="BK17" s="132" t="n">
        <v>308</v>
      </c>
      <c r="BL17" s="133" t="n">
        <v>0.33</v>
      </c>
      <c r="BM17" s="133" t="n">
        <v>33.33</v>
      </c>
      <c r="BN17" s="133" t="n">
        <v>8658.799999999999</v>
      </c>
      <c r="BO17" s="134" t="n">
        <v>2.9</v>
      </c>
      <c r="BP17" s="133" t="n">
        <v>86.59999999999999</v>
      </c>
      <c r="BQ17" s="134" t="n">
        <v>33.6</v>
      </c>
      <c r="BR17" s="133" t="n">
        <v>0.23</v>
      </c>
      <c r="BS17" s="134" t="n">
        <v>20.2</v>
      </c>
      <c r="BT17" s="134" t="n">
        <v>21.2</v>
      </c>
    </row>
    <row r="18" ht="30" customHeight="1">
      <c r="A18" s="3" t="inlineStr">
        <is>
          <t>CENTRE</t>
        </is>
      </c>
      <c r="B18" s="3" t="inlineStr">
        <is>
          <t>ESPERANCE/CROUY/CENTRE VILLE</t>
        </is>
      </c>
      <c r="C18" s="3" t="inlineStr">
        <is>
          <t>Espérance Centre</t>
        </is>
      </c>
      <c r="D18" s="132" t="n">
        <v>3519</v>
      </c>
      <c r="E18" s="132" t="n">
        <v>103</v>
      </c>
      <c r="F18" s="132" t="n">
        <v>191</v>
      </c>
      <c r="G18" s="132" t="n">
        <v>230</v>
      </c>
      <c r="H18" s="132" t="n">
        <v>258</v>
      </c>
      <c r="I18" s="132" t="n">
        <v>721</v>
      </c>
      <c r="J18" s="132" t="n">
        <v>895</v>
      </c>
      <c r="K18" s="132" t="n">
        <v>631</v>
      </c>
      <c r="L18" s="132" t="n">
        <v>283</v>
      </c>
      <c r="M18" s="132" t="n">
        <v>180</v>
      </c>
      <c r="N18" s="132" t="n">
        <v>28</v>
      </c>
      <c r="O18" s="132" t="n">
        <v>659</v>
      </c>
      <c r="P18" s="132" t="n">
        <v>978</v>
      </c>
      <c r="Q18" s="132" t="n">
        <v>2332</v>
      </c>
      <c r="R18" s="132" t="n">
        <v>208</v>
      </c>
      <c r="S18" s="132" t="n">
        <v>1852</v>
      </c>
      <c r="T18" s="132" t="n">
        <v>341</v>
      </c>
      <c r="U18" s="132" t="n">
        <v>499</v>
      </c>
      <c r="V18" s="132" t="n">
        <v>1236</v>
      </c>
      <c r="W18" s="132" t="n">
        <v>117</v>
      </c>
      <c r="X18" s="132" t="n">
        <v>1667</v>
      </c>
      <c r="Y18" s="132" t="n">
        <v>318</v>
      </c>
      <c r="Z18" s="132" t="n">
        <v>480</v>
      </c>
      <c r="AA18" s="132" t="n">
        <v>1096</v>
      </c>
      <c r="AB18" s="132" t="n">
        <v>91</v>
      </c>
      <c r="AC18" s="132" t="n">
        <v>2907</v>
      </c>
      <c r="AD18" s="132" t="n">
        <v>0</v>
      </c>
      <c r="AE18" s="132" t="n">
        <v>114</v>
      </c>
      <c r="AF18" s="132" t="n">
        <v>230</v>
      </c>
      <c r="AG18" s="132" t="n">
        <v>365</v>
      </c>
      <c r="AH18" s="132" t="n">
        <v>437</v>
      </c>
      <c r="AI18" s="132" t="n">
        <v>349</v>
      </c>
      <c r="AJ18" s="132" t="n">
        <v>251</v>
      </c>
      <c r="AK18" s="132" t="n">
        <v>1161</v>
      </c>
      <c r="AL18" s="132" t="n">
        <v>1565</v>
      </c>
      <c r="AM18" s="132" t="n">
        <v>0</v>
      </c>
      <c r="AN18" s="132" t="n">
        <v>89</v>
      </c>
      <c r="AO18" s="132" t="n">
        <v>137</v>
      </c>
      <c r="AP18" s="132" t="n">
        <v>206</v>
      </c>
      <c r="AQ18" s="132" t="n">
        <v>183</v>
      </c>
      <c r="AR18" s="132" t="n">
        <v>267</v>
      </c>
      <c r="AS18" s="132" t="n">
        <v>139</v>
      </c>
      <c r="AT18" s="132" t="n">
        <v>542</v>
      </c>
      <c r="AU18" s="132" t="n">
        <v>1342</v>
      </c>
      <c r="AV18" s="132" t="n">
        <v>0</v>
      </c>
      <c r="AW18" s="132" t="n">
        <v>25</v>
      </c>
      <c r="AX18" s="132" t="n">
        <v>92</v>
      </c>
      <c r="AY18" s="132" t="n">
        <v>159</v>
      </c>
      <c r="AZ18" s="132" t="n">
        <v>254</v>
      </c>
      <c r="BA18" s="132" t="n">
        <v>81</v>
      </c>
      <c r="BB18" s="132" t="n">
        <v>111</v>
      </c>
      <c r="BC18" s="132" t="n">
        <v>619</v>
      </c>
      <c r="BD18" s="132" t="n">
        <v>2941</v>
      </c>
      <c r="BE18" s="132" t="n">
        <v>577</v>
      </c>
      <c r="BF18" s="132" t="n">
        <v>633</v>
      </c>
      <c r="BG18" s="132" t="n">
        <v>3510</v>
      </c>
      <c r="BH18" s="132" t="n">
        <v>9</v>
      </c>
      <c r="BI18" s="132" t="n">
        <v>842</v>
      </c>
      <c r="BJ18" s="132" t="n">
        <v>438</v>
      </c>
      <c r="BK18" s="132" t="n">
        <v>404</v>
      </c>
      <c r="BL18" s="133" t="n">
        <v>0.45</v>
      </c>
      <c r="BM18" s="133" t="n">
        <v>44.51</v>
      </c>
      <c r="BN18" s="133" t="n">
        <v>7905.83</v>
      </c>
      <c r="BO18" s="134" t="n">
        <v>3.6</v>
      </c>
      <c r="BP18" s="133" t="n">
        <v>79.05</v>
      </c>
      <c r="BQ18" s="134" t="n">
        <v>27.8</v>
      </c>
      <c r="BR18" s="133" t="n">
        <v>0.21</v>
      </c>
      <c r="BS18" s="134" t="n">
        <v>16.4</v>
      </c>
      <c r="BT18" s="134" t="n">
        <v>18</v>
      </c>
    </row>
    <row r="19" ht="30" customHeight="1">
      <c r="A19" s="3" t="inlineStr">
        <is>
          <t>CENTRE</t>
        </is>
      </c>
      <c r="B19" s="3" t="inlineStr">
        <is>
          <t>NATIONS UNIES</t>
        </is>
      </c>
      <c r="C19" s="3" t="inlineStr">
        <is>
          <t>Nations Unies</t>
        </is>
      </c>
      <c r="D19" s="132" t="n">
        <v>2916</v>
      </c>
      <c r="E19" s="132" t="n">
        <v>95</v>
      </c>
      <c r="F19" s="132" t="n">
        <v>181</v>
      </c>
      <c r="G19" s="132" t="n">
        <v>210</v>
      </c>
      <c r="H19" s="132" t="n">
        <v>196</v>
      </c>
      <c r="I19" s="132" t="n">
        <v>457</v>
      </c>
      <c r="J19" s="132" t="n">
        <v>708</v>
      </c>
      <c r="K19" s="132" t="n">
        <v>503</v>
      </c>
      <c r="L19" s="132" t="n">
        <v>268</v>
      </c>
      <c r="M19" s="132" t="n">
        <v>180</v>
      </c>
      <c r="N19" s="132" t="n">
        <v>119</v>
      </c>
      <c r="O19" s="132" t="n">
        <v>616</v>
      </c>
      <c r="P19" s="132" t="n">
        <v>796</v>
      </c>
      <c r="Q19" s="132" t="n">
        <v>1820</v>
      </c>
      <c r="R19" s="132" t="n">
        <v>300</v>
      </c>
      <c r="S19" s="132" t="n">
        <v>1461</v>
      </c>
      <c r="T19" s="132" t="n">
        <v>310</v>
      </c>
      <c r="U19" s="132" t="n">
        <v>417</v>
      </c>
      <c r="V19" s="132" t="n">
        <v>922</v>
      </c>
      <c r="W19" s="132" t="n">
        <v>123</v>
      </c>
      <c r="X19" s="132" t="n">
        <v>1455</v>
      </c>
      <c r="Y19" s="132" t="n">
        <v>306</v>
      </c>
      <c r="Z19" s="132" t="n">
        <v>380</v>
      </c>
      <c r="AA19" s="132" t="n">
        <v>899</v>
      </c>
      <c r="AB19" s="132" t="n">
        <v>177</v>
      </c>
      <c r="AC19" s="132" t="n">
        <v>2451</v>
      </c>
      <c r="AD19" s="132" t="n">
        <v>0</v>
      </c>
      <c r="AE19" s="132" t="n">
        <v>56</v>
      </c>
      <c r="AF19" s="132" t="n">
        <v>132</v>
      </c>
      <c r="AG19" s="132" t="n">
        <v>352</v>
      </c>
      <c r="AH19" s="132" t="n">
        <v>465</v>
      </c>
      <c r="AI19" s="132" t="n">
        <v>459</v>
      </c>
      <c r="AJ19" s="132" t="n">
        <v>339</v>
      </c>
      <c r="AK19" s="132" t="n">
        <v>646</v>
      </c>
      <c r="AL19" s="132" t="n">
        <v>1219</v>
      </c>
      <c r="AM19" s="132" t="n">
        <v>0</v>
      </c>
      <c r="AN19" s="132" t="n">
        <v>33</v>
      </c>
      <c r="AO19" s="132" t="n">
        <v>82</v>
      </c>
      <c r="AP19" s="132" t="n">
        <v>186</v>
      </c>
      <c r="AQ19" s="132" t="n">
        <v>178</v>
      </c>
      <c r="AR19" s="132" t="n">
        <v>375</v>
      </c>
      <c r="AS19" s="132" t="n">
        <v>127</v>
      </c>
      <c r="AT19" s="132" t="n">
        <v>239</v>
      </c>
      <c r="AU19" s="132" t="n">
        <v>1231</v>
      </c>
      <c r="AV19" s="132" t="n">
        <v>0</v>
      </c>
      <c r="AW19" s="132" t="n">
        <v>23</v>
      </c>
      <c r="AX19" s="132" t="n">
        <v>50</v>
      </c>
      <c r="AY19" s="132" t="n">
        <v>166</v>
      </c>
      <c r="AZ19" s="132" t="n">
        <v>288</v>
      </c>
      <c r="BA19" s="132" t="n">
        <v>85</v>
      </c>
      <c r="BB19" s="132" t="n">
        <v>212</v>
      </c>
      <c r="BC19" s="132" t="n">
        <v>407</v>
      </c>
      <c r="BD19" s="132" t="n">
        <v>2239</v>
      </c>
      <c r="BE19" s="132" t="n">
        <v>678</v>
      </c>
      <c r="BF19" s="132" t="n">
        <v>739</v>
      </c>
      <c r="BG19" s="132" t="n">
        <v>2829</v>
      </c>
      <c r="BH19" s="132" t="n">
        <v>87</v>
      </c>
      <c r="BI19" s="132" t="n">
        <v>522</v>
      </c>
      <c r="BJ19" s="132" t="n">
        <v>263</v>
      </c>
      <c r="BK19" s="132" t="n">
        <v>260</v>
      </c>
      <c r="BL19" s="133" t="n">
        <v>0.32</v>
      </c>
      <c r="BM19" s="133" t="n">
        <v>31.97</v>
      </c>
      <c r="BN19" s="133" t="n">
        <v>9121.18</v>
      </c>
      <c r="BO19" s="134" t="n">
        <v>3</v>
      </c>
      <c r="BP19" s="133" t="n">
        <v>91.22</v>
      </c>
      <c r="BQ19" s="134" t="n">
        <v>27.3</v>
      </c>
      <c r="BR19" s="133" t="n">
        <v>0.38</v>
      </c>
      <c r="BS19" s="134" t="n">
        <v>23.2</v>
      </c>
      <c r="BT19" s="134" t="n">
        <v>25.3</v>
      </c>
    </row>
    <row r="20" ht="30" customHeight="1">
      <c r="A20" s="3" t="inlineStr">
        <is>
          <t>CENTRE</t>
        </is>
      </c>
      <c r="B20" s="3" t="inlineStr">
        <is>
          <t>ANSEELE MOTTE BOSSUT</t>
        </is>
      </c>
      <c r="C20" s="3" t="inlineStr">
        <is>
          <t>Anseele</t>
        </is>
      </c>
      <c r="D20" s="132" t="n">
        <v>3982</v>
      </c>
      <c r="E20" s="132" t="n">
        <v>173</v>
      </c>
      <c r="F20" s="132" t="n">
        <v>312</v>
      </c>
      <c r="G20" s="132" t="n">
        <v>340</v>
      </c>
      <c r="H20" s="132" t="n">
        <v>361</v>
      </c>
      <c r="I20" s="132" t="n">
        <v>480</v>
      </c>
      <c r="J20" s="132" t="n">
        <v>886</v>
      </c>
      <c r="K20" s="132" t="n">
        <v>704</v>
      </c>
      <c r="L20" s="132" t="n">
        <v>351</v>
      </c>
      <c r="M20" s="132" t="n">
        <v>273</v>
      </c>
      <c r="N20" s="132" t="n">
        <v>104</v>
      </c>
      <c r="O20" s="132" t="n">
        <v>1039</v>
      </c>
      <c r="P20" s="132" t="n">
        <v>1330</v>
      </c>
      <c r="Q20" s="132" t="n">
        <v>2275</v>
      </c>
      <c r="R20" s="132" t="n">
        <v>377</v>
      </c>
      <c r="S20" s="132" t="n">
        <v>1942</v>
      </c>
      <c r="T20" s="132" t="n">
        <v>522</v>
      </c>
      <c r="U20" s="132" t="n">
        <v>663</v>
      </c>
      <c r="V20" s="132" t="n">
        <v>1113</v>
      </c>
      <c r="W20" s="132" t="n">
        <v>165</v>
      </c>
      <c r="X20" s="132" t="n">
        <v>2041</v>
      </c>
      <c r="Y20" s="132" t="n">
        <v>516</v>
      </c>
      <c r="Z20" s="132" t="n">
        <v>667</v>
      </c>
      <c r="AA20" s="132" t="n">
        <v>1162</v>
      </c>
      <c r="AB20" s="132" t="n">
        <v>211</v>
      </c>
      <c r="AC20" s="132" t="n">
        <v>2562</v>
      </c>
      <c r="AD20" s="132" t="n">
        <v>0</v>
      </c>
      <c r="AE20" s="132" t="n">
        <v>37</v>
      </c>
      <c r="AF20" s="132" t="n">
        <v>102</v>
      </c>
      <c r="AG20" s="132" t="n">
        <v>218</v>
      </c>
      <c r="AH20" s="132" t="n">
        <v>509</v>
      </c>
      <c r="AI20" s="132" t="n">
        <v>483</v>
      </c>
      <c r="AJ20" s="132" t="n">
        <v>360</v>
      </c>
      <c r="AK20" s="132" t="n">
        <v>852</v>
      </c>
      <c r="AL20" s="132" t="n">
        <v>1240</v>
      </c>
      <c r="AM20" s="132" t="n">
        <v>0</v>
      </c>
      <c r="AN20" s="132" t="n">
        <v>28</v>
      </c>
      <c r="AO20" s="132" t="n">
        <v>66</v>
      </c>
      <c r="AP20" s="132" t="n">
        <v>114</v>
      </c>
      <c r="AQ20" s="132" t="n">
        <v>182</v>
      </c>
      <c r="AR20" s="132" t="n">
        <v>382</v>
      </c>
      <c r="AS20" s="132" t="n">
        <v>167</v>
      </c>
      <c r="AT20" s="132" t="n">
        <v>301</v>
      </c>
      <c r="AU20" s="132" t="n">
        <v>1322</v>
      </c>
      <c r="AV20" s="132" t="n">
        <v>0</v>
      </c>
      <c r="AW20" s="132" t="n">
        <v>9</v>
      </c>
      <c r="AX20" s="132" t="n">
        <v>37</v>
      </c>
      <c r="AY20" s="132" t="n">
        <v>104</v>
      </c>
      <c r="AZ20" s="132" t="n">
        <v>327</v>
      </c>
      <c r="BA20" s="132" t="n">
        <v>102</v>
      </c>
      <c r="BB20" s="132" t="n">
        <v>193</v>
      </c>
      <c r="BC20" s="132" t="n">
        <v>550</v>
      </c>
      <c r="BD20" s="132" t="n">
        <v>2950</v>
      </c>
      <c r="BE20" s="132" t="n">
        <v>1032</v>
      </c>
      <c r="BF20" s="132" t="n">
        <v>1041</v>
      </c>
      <c r="BG20" s="132" t="n">
        <v>3982</v>
      </c>
      <c r="BH20" s="132" t="n">
        <v>0</v>
      </c>
      <c r="BI20" s="132" t="n">
        <v>626</v>
      </c>
      <c r="BJ20" s="132" t="n">
        <v>297</v>
      </c>
      <c r="BK20" s="132" t="n">
        <v>329</v>
      </c>
      <c r="BL20" s="133" t="n">
        <v>0.29</v>
      </c>
      <c r="BM20" s="133" t="n">
        <v>28.72</v>
      </c>
      <c r="BN20" s="133" t="n">
        <v>13867.29</v>
      </c>
      <c r="BO20" s="134" t="n">
        <v>4.1</v>
      </c>
      <c r="BP20" s="133" t="n">
        <v>138.66</v>
      </c>
      <c r="BQ20" s="134" t="n">
        <v>33.4</v>
      </c>
      <c r="BR20" s="133" t="n">
        <v>0.28</v>
      </c>
      <c r="BS20" s="134" t="n">
        <v>25.9</v>
      </c>
      <c r="BT20" s="134" t="n">
        <v>26.1</v>
      </c>
    </row>
    <row r="21" ht="30" customHeight="1">
      <c r="A21" s="3" t="inlineStr">
        <is>
          <t>CENTRE</t>
        </is>
      </c>
      <c r="B21" s="3" t="inlineStr">
        <is>
          <t>VAUBAN</t>
        </is>
      </c>
      <c r="C21" s="3" t="inlineStr">
        <is>
          <t>Barbieux-Vauban</t>
        </is>
      </c>
      <c r="D21" s="132" t="n">
        <v>3690</v>
      </c>
      <c r="E21" s="132" t="n">
        <v>82</v>
      </c>
      <c r="F21" s="132" t="n">
        <v>121</v>
      </c>
      <c r="G21" s="132" t="n">
        <v>153</v>
      </c>
      <c r="H21" s="132" t="n">
        <v>253</v>
      </c>
      <c r="I21" s="132" t="n">
        <v>507</v>
      </c>
      <c r="J21" s="132" t="n">
        <v>575</v>
      </c>
      <c r="K21" s="132" t="n">
        <v>648</v>
      </c>
      <c r="L21" s="132" t="n">
        <v>410</v>
      </c>
      <c r="M21" s="132" t="n">
        <v>603</v>
      </c>
      <c r="N21" s="132" t="n">
        <v>337</v>
      </c>
      <c r="O21" s="132" t="n">
        <v>501</v>
      </c>
      <c r="P21" s="132" t="n">
        <v>758</v>
      </c>
      <c r="Q21" s="132" t="n">
        <v>1990</v>
      </c>
      <c r="R21" s="132" t="n">
        <v>941</v>
      </c>
      <c r="S21" s="132" t="n">
        <v>1735</v>
      </c>
      <c r="T21" s="132" t="n">
        <v>259</v>
      </c>
      <c r="U21" s="132" t="n">
        <v>401</v>
      </c>
      <c r="V21" s="132" t="n">
        <v>997</v>
      </c>
      <c r="W21" s="132" t="n">
        <v>337</v>
      </c>
      <c r="X21" s="132" t="n">
        <v>1954</v>
      </c>
      <c r="Y21" s="132" t="n">
        <v>242</v>
      </c>
      <c r="Z21" s="132" t="n">
        <v>357</v>
      </c>
      <c r="AA21" s="132" t="n">
        <v>994</v>
      </c>
      <c r="AB21" s="132" t="n">
        <v>603</v>
      </c>
      <c r="AC21" s="132" t="n">
        <v>3342</v>
      </c>
      <c r="AD21" s="132" t="n">
        <v>0</v>
      </c>
      <c r="AE21" s="132" t="n">
        <v>78</v>
      </c>
      <c r="AF21" s="132" t="n">
        <v>684</v>
      </c>
      <c r="AG21" s="132" t="n">
        <v>423</v>
      </c>
      <c r="AH21" s="132" t="n">
        <v>286</v>
      </c>
      <c r="AI21" s="132" t="n">
        <v>196</v>
      </c>
      <c r="AJ21" s="132" t="n">
        <v>1011</v>
      </c>
      <c r="AK21" s="132" t="n">
        <v>665</v>
      </c>
      <c r="AL21" s="132" t="n">
        <v>1530</v>
      </c>
      <c r="AM21" s="132" t="n">
        <v>0</v>
      </c>
      <c r="AN21" s="132" t="n">
        <v>43</v>
      </c>
      <c r="AO21" s="132" t="n">
        <v>382</v>
      </c>
      <c r="AP21" s="132" t="n">
        <v>167</v>
      </c>
      <c r="AQ21" s="132" t="n">
        <v>112</v>
      </c>
      <c r="AR21" s="132" t="n">
        <v>168</v>
      </c>
      <c r="AS21" s="132" t="n">
        <v>385</v>
      </c>
      <c r="AT21" s="132" t="n">
        <v>274</v>
      </c>
      <c r="AU21" s="132" t="n">
        <v>1811</v>
      </c>
      <c r="AV21" s="132" t="n">
        <v>0</v>
      </c>
      <c r="AW21" s="132" t="n">
        <v>35</v>
      </c>
      <c r="AX21" s="132" t="n">
        <v>302</v>
      </c>
      <c r="AY21" s="132" t="n">
        <v>256</v>
      </c>
      <c r="AZ21" s="132" t="n">
        <v>174</v>
      </c>
      <c r="BA21" s="132" t="n">
        <v>29</v>
      </c>
      <c r="BB21" s="132" t="n">
        <v>626</v>
      </c>
      <c r="BC21" s="132" t="n">
        <v>391</v>
      </c>
      <c r="BD21" s="132" t="n">
        <v>3423</v>
      </c>
      <c r="BE21" s="132" t="n">
        <v>267</v>
      </c>
      <c r="BF21" s="132" t="n">
        <v>369</v>
      </c>
      <c r="BG21" s="132" t="n">
        <v>3641</v>
      </c>
      <c r="BH21" s="132" t="n">
        <v>49</v>
      </c>
      <c r="BI21" s="132" t="n">
        <v>615</v>
      </c>
      <c r="BJ21" s="132" t="n">
        <v>321</v>
      </c>
      <c r="BK21" s="132" t="n">
        <v>294</v>
      </c>
      <c r="BL21" s="133" t="n">
        <v>0.91</v>
      </c>
      <c r="BM21" s="133" t="n">
        <v>90.87</v>
      </c>
      <c r="BN21" s="133" t="n">
        <v>4060.11</v>
      </c>
      <c r="BO21" s="134" t="n">
        <v>3.8</v>
      </c>
      <c r="BP21" s="133" t="n">
        <v>40.6</v>
      </c>
      <c r="BQ21" s="134" t="n">
        <v>20.6</v>
      </c>
      <c r="BR21" s="133" t="n">
        <v>1.24</v>
      </c>
      <c r="BS21" s="134" t="n">
        <v>7.2</v>
      </c>
      <c r="BT21" s="134" t="n">
        <v>10</v>
      </c>
    </row>
    <row r="22" ht="30" customHeight="1">
      <c r="A22" s="3" t="inlineStr">
        <is>
          <t>SUD</t>
        </is>
      </c>
      <c r="B22" s="3" t="inlineStr">
        <is>
          <t>BARBIEUX</t>
        </is>
      </c>
      <c r="C22" s="3" t="inlineStr">
        <is>
          <t>Barbieux Sud</t>
        </is>
      </c>
      <c r="D22" s="132" t="n">
        <v>2463</v>
      </c>
      <c r="E22" s="132" t="n">
        <v>17</v>
      </c>
      <c r="F22" s="132" t="n">
        <v>92</v>
      </c>
      <c r="G22" s="132" t="n">
        <v>102</v>
      </c>
      <c r="H22" s="132" t="n">
        <v>179</v>
      </c>
      <c r="I22" s="132" t="n">
        <v>266</v>
      </c>
      <c r="J22" s="132" t="n">
        <v>341</v>
      </c>
      <c r="K22" s="132" t="n">
        <v>377</v>
      </c>
      <c r="L22" s="132" t="n">
        <v>329</v>
      </c>
      <c r="M22" s="132" t="n">
        <v>432</v>
      </c>
      <c r="N22" s="132" t="n">
        <v>327</v>
      </c>
      <c r="O22" s="132" t="n">
        <v>320</v>
      </c>
      <c r="P22" s="132" t="n">
        <v>480</v>
      </c>
      <c r="Q22" s="132" t="n">
        <v>1224</v>
      </c>
      <c r="R22" s="132" t="n">
        <v>759</v>
      </c>
      <c r="S22" s="132" t="n">
        <v>1082</v>
      </c>
      <c r="T22" s="132" t="n">
        <v>168</v>
      </c>
      <c r="U22" s="132" t="n">
        <v>219</v>
      </c>
      <c r="V22" s="132" t="n">
        <v>574</v>
      </c>
      <c r="W22" s="132" t="n">
        <v>289</v>
      </c>
      <c r="X22" s="132" t="n">
        <v>1382</v>
      </c>
      <c r="Y22" s="132" t="n">
        <v>153</v>
      </c>
      <c r="Z22" s="132" t="n">
        <v>262</v>
      </c>
      <c r="AA22" s="132" t="n">
        <v>650</v>
      </c>
      <c r="AB22" s="132" t="n">
        <v>470</v>
      </c>
      <c r="AC22" s="132" t="n">
        <v>2202</v>
      </c>
      <c r="AD22" s="132" t="n">
        <v>0</v>
      </c>
      <c r="AE22" s="132" t="n">
        <v>57</v>
      </c>
      <c r="AF22" s="132" t="n">
        <v>341</v>
      </c>
      <c r="AG22" s="132" t="n">
        <v>336</v>
      </c>
      <c r="AH22" s="132" t="n">
        <v>213</v>
      </c>
      <c r="AI22" s="132" t="n">
        <v>92</v>
      </c>
      <c r="AJ22" s="132" t="n">
        <v>829</v>
      </c>
      <c r="AK22" s="132" t="n">
        <v>334</v>
      </c>
      <c r="AL22" s="132" t="n">
        <v>939</v>
      </c>
      <c r="AM22" s="132" t="n">
        <v>0</v>
      </c>
      <c r="AN22" s="132" t="n">
        <v>47</v>
      </c>
      <c r="AO22" s="132" t="n">
        <v>196</v>
      </c>
      <c r="AP22" s="132" t="n">
        <v>115</v>
      </c>
      <c r="AQ22" s="132" t="n">
        <v>55</v>
      </c>
      <c r="AR22" s="132" t="n">
        <v>79</v>
      </c>
      <c r="AS22" s="132" t="n">
        <v>305</v>
      </c>
      <c r="AT22" s="132" t="n">
        <v>142</v>
      </c>
      <c r="AU22" s="132" t="n">
        <v>1263</v>
      </c>
      <c r="AV22" s="132" t="n">
        <v>0</v>
      </c>
      <c r="AW22" s="132" t="n">
        <v>10</v>
      </c>
      <c r="AX22" s="132" t="n">
        <v>145</v>
      </c>
      <c r="AY22" s="132" t="n">
        <v>221</v>
      </c>
      <c r="AZ22" s="132" t="n">
        <v>158</v>
      </c>
      <c r="BA22" s="132" t="n">
        <v>13</v>
      </c>
      <c r="BB22" s="132" t="n">
        <v>524</v>
      </c>
      <c r="BC22" s="132" t="n">
        <v>192</v>
      </c>
      <c r="BD22" s="132" t="n">
        <v>2337</v>
      </c>
      <c r="BE22" s="132" t="n">
        <v>126</v>
      </c>
      <c r="BF22" s="132" t="n">
        <v>205</v>
      </c>
      <c r="BG22" s="132" t="n">
        <v>2331</v>
      </c>
      <c r="BH22" s="132" t="n">
        <v>133</v>
      </c>
      <c r="BI22" s="132" t="n">
        <v>337</v>
      </c>
      <c r="BJ22" s="132" t="n">
        <v>153</v>
      </c>
      <c r="BK22" s="132" t="n">
        <v>184</v>
      </c>
      <c r="BL22" s="133" t="n">
        <v>0.5600000000000001</v>
      </c>
      <c r="BM22" s="133" t="n">
        <v>55.71</v>
      </c>
      <c r="BN22" s="133" t="n">
        <v>4421.33</v>
      </c>
      <c r="BO22" s="134" t="n">
        <v>2.5</v>
      </c>
      <c r="BP22" s="133" t="n">
        <v>44.22</v>
      </c>
      <c r="BQ22" s="134" t="n">
        <v>19.5</v>
      </c>
      <c r="BR22" s="133" t="n">
        <v>1.58</v>
      </c>
      <c r="BS22" s="134" t="n">
        <v>5.1</v>
      </c>
      <c r="BT22" s="134" t="n">
        <v>8.300000000000001</v>
      </c>
    </row>
    <row r="23" ht="30" customHeight="1">
      <c r="A23" s="3" t="inlineStr">
        <is>
          <t>SUD</t>
        </is>
      </c>
      <c r="B23" s="3" t="inlineStr">
        <is>
          <t>EDOUARD VAILLANT</t>
        </is>
      </c>
      <c r="C23" s="3" t="inlineStr">
        <is>
          <t>Édouard Vaillant</t>
        </is>
      </c>
      <c r="D23" s="132" t="n">
        <v>4214</v>
      </c>
      <c r="E23" s="132" t="n">
        <v>97</v>
      </c>
      <c r="F23" s="132" t="n">
        <v>243</v>
      </c>
      <c r="G23" s="132" t="n">
        <v>306</v>
      </c>
      <c r="H23" s="132" t="n">
        <v>373</v>
      </c>
      <c r="I23" s="132" t="n">
        <v>618</v>
      </c>
      <c r="J23" s="132" t="n">
        <v>857</v>
      </c>
      <c r="K23" s="132" t="n">
        <v>728</v>
      </c>
      <c r="L23" s="132" t="n">
        <v>383</v>
      </c>
      <c r="M23" s="132" t="n">
        <v>453</v>
      </c>
      <c r="N23" s="132" t="n">
        <v>158</v>
      </c>
      <c r="O23" s="132" t="n">
        <v>875</v>
      </c>
      <c r="P23" s="132" t="n">
        <v>1244</v>
      </c>
      <c r="Q23" s="132" t="n">
        <v>2360</v>
      </c>
      <c r="R23" s="132" t="n">
        <v>610</v>
      </c>
      <c r="S23" s="132" t="n">
        <v>1937</v>
      </c>
      <c r="T23" s="132" t="n">
        <v>396</v>
      </c>
      <c r="U23" s="132" t="n">
        <v>593</v>
      </c>
      <c r="V23" s="132" t="n">
        <v>1092</v>
      </c>
      <c r="W23" s="132" t="n">
        <v>252</v>
      </c>
      <c r="X23" s="132" t="n">
        <v>2277</v>
      </c>
      <c r="Y23" s="132" t="n">
        <v>479</v>
      </c>
      <c r="Z23" s="132" t="n">
        <v>651</v>
      </c>
      <c r="AA23" s="132" t="n">
        <v>1268</v>
      </c>
      <c r="AB23" s="132" t="n">
        <v>358</v>
      </c>
      <c r="AC23" s="132" t="n">
        <v>3488</v>
      </c>
      <c r="AD23" s="132" t="n">
        <v>0</v>
      </c>
      <c r="AE23" s="132" t="n">
        <v>85</v>
      </c>
      <c r="AF23" s="132" t="n">
        <v>406</v>
      </c>
      <c r="AG23" s="132" t="n">
        <v>580</v>
      </c>
      <c r="AH23" s="132" t="n">
        <v>467</v>
      </c>
      <c r="AI23" s="132" t="n">
        <v>363</v>
      </c>
      <c r="AJ23" s="132" t="n">
        <v>702</v>
      </c>
      <c r="AK23" s="132" t="n">
        <v>886</v>
      </c>
      <c r="AL23" s="132" t="n">
        <v>1610</v>
      </c>
      <c r="AM23" s="132" t="n">
        <v>0</v>
      </c>
      <c r="AN23" s="132" t="n">
        <v>48</v>
      </c>
      <c r="AO23" s="132" t="n">
        <v>251</v>
      </c>
      <c r="AP23" s="132" t="n">
        <v>274</v>
      </c>
      <c r="AQ23" s="132" t="n">
        <v>129</v>
      </c>
      <c r="AR23" s="132" t="n">
        <v>264</v>
      </c>
      <c r="AS23" s="132" t="n">
        <v>301</v>
      </c>
      <c r="AT23" s="132" t="n">
        <v>344</v>
      </c>
      <c r="AU23" s="132" t="n">
        <v>1878</v>
      </c>
      <c r="AV23" s="132" t="n">
        <v>0</v>
      </c>
      <c r="AW23" s="132" t="n">
        <v>37</v>
      </c>
      <c r="AX23" s="132" t="n">
        <v>154</v>
      </c>
      <c r="AY23" s="132" t="n">
        <v>306</v>
      </c>
      <c r="AZ23" s="132" t="n">
        <v>338</v>
      </c>
      <c r="BA23" s="132" t="n">
        <v>99</v>
      </c>
      <c r="BB23" s="132" t="n">
        <v>401</v>
      </c>
      <c r="BC23" s="132" t="n">
        <v>542</v>
      </c>
      <c r="BD23" s="132" t="n">
        <v>3825</v>
      </c>
      <c r="BE23" s="132" t="n">
        <v>390</v>
      </c>
      <c r="BF23" s="132" t="n">
        <v>548</v>
      </c>
      <c r="BG23" s="132" t="n">
        <v>4214</v>
      </c>
      <c r="BH23" s="132" t="n">
        <v>0</v>
      </c>
      <c r="BI23" s="132" t="n">
        <v>762</v>
      </c>
      <c r="BJ23" s="132" t="n">
        <v>374</v>
      </c>
      <c r="BK23" s="132" t="n">
        <v>388</v>
      </c>
      <c r="BL23" s="133" t="n">
        <v>0.53</v>
      </c>
      <c r="BM23" s="133" t="n">
        <v>53.33</v>
      </c>
      <c r="BN23" s="133" t="n">
        <v>7902.56</v>
      </c>
      <c r="BO23" s="134" t="n">
        <v>4.3</v>
      </c>
      <c r="BP23" s="133" t="n">
        <v>79.03</v>
      </c>
      <c r="BQ23" s="134" t="n">
        <v>29.5</v>
      </c>
      <c r="BR23" s="133" t="n">
        <v>0.49</v>
      </c>
      <c r="BS23" s="134" t="n">
        <v>9.300000000000001</v>
      </c>
      <c r="BT23" s="134" t="n">
        <v>13</v>
      </c>
    </row>
    <row r="24" ht="30" customHeight="1">
      <c r="A24" s="3" t="inlineStr">
        <is>
          <t>SUD</t>
        </is>
      </c>
      <c r="B24" s="3" t="inlineStr">
        <is>
          <t>MOULIN</t>
        </is>
      </c>
      <c r="C24" s="3" t="inlineStr">
        <is>
          <t>Moulin Nord</t>
        </is>
      </c>
      <c r="D24" s="132" t="n">
        <v>2319</v>
      </c>
      <c r="E24" s="132" t="n">
        <v>36</v>
      </c>
      <c r="F24" s="132" t="n">
        <v>135</v>
      </c>
      <c r="G24" s="132" t="n">
        <v>218</v>
      </c>
      <c r="H24" s="132" t="n">
        <v>306</v>
      </c>
      <c r="I24" s="132" t="n">
        <v>347</v>
      </c>
      <c r="J24" s="132" t="n">
        <v>383</v>
      </c>
      <c r="K24" s="132" t="n">
        <v>402</v>
      </c>
      <c r="L24" s="132" t="n">
        <v>245</v>
      </c>
      <c r="M24" s="132" t="n">
        <v>223</v>
      </c>
      <c r="N24" s="132" t="n">
        <v>22</v>
      </c>
      <c r="O24" s="132" t="n">
        <v>564</v>
      </c>
      <c r="P24" s="132" t="n">
        <v>805</v>
      </c>
      <c r="Q24" s="132" t="n">
        <v>1269</v>
      </c>
      <c r="R24" s="132" t="n">
        <v>245</v>
      </c>
      <c r="S24" s="132" t="n">
        <v>1157</v>
      </c>
      <c r="T24" s="132" t="n">
        <v>299</v>
      </c>
      <c r="U24" s="132" t="n">
        <v>421</v>
      </c>
      <c r="V24" s="132" t="n">
        <v>624</v>
      </c>
      <c r="W24" s="132" t="n">
        <v>112</v>
      </c>
      <c r="X24" s="132" t="n">
        <v>1162</v>
      </c>
      <c r="Y24" s="132" t="n">
        <v>265</v>
      </c>
      <c r="Z24" s="132" t="n">
        <v>384</v>
      </c>
      <c r="AA24" s="132" t="n">
        <v>645</v>
      </c>
      <c r="AB24" s="132" t="n">
        <v>133</v>
      </c>
      <c r="AC24" s="132" t="n">
        <v>1792</v>
      </c>
      <c r="AD24" s="132" t="n">
        <v>0</v>
      </c>
      <c r="AE24" s="132" t="n">
        <v>43</v>
      </c>
      <c r="AF24" s="132" t="n">
        <v>105</v>
      </c>
      <c r="AG24" s="132" t="n">
        <v>194</v>
      </c>
      <c r="AH24" s="132" t="n">
        <v>261</v>
      </c>
      <c r="AI24" s="132" t="n">
        <v>327</v>
      </c>
      <c r="AJ24" s="132" t="n">
        <v>259</v>
      </c>
      <c r="AK24" s="132" t="n">
        <v>604</v>
      </c>
      <c r="AL24" s="132" t="n">
        <v>882</v>
      </c>
      <c r="AM24" s="132" t="n">
        <v>0</v>
      </c>
      <c r="AN24" s="132" t="n">
        <v>29</v>
      </c>
      <c r="AO24" s="132" t="n">
        <v>81</v>
      </c>
      <c r="AP24" s="132" t="n">
        <v>100</v>
      </c>
      <c r="AQ24" s="132" t="n">
        <v>72</v>
      </c>
      <c r="AR24" s="132" t="n">
        <v>250</v>
      </c>
      <c r="AS24" s="132" t="n">
        <v>120</v>
      </c>
      <c r="AT24" s="132" t="n">
        <v>231</v>
      </c>
      <c r="AU24" s="132" t="n">
        <v>910</v>
      </c>
      <c r="AV24" s="132" t="n">
        <v>0</v>
      </c>
      <c r="AW24" s="132" t="n">
        <v>13</v>
      </c>
      <c r="AX24" s="132" t="n">
        <v>24</v>
      </c>
      <c r="AY24" s="132" t="n">
        <v>95</v>
      </c>
      <c r="AZ24" s="132" t="n">
        <v>189</v>
      </c>
      <c r="BA24" s="132" t="n">
        <v>77</v>
      </c>
      <c r="BB24" s="132" t="n">
        <v>139</v>
      </c>
      <c r="BC24" s="132" t="n">
        <v>373</v>
      </c>
      <c r="BD24" s="132" t="n">
        <v>1827</v>
      </c>
      <c r="BE24" s="132" t="n">
        <v>492</v>
      </c>
      <c r="BF24" s="132" t="n">
        <v>543</v>
      </c>
      <c r="BG24" s="132" t="n">
        <v>2318</v>
      </c>
      <c r="BH24" s="132" t="n">
        <v>0</v>
      </c>
      <c r="BI24" s="132" t="n">
        <v>478</v>
      </c>
      <c r="BJ24" s="132" t="n">
        <v>223</v>
      </c>
      <c r="BK24" s="132" t="n">
        <v>255</v>
      </c>
      <c r="BL24" s="133" t="n">
        <v>0.16</v>
      </c>
      <c r="BM24" s="133" t="n">
        <v>15.87</v>
      </c>
      <c r="BN24" s="133" t="n">
        <v>14606.31</v>
      </c>
      <c r="BO24" s="134" t="n">
        <v>2.4</v>
      </c>
      <c r="BP24" s="133" t="n">
        <v>146.09</v>
      </c>
      <c r="BQ24" s="134" t="n">
        <v>34.7</v>
      </c>
      <c r="BR24" s="133" t="n">
        <v>0.3</v>
      </c>
      <c r="BS24" s="134" t="n">
        <v>21.2</v>
      </c>
      <c r="BT24" s="134" t="n">
        <v>23.4</v>
      </c>
    </row>
    <row r="25" ht="30" customHeight="1">
      <c r="A25" s="3" t="inlineStr">
        <is>
          <t>SUD</t>
        </is>
      </c>
      <c r="B25" s="3" t="inlineStr">
        <is>
          <t>MOULIN</t>
        </is>
      </c>
      <c r="C25" s="3" t="inlineStr">
        <is>
          <t>Moulin Sud</t>
        </is>
      </c>
      <c r="D25" s="132" t="n">
        <v>2164</v>
      </c>
      <c r="E25" s="132" t="n">
        <v>56</v>
      </c>
      <c r="F25" s="132" t="n">
        <v>147</v>
      </c>
      <c r="G25" s="132" t="n">
        <v>211</v>
      </c>
      <c r="H25" s="132" t="n">
        <v>290</v>
      </c>
      <c r="I25" s="132" t="n">
        <v>215</v>
      </c>
      <c r="J25" s="132" t="n">
        <v>364</v>
      </c>
      <c r="K25" s="132" t="n">
        <v>374</v>
      </c>
      <c r="L25" s="132" t="n">
        <v>177</v>
      </c>
      <c r="M25" s="132" t="n">
        <v>225</v>
      </c>
      <c r="N25" s="132" t="n">
        <v>104</v>
      </c>
      <c r="O25" s="132" t="n">
        <v>562</v>
      </c>
      <c r="P25" s="132" t="n">
        <v>761</v>
      </c>
      <c r="Q25" s="132" t="n">
        <v>1074</v>
      </c>
      <c r="R25" s="132" t="n">
        <v>329</v>
      </c>
      <c r="S25" s="132" t="n">
        <v>1082</v>
      </c>
      <c r="T25" s="132" t="n">
        <v>303</v>
      </c>
      <c r="U25" s="132" t="n">
        <v>424</v>
      </c>
      <c r="V25" s="132" t="n">
        <v>527</v>
      </c>
      <c r="W25" s="132" t="n">
        <v>131</v>
      </c>
      <c r="X25" s="132" t="n">
        <v>1082</v>
      </c>
      <c r="Y25" s="132" t="n">
        <v>258</v>
      </c>
      <c r="Z25" s="132" t="n">
        <v>337</v>
      </c>
      <c r="AA25" s="132" t="n">
        <v>547</v>
      </c>
      <c r="AB25" s="132" t="n">
        <v>199</v>
      </c>
      <c r="AC25" s="132" t="n">
        <v>1536</v>
      </c>
      <c r="AD25" s="132" t="n">
        <v>0</v>
      </c>
      <c r="AE25" s="132" t="n">
        <v>45</v>
      </c>
      <c r="AF25" s="132" t="n">
        <v>34</v>
      </c>
      <c r="AG25" s="132" t="n">
        <v>189</v>
      </c>
      <c r="AH25" s="132" t="n">
        <v>270</v>
      </c>
      <c r="AI25" s="132" t="n">
        <v>192</v>
      </c>
      <c r="AJ25" s="132" t="n">
        <v>391</v>
      </c>
      <c r="AK25" s="132" t="n">
        <v>416</v>
      </c>
      <c r="AL25" s="132" t="n">
        <v>741</v>
      </c>
      <c r="AM25" s="132" t="n">
        <v>0</v>
      </c>
      <c r="AN25" s="132" t="n">
        <v>36</v>
      </c>
      <c r="AO25" s="132" t="n">
        <v>24</v>
      </c>
      <c r="AP25" s="132" t="n">
        <v>78</v>
      </c>
      <c r="AQ25" s="132" t="n">
        <v>94</v>
      </c>
      <c r="AR25" s="132" t="n">
        <v>157</v>
      </c>
      <c r="AS25" s="132" t="n">
        <v>162</v>
      </c>
      <c r="AT25" s="132" t="n">
        <v>190</v>
      </c>
      <c r="AU25" s="132" t="n">
        <v>795</v>
      </c>
      <c r="AV25" s="132" t="n">
        <v>0</v>
      </c>
      <c r="AW25" s="132" t="n">
        <v>9</v>
      </c>
      <c r="AX25" s="132" t="n">
        <v>10</v>
      </c>
      <c r="AY25" s="132" t="n">
        <v>111</v>
      </c>
      <c r="AZ25" s="132" t="n">
        <v>176</v>
      </c>
      <c r="BA25" s="132" t="n">
        <v>35</v>
      </c>
      <c r="BB25" s="132" t="n">
        <v>229</v>
      </c>
      <c r="BC25" s="132" t="n">
        <v>226</v>
      </c>
      <c r="BD25" s="132" t="n">
        <v>1873</v>
      </c>
      <c r="BE25" s="132" t="n">
        <v>291</v>
      </c>
      <c r="BF25" s="132" t="n">
        <v>381</v>
      </c>
      <c r="BG25" s="132" t="n">
        <v>2091</v>
      </c>
      <c r="BH25" s="132" t="n">
        <v>74</v>
      </c>
      <c r="BI25" s="132" t="n">
        <v>358</v>
      </c>
      <c r="BJ25" s="132" t="n">
        <v>211</v>
      </c>
      <c r="BK25" s="132" t="n">
        <v>147</v>
      </c>
      <c r="BL25" s="133" t="n">
        <v>0.17</v>
      </c>
      <c r="BM25" s="133" t="n">
        <v>17.15</v>
      </c>
      <c r="BN25" s="133" t="n">
        <v>12617.5</v>
      </c>
      <c r="BO25" s="134" t="n">
        <v>2.2</v>
      </c>
      <c r="BP25" s="133" t="n">
        <v>126.2</v>
      </c>
      <c r="BQ25" s="134" t="n">
        <v>35.2</v>
      </c>
      <c r="BR25" s="133" t="n">
        <v>0.43</v>
      </c>
      <c r="BS25" s="134" t="n">
        <v>13.5</v>
      </c>
      <c r="BT25" s="134" t="n">
        <v>17.6</v>
      </c>
    </row>
    <row r="26" ht="30" customHeight="1">
      <c r="A26" s="3" t="inlineStr">
        <is>
          <t>SUD</t>
        </is>
      </c>
      <c r="B26" s="3" t="inlineStr">
        <is>
          <t>POTENNERIE</t>
        </is>
      </c>
      <c r="C26" s="3" t="inlineStr">
        <is>
          <t>Potennerie</t>
        </is>
      </c>
      <c r="D26" s="132" t="n">
        <v>3230</v>
      </c>
      <c r="E26" s="132" t="n">
        <v>117</v>
      </c>
      <c r="F26" s="132" t="n">
        <v>226</v>
      </c>
      <c r="G26" s="132" t="n">
        <v>225</v>
      </c>
      <c r="H26" s="132" t="n">
        <v>325</v>
      </c>
      <c r="I26" s="132" t="n">
        <v>372</v>
      </c>
      <c r="J26" s="132" t="n">
        <v>740</v>
      </c>
      <c r="K26" s="132" t="n">
        <v>583</v>
      </c>
      <c r="L26" s="132" t="n">
        <v>326</v>
      </c>
      <c r="M26" s="132" t="n">
        <v>230</v>
      </c>
      <c r="N26" s="132" t="n">
        <v>86</v>
      </c>
      <c r="O26" s="132" t="n">
        <v>767</v>
      </c>
      <c r="P26" s="132" t="n">
        <v>990</v>
      </c>
      <c r="Q26" s="132" t="n">
        <v>1924</v>
      </c>
      <c r="R26" s="132" t="n">
        <v>316</v>
      </c>
      <c r="S26" s="132" t="n">
        <v>1503</v>
      </c>
      <c r="T26" s="132" t="n">
        <v>363</v>
      </c>
      <c r="U26" s="132" t="n">
        <v>478</v>
      </c>
      <c r="V26" s="132" t="n">
        <v>895</v>
      </c>
      <c r="W26" s="132" t="n">
        <v>130</v>
      </c>
      <c r="X26" s="132" t="n">
        <v>1728</v>
      </c>
      <c r="Y26" s="132" t="n">
        <v>405</v>
      </c>
      <c r="Z26" s="132" t="n">
        <v>512</v>
      </c>
      <c r="AA26" s="132" t="n">
        <v>1029</v>
      </c>
      <c r="AB26" s="132" t="n">
        <v>186</v>
      </c>
      <c r="AC26" s="132" t="n">
        <v>2628</v>
      </c>
      <c r="AD26" s="132" t="n">
        <v>0</v>
      </c>
      <c r="AE26" s="132" t="n">
        <v>74</v>
      </c>
      <c r="AF26" s="132" t="n">
        <v>358</v>
      </c>
      <c r="AG26" s="132" t="n">
        <v>396</v>
      </c>
      <c r="AH26" s="132" t="n">
        <v>400</v>
      </c>
      <c r="AI26" s="132" t="n">
        <v>394</v>
      </c>
      <c r="AJ26" s="132" t="n">
        <v>366</v>
      </c>
      <c r="AK26" s="132" t="n">
        <v>639</v>
      </c>
      <c r="AL26" s="132" t="n">
        <v>1220</v>
      </c>
      <c r="AM26" s="132" t="n">
        <v>0</v>
      </c>
      <c r="AN26" s="132" t="n">
        <v>66</v>
      </c>
      <c r="AO26" s="132" t="n">
        <v>205</v>
      </c>
      <c r="AP26" s="132" t="n">
        <v>167</v>
      </c>
      <c r="AQ26" s="132" t="n">
        <v>112</v>
      </c>
      <c r="AR26" s="132" t="n">
        <v>301</v>
      </c>
      <c r="AS26" s="132" t="n">
        <v>141</v>
      </c>
      <c r="AT26" s="132" t="n">
        <v>230</v>
      </c>
      <c r="AU26" s="132" t="n">
        <v>1407</v>
      </c>
      <c r="AV26" s="132" t="n">
        <v>0</v>
      </c>
      <c r="AW26" s="132" t="n">
        <v>8</v>
      </c>
      <c r="AX26" s="132" t="n">
        <v>154</v>
      </c>
      <c r="AY26" s="132" t="n">
        <v>229</v>
      </c>
      <c r="AZ26" s="132" t="n">
        <v>288</v>
      </c>
      <c r="BA26" s="132" t="n">
        <v>94</v>
      </c>
      <c r="BB26" s="132" t="n">
        <v>225</v>
      </c>
      <c r="BC26" s="132" t="n">
        <v>409</v>
      </c>
      <c r="BD26" s="132" t="n">
        <v>2792</v>
      </c>
      <c r="BE26" s="132" t="n">
        <v>439</v>
      </c>
      <c r="BF26" s="132" t="n">
        <v>537</v>
      </c>
      <c r="BG26" s="132" t="n">
        <v>3230</v>
      </c>
      <c r="BH26" s="132" t="n">
        <v>0</v>
      </c>
      <c r="BI26" s="132" t="n">
        <v>498</v>
      </c>
      <c r="BJ26" s="132" t="n">
        <v>239</v>
      </c>
      <c r="BK26" s="132" t="n">
        <v>259</v>
      </c>
      <c r="BL26" s="133" t="n">
        <v>0.37</v>
      </c>
      <c r="BM26" s="133" t="n">
        <v>36.54</v>
      </c>
      <c r="BN26" s="133" t="n">
        <v>8839.82</v>
      </c>
      <c r="BO26" s="134" t="n">
        <v>3.3</v>
      </c>
      <c r="BP26" s="133" t="n">
        <v>88.40000000000001</v>
      </c>
      <c r="BQ26" s="134" t="n">
        <v>30.6</v>
      </c>
      <c r="BR26" s="133" t="n">
        <v>0.32</v>
      </c>
      <c r="BS26" s="134" t="n">
        <v>13.6</v>
      </c>
      <c r="BT26" s="134" t="n">
        <v>16.6</v>
      </c>
    </row>
    <row r="27" ht="30" customHeight="1">
      <c r="A27" s="3" t="inlineStr">
        <is>
          <t>EST</t>
        </is>
      </c>
      <c r="B27" s="3" t="inlineStr">
        <is>
          <t>STE ELISABETH</t>
        </is>
      </c>
      <c r="C27" s="3" t="inlineStr">
        <is>
          <t>Sainte-Élisabeth Centre</t>
        </is>
      </c>
      <c r="D27" s="132" t="n">
        <v>2310</v>
      </c>
      <c r="E27" s="132" t="n">
        <v>87</v>
      </c>
      <c r="F27" s="132" t="n">
        <v>135</v>
      </c>
      <c r="G27" s="132" t="n">
        <v>222</v>
      </c>
      <c r="H27" s="132" t="n">
        <v>374</v>
      </c>
      <c r="I27" s="132" t="n">
        <v>266</v>
      </c>
      <c r="J27" s="132" t="n">
        <v>366</v>
      </c>
      <c r="K27" s="132" t="n">
        <v>459</v>
      </c>
      <c r="L27" s="132" t="n">
        <v>169</v>
      </c>
      <c r="M27" s="132" t="n">
        <v>186</v>
      </c>
      <c r="N27" s="132" t="n">
        <v>46</v>
      </c>
      <c r="O27" s="132" t="n">
        <v>652</v>
      </c>
      <c r="P27" s="132" t="n">
        <v>915</v>
      </c>
      <c r="Q27" s="132" t="n">
        <v>1163</v>
      </c>
      <c r="R27" s="132" t="n">
        <v>232</v>
      </c>
      <c r="S27" s="132" t="n">
        <v>1075</v>
      </c>
      <c r="T27" s="132" t="n">
        <v>332</v>
      </c>
      <c r="U27" s="132" t="n">
        <v>428</v>
      </c>
      <c r="V27" s="132" t="n">
        <v>542</v>
      </c>
      <c r="W27" s="132" t="n">
        <v>105</v>
      </c>
      <c r="X27" s="132" t="n">
        <v>1235</v>
      </c>
      <c r="Y27" s="132" t="n">
        <v>321</v>
      </c>
      <c r="Z27" s="132" t="n">
        <v>487</v>
      </c>
      <c r="AA27" s="132" t="n">
        <v>621</v>
      </c>
      <c r="AB27" s="132" t="n">
        <v>127</v>
      </c>
      <c r="AC27" s="132" t="n">
        <v>1674</v>
      </c>
      <c r="AD27" s="132" t="n">
        <v>0</v>
      </c>
      <c r="AE27" s="132" t="n">
        <v>24</v>
      </c>
      <c r="AF27" s="132" t="n">
        <v>42</v>
      </c>
      <c r="AG27" s="132" t="n">
        <v>148</v>
      </c>
      <c r="AH27" s="132" t="n">
        <v>261</v>
      </c>
      <c r="AI27" s="132" t="n">
        <v>287</v>
      </c>
      <c r="AJ27" s="132" t="n">
        <v>271</v>
      </c>
      <c r="AK27" s="132" t="n">
        <v>641</v>
      </c>
      <c r="AL27" s="132" t="n">
        <v>750</v>
      </c>
      <c r="AM27" s="132" t="n">
        <v>0</v>
      </c>
      <c r="AN27" s="132" t="n">
        <v>18</v>
      </c>
      <c r="AO27" s="132" t="n">
        <v>31</v>
      </c>
      <c r="AP27" s="132" t="n">
        <v>56</v>
      </c>
      <c r="AQ27" s="132" t="n">
        <v>65</v>
      </c>
      <c r="AR27" s="132" t="n">
        <v>213</v>
      </c>
      <c r="AS27" s="132" t="n">
        <v>135</v>
      </c>
      <c r="AT27" s="132" t="n">
        <v>233</v>
      </c>
      <c r="AU27" s="132" t="n">
        <v>924</v>
      </c>
      <c r="AV27" s="132" t="n">
        <v>0</v>
      </c>
      <c r="AW27" s="132" t="n">
        <v>5</v>
      </c>
      <c r="AX27" s="132" t="n">
        <v>11</v>
      </c>
      <c r="AY27" s="132" t="n">
        <v>92</v>
      </c>
      <c r="AZ27" s="132" t="n">
        <v>196</v>
      </c>
      <c r="BA27" s="132" t="n">
        <v>75</v>
      </c>
      <c r="BB27" s="132" t="n">
        <v>136</v>
      </c>
      <c r="BC27" s="132" t="n">
        <v>408</v>
      </c>
      <c r="BD27" s="132" t="n">
        <v>1855</v>
      </c>
      <c r="BE27" s="132" t="n">
        <v>456</v>
      </c>
      <c r="BF27" s="132" t="n">
        <v>552</v>
      </c>
      <c r="BG27" s="132" t="n">
        <v>2310</v>
      </c>
      <c r="BH27" s="132" t="n">
        <v>0</v>
      </c>
      <c r="BI27" s="132" t="n">
        <v>432</v>
      </c>
      <c r="BJ27" s="132" t="n">
        <v>176</v>
      </c>
      <c r="BK27" s="132" t="n">
        <v>255</v>
      </c>
      <c r="BL27" s="133" t="n">
        <v>0.16</v>
      </c>
      <c r="BM27" s="133" t="n">
        <v>15.6</v>
      </c>
      <c r="BN27" s="133" t="n">
        <v>14809.87</v>
      </c>
      <c r="BO27" s="134" t="n">
        <v>2.4</v>
      </c>
      <c r="BP27" s="133" t="n">
        <v>148.09</v>
      </c>
      <c r="BQ27" s="134" t="n">
        <v>39.6</v>
      </c>
      <c r="BR27" s="133" t="n">
        <v>0.25</v>
      </c>
      <c r="BS27" s="134" t="n">
        <v>19.7</v>
      </c>
      <c r="BT27" s="134" t="n">
        <v>23.9</v>
      </c>
    </row>
    <row r="28" ht="30" customHeight="1">
      <c r="A28" s="3" t="inlineStr">
        <is>
          <t>EST</t>
        </is>
      </c>
      <c r="B28" s="3" t="inlineStr">
        <is>
          <t>STE ELISABETH</t>
        </is>
      </c>
      <c r="C28" s="3" t="inlineStr">
        <is>
          <t>Sainte-Élisabeth Sud</t>
        </is>
      </c>
      <c r="D28" s="132" t="n">
        <v>2145</v>
      </c>
      <c r="E28" s="132" t="n">
        <v>57</v>
      </c>
      <c r="F28" s="132" t="n">
        <v>181</v>
      </c>
      <c r="G28" s="132" t="n">
        <v>227</v>
      </c>
      <c r="H28" s="132" t="n">
        <v>282</v>
      </c>
      <c r="I28" s="132" t="n">
        <v>224</v>
      </c>
      <c r="J28" s="132" t="n">
        <v>333</v>
      </c>
      <c r="K28" s="132" t="n">
        <v>436</v>
      </c>
      <c r="L28" s="132" t="n">
        <v>200</v>
      </c>
      <c r="M28" s="132" t="n">
        <v>171</v>
      </c>
      <c r="N28" s="132" t="n">
        <v>34</v>
      </c>
      <c r="O28" s="132" t="n">
        <v>647</v>
      </c>
      <c r="P28" s="132" t="n">
        <v>808</v>
      </c>
      <c r="Q28" s="132" t="n">
        <v>1132</v>
      </c>
      <c r="R28" s="132" t="n">
        <v>204</v>
      </c>
      <c r="S28" s="132" t="n">
        <v>1045</v>
      </c>
      <c r="T28" s="132" t="n">
        <v>313</v>
      </c>
      <c r="U28" s="132" t="n">
        <v>392</v>
      </c>
      <c r="V28" s="132" t="n">
        <v>545</v>
      </c>
      <c r="W28" s="132" t="n">
        <v>108</v>
      </c>
      <c r="X28" s="132" t="n">
        <v>1099</v>
      </c>
      <c r="Y28" s="132" t="n">
        <v>334</v>
      </c>
      <c r="Z28" s="132" t="n">
        <v>416</v>
      </c>
      <c r="AA28" s="132" t="n">
        <v>587</v>
      </c>
      <c r="AB28" s="132" t="n">
        <v>97</v>
      </c>
      <c r="AC28" s="132" t="n">
        <v>1625</v>
      </c>
      <c r="AD28" s="132" t="n">
        <v>0</v>
      </c>
      <c r="AE28" s="132" t="n">
        <v>64</v>
      </c>
      <c r="AF28" s="132" t="n">
        <v>57</v>
      </c>
      <c r="AG28" s="132" t="n">
        <v>141</v>
      </c>
      <c r="AH28" s="132" t="n">
        <v>259</v>
      </c>
      <c r="AI28" s="132" t="n">
        <v>317</v>
      </c>
      <c r="AJ28" s="132" t="n">
        <v>226</v>
      </c>
      <c r="AK28" s="132" t="n">
        <v>561</v>
      </c>
      <c r="AL28" s="132" t="n">
        <v>799</v>
      </c>
      <c r="AM28" s="132" t="n">
        <v>0</v>
      </c>
      <c r="AN28" s="132" t="n">
        <v>46</v>
      </c>
      <c r="AO28" s="132" t="n">
        <v>36</v>
      </c>
      <c r="AP28" s="132" t="n">
        <v>62</v>
      </c>
      <c r="AQ28" s="132" t="n">
        <v>90</v>
      </c>
      <c r="AR28" s="132" t="n">
        <v>254</v>
      </c>
      <c r="AS28" s="132" t="n">
        <v>110</v>
      </c>
      <c r="AT28" s="132" t="n">
        <v>201</v>
      </c>
      <c r="AU28" s="132" t="n">
        <v>826</v>
      </c>
      <c r="AV28" s="132" t="n">
        <v>0</v>
      </c>
      <c r="AW28" s="132" t="n">
        <v>18</v>
      </c>
      <c r="AX28" s="132" t="n">
        <v>21</v>
      </c>
      <c r="AY28" s="132" t="n">
        <v>79</v>
      </c>
      <c r="AZ28" s="132" t="n">
        <v>170</v>
      </c>
      <c r="BA28" s="132" t="n">
        <v>63</v>
      </c>
      <c r="BB28" s="132" t="n">
        <v>116</v>
      </c>
      <c r="BC28" s="132" t="n">
        <v>360</v>
      </c>
      <c r="BD28" s="132" t="n">
        <v>1727</v>
      </c>
      <c r="BE28" s="132" t="n">
        <v>418</v>
      </c>
      <c r="BF28" s="132" t="n">
        <v>512</v>
      </c>
      <c r="BG28" s="132" t="n">
        <v>2145</v>
      </c>
      <c r="BH28" s="132" t="n">
        <v>0</v>
      </c>
      <c r="BI28" s="132" t="n">
        <v>324</v>
      </c>
      <c r="BJ28" s="132" t="n">
        <v>164</v>
      </c>
      <c r="BK28" s="132" t="n">
        <v>160</v>
      </c>
      <c r="BL28" s="133" t="n">
        <v>0.14</v>
      </c>
      <c r="BM28" s="133" t="n">
        <v>14.42</v>
      </c>
      <c r="BN28" s="133" t="n">
        <v>14874.55</v>
      </c>
      <c r="BO28" s="134" t="n">
        <v>2.2</v>
      </c>
      <c r="BP28" s="133" t="n">
        <v>148.73</v>
      </c>
      <c r="BQ28" s="134" t="n">
        <v>37.7</v>
      </c>
      <c r="BR28" s="133" t="n">
        <v>0.25</v>
      </c>
      <c r="BS28" s="134" t="n">
        <v>19.5</v>
      </c>
      <c r="BT28" s="134" t="n">
        <v>23.9</v>
      </c>
    </row>
    <row r="29" ht="30" customHeight="1">
      <c r="A29" s="3" t="inlineStr">
        <is>
          <t>EST</t>
        </is>
      </c>
      <c r="B29" s="3" t="inlineStr">
        <is>
          <t>STE ELISABETH</t>
        </is>
      </c>
      <c r="C29" s="3" t="inlineStr">
        <is>
          <t>Sainte-Élisabeth Nord</t>
        </is>
      </c>
      <c r="D29" s="132" t="n">
        <v>2832</v>
      </c>
      <c r="E29" s="132" t="n">
        <v>79</v>
      </c>
      <c r="F29" s="132" t="n">
        <v>135</v>
      </c>
      <c r="G29" s="132" t="n">
        <v>224</v>
      </c>
      <c r="H29" s="132" t="n">
        <v>313</v>
      </c>
      <c r="I29" s="132" t="n">
        <v>332</v>
      </c>
      <c r="J29" s="132" t="n">
        <v>486</v>
      </c>
      <c r="K29" s="132" t="n">
        <v>553</v>
      </c>
      <c r="L29" s="132" t="n">
        <v>300</v>
      </c>
      <c r="M29" s="132" t="n">
        <v>283</v>
      </c>
      <c r="N29" s="132" t="n">
        <v>128</v>
      </c>
      <c r="O29" s="132" t="n">
        <v>652</v>
      </c>
      <c r="P29" s="132" t="n">
        <v>846</v>
      </c>
      <c r="Q29" s="132" t="n">
        <v>1576</v>
      </c>
      <c r="R29" s="132" t="n">
        <v>410</v>
      </c>
      <c r="S29" s="132" t="n">
        <v>1334</v>
      </c>
      <c r="T29" s="132" t="n">
        <v>326</v>
      </c>
      <c r="U29" s="132" t="n">
        <v>434</v>
      </c>
      <c r="V29" s="132" t="n">
        <v>732</v>
      </c>
      <c r="W29" s="132" t="n">
        <v>168</v>
      </c>
      <c r="X29" s="132" t="n">
        <v>1499</v>
      </c>
      <c r="Y29" s="132" t="n">
        <v>326</v>
      </c>
      <c r="Z29" s="132" t="n">
        <v>412</v>
      </c>
      <c r="AA29" s="132" t="n">
        <v>844</v>
      </c>
      <c r="AB29" s="132" t="n">
        <v>242</v>
      </c>
      <c r="AC29" s="132" t="n">
        <v>2185</v>
      </c>
      <c r="AD29" s="132" t="n">
        <v>0</v>
      </c>
      <c r="AE29" s="132" t="n">
        <v>106</v>
      </c>
      <c r="AF29" s="132" t="n">
        <v>128</v>
      </c>
      <c r="AG29" s="132" t="n">
        <v>212</v>
      </c>
      <c r="AH29" s="132" t="n">
        <v>307</v>
      </c>
      <c r="AI29" s="132" t="n">
        <v>289</v>
      </c>
      <c r="AJ29" s="132" t="n">
        <v>419</v>
      </c>
      <c r="AK29" s="132" t="n">
        <v>723</v>
      </c>
      <c r="AL29" s="132" t="n">
        <v>1045</v>
      </c>
      <c r="AM29" s="132" t="n">
        <v>0</v>
      </c>
      <c r="AN29" s="132" t="n">
        <v>75</v>
      </c>
      <c r="AO29" s="132" t="n">
        <v>80</v>
      </c>
      <c r="AP29" s="132" t="n">
        <v>81</v>
      </c>
      <c r="AQ29" s="132" t="n">
        <v>105</v>
      </c>
      <c r="AR29" s="132" t="n">
        <v>221</v>
      </c>
      <c r="AS29" s="132" t="n">
        <v>202</v>
      </c>
      <c r="AT29" s="132" t="n">
        <v>280</v>
      </c>
      <c r="AU29" s="132" t="n">
        <v>1140</v>
      </c>
      <c r="AV29" s="132" t="n">
        <v>0</v>
      </c>
      <c r="AW29" s="132" t="n">
        <v>30</v>
      </c>
      <c r="AX29" s="132" t="n">
        <v>48</v>
      </c>
      <c r="AY29" s="132" t="n">
        <v>131</v>
      </c>
      <c r="AZ29" s="132" t="n">
        <v>202</v>
      </c>
      <c r="BA29" s="132" t="n">
        <v>68</v>
      </c>
      <c r="BB29" s="132" t="n">
        <v>217</v>
      </c>
      <c r="BC29" s="132" t="n">
        <v>443</v>
      </c>
      <c r="BD29" s="132" t="n">
        <v>2147</v>
      </c>
      <c r="BE29" s="132" t="n">
        <v>685</v>
      </c>
      <c r="BF29" s="132" t="n">
        <v>700</v>
      </c>
      <c r="BG29" s="132" t="n">
        <v>2772</v>
      </c>
      <c r="BH29" s="132" t="n">
        <v>61</v>
      </c>
      <c r="BI29" s="132" t="n">
        <v>432</v>
      </c>
      <c r="BJ29" s="132" t="n">
        <v>201</v>
      </c>
      <c r="BK29" s="132" t="n">
        <v>231</v>
      </c>
      <c r="BL29" s="133" t="n">
        <v>0.22</v>
      </c>
      <c r="BM29" s="133" t="n">
        <v>22.04</v>
      </c>
      <c r="BN29" s="133" t="n">
        <v>12852.4</v>
      </c>
      <c r="BO29" s="134" t="n">
        <v>2.9</v>
      </c>
      <c r="BP29" s="133" t="n">
        <v>128.51</v>
      </c>
      <c r="BQ29" s="134" t="n">
        <v>29.9</v>
      </c>
      <c r="BR29" s="133" t="n">
        <v>0.49</v>
      </c>
      <c r="BS29" s="134" t="n">
        <v>24.2</v>
      </c>
      <c r="BT29" s="134" t="n">
        <v>24.7</v>
      </c>
    </row>
    <row r="30" ht="30" customHeight="1">
      <c r="A30" s="3" t="inlineStr">
        <is>
          <t>EST</t>
        </is>
      </c>
      <c r="B30" s="3" t="inlineStr">
        <is>
          <t>PILE</t>
        </is>
      </c>
      <c r="C30" s="3" t="inlineStr">
        <is>
          <t>Pile Est</t>
        </is>
      </c>
      <c r="D30" s="132" t="n">
        <v>2137</v>
      </c>
      <c r="E30" s="132" t="n">
        <v>66</v>
      </c>
      <c r="F30" s="132" t="n">
        <v>133</v>
      </c>
      <c r="G30" s="132" t="n">
        <v>256</v>
      </c>
      <c r="H30" s="132" t="n">
        <v>230</v>
      </c>
      <c r="I30" s="132" t="n">
        <v>254</v>
      </c>
      <c r="J30" s="132" t="n">
        <v>367</v>
      </c>
      <c r="K30" s="132" t="n">
        <v>344</v>
      </c>
      <c r="L30" s="132" t="n">
        <v>203</v>
      </c>
      <c r="M30" s="132" t="n">
        <v>207</v>
      </c>
      <c r="N30" s="132" t="n">
        <v>75</v>
      </c>
      <c r="O30" s="132" t="n">
        <v>570</v>
      </c>
      <c r="P30" s="132" t="n">
        <v>784</v>
      </c>
      <c r="Q30" s="132" t="n">
        <v>1070</v>
      </c>
      <c r="R30" s="132" t="n">
        <v>282</v>
      </c>
      <c r="S30" s="132" t="n">
        <v>1032</v>
      </c>
      <c r="T30" s="132" t="n">
        <v>280</v>
      </c>
      <c r="U30" s="132" t="n">
        <v>371</v>
      </c>
      <c r="V30" s="132" t="n">
        <v>550</v>
      </c>
      <c r="W30" s="132" t="n">
        <v>111</v>
      </c>
      <c r="X30" s="132" t="n">
        <v>1105</v>
      </c>
      <c r="Y30" s="132" t="n">
        <v>290</v>
      </c>
      <c r="Z30" s="132" t="n">
        <v>413</v>
      </c>
      <c r="AA30" s="132" t="n">
        <v>520</v>
      </c>
      <c r="AB30" s="132" t="n">
        <v>172</v>
      </c>
      <c r="AC30" s="132" t="n">
        <v>1647</v>
      </c>
      <c r="AD30" s="132" t="n">
        <v>0</v>
      </c>
      <c r="AE30" s="132" t="n">
        <v>42</v>
      </c>
      <c r="AF30" s="132" t="n">
        <v>19</v>
      </c>
      <c r="AG30" s="132" t="n">
        <v>153</v>
      </c>
      <c r="AH30" s="132" t="n">
        <v>255</v>
      </c>
      <c r="AI30" s="132" t="n">
        <v>244</v>
      </c>
      <c r="AJ30" s="132" t="n">
        <v>333</v>
      </c>
      <c r="AK30" s="132" t="n">
        <v>602</v>
      </c>
      <c r="AL30" s="132" t="n">
        <v>780</v>
      </c>
      <c r="AM30" s="132" t="n">
        <v>0</v>
      </c>
      <c r="AN30" s="132" t="n">
        <v>30</v>
      </c>
      <c r="AO30" s="132" t="n">
        <v>17</v>
      </c>
      <c r="AP30" s="132" t="n">
        <v>87</v>
      </c>
      <c r="AQ30" s="132" t="n">
        <v>99</v>
      </c>
      <c r="AR30" s="132" t="n">
        <v>195</v>
      </c>
      <c r="AS30" s="132" t="n">
        <v>138</v>
      </c>
      <c r="AT30" s="132" t="n">
        <v>214</v>
      </c>
      <c r="AU30" s="132" t="n">
        <v>867</v>
      </c>
      <c r="AV30" s="132" t="n">
        <v>0</v>
      </c>
      <c r="AW30" s="132" t="n">
        <v>12</v>
      </c>
      <c r="AX30" s="132" t="n">
        <v>2</v>
      </c>
      <c r="AY30" s="132" t="n">
        <v>66</v>
      </c>
      <c r="AZ30" s="132" t="n">
        <v>156</v>
      </c>
      <c r="BA30" s="132" t="n">
        <v>48</v>
      </c>
      <c r="BB30" s="132" t="n">
        <v>194</v>
      </c>
      <c r="BC30" s="132" t="n">
        <v>388</v>
      </c>
      <c r="BD30" s="132" t="n">
        <v>1594</v>
      </c>
      <c r="BE30" s="132" t="n">
        <v>542</v>
      </c>
      <c r="BF30" s="132" t="n">
        <v>551</v>
      </c>
      <c r="BG30" s="132" t="n">
        <v>2137</v>
      </c>
      <c r="BH30" s="132" t="n">
        <v>0</v>
      </c>
      <c r="BI30" s="132" t="n">
        <v>369</v>
      </c>
      <c r="BJ30" s="132" t="n">
        <v>184</v>
      </c>
      <c r="BK30" s="132" t="n">
        <v>184</v>
      </c>
      <c r="BL30" s="133" t="n">
        <v>0.2</v>
      </c>
      <c r="BM30" s="133" t="n">
        <v>19.88</v>
      </c>
      <c r="BN30" s="133" t="n">
        <v>10745.85</v>
      </c>
      <c r="BO30" s="134" t="n">
        <v>2.2</v>
      </c>
      <c r="BP30" s="133" t="n">
        <v>107.47</v>
      </c>
      <c r="BQ30" s="134" t="n">
        <v>36.7</v>
      </c>
      <c r="BR30" s="133" t="n">
        <v>0.36</v>
      </c>
      <c r="BS30" s="134" t="n">
        <v>25.4</v>
      </c>
      <c r="BT30" s="134" t="n">
        <v>25.8</v>
      </c>
    </row>
    <row r="31" ht="30" customHeight="1">
      <c r="A31" s="3" t="inlineStr">
        <is>
          <t>EST</t>
        </is>
      </c>
      <c r="B31" s="3" t="inlineStr">
        <is>
          <t>PILE</t>
        </is>
      </c>
      <c r="C31" s="3" t="inlineStr">
        <is>
          <t>Pile Centre</t>
        </is>
      </c>
      <c r="D31" s="132" t="n">
        <v>2553</v>
      </c>
      <c r="E31" s="132" t="n">
        <v>87</v>
      </c>
      <c r="F31" s="132" t="n">
        <v>226</v>
      </c>
      <c r="G31" s="132" t="n">
        <v>296</v>
      </c>
      <c r="H31" s="132" t="n">
        <v>332</v>
      </c>
      <c r="I31" s="132" t="n">
        <v>287</v>
      </c>
      <c r="J31" s="132" t="n">
        <v>545</v>
      </c>
      <c r="K31" s="132" t="n">
        <v>412</v>
      </c>
      <c r="L31" s="132" t="n">
        <v>175</v>
      </c>
      <c r="M31" s="132" t="n">
        <v>137</v>
      </c>
      <c r="N31" s="132" t="n">
        <v>55</v>
      </c>
      <c r="O31" s="132" t="n">
        <v>804</v>
      </c>
      <c r="P31" s="132" t="n">
        <v>1013</v>
      </c>
      <c r="Q31" s="132" t="n">
        <v>1348</v>
      </c>
      <c r="R31" s="132" t="n">
        <v>192</v>
      </c>
      <c r="S31" s="132" t="n">
        <v>1222</v>
      </c>
      <c r="T31" s="132" t="n">
        <v>369</v>
      </c>
      <c r="U31" s="132" t="n">
        <v>484</v>
      </c>
      <c r="V31" s="132" t="n">
        <v>652</v>
      </c>
      <c r="W31" s="132" t="n">
        <v>86</v>
      </c>
      <c r="X31" s="132" t="n">
        <v>1330</v>
      </c>
      <c r="Y31" s="132" t="n">
        <v>435</v>
      </c>
      <c r="Z31" s="132" t="n">
        <v>529</v>
      </c>
      <c r="AA31" s="132" t="n">
        <v>695</v>
      </c>
      <c r="AB31" s="132" t="n">
        <v>106</v>
      </c>
      <c r="AC31" s="132" t="n">
        <v>1562</v>
      </c>
      <c r="AD31" s="132" t="n">
        <v>0</v>
      </c>
      <c r="AE31" s="132" t="n">
        <v>14</v>
      </c>
      <c r="AF31" s="132" t="n">
        <v>12</v>
      </c>
      <c r="AG31" s="132" t="n">
        <v>115</v>
      </c>
      <c r="AH31" s="132" t="n">
        <v>247</v>
      </c>
      <c r="AI31" s="132" t="n">
        <v>332</v>
      </c>
      <c r="AJ31" s="132" t="n">
        <v>216</v>
      </c>
      <c r="AK31" s="132" t="n">
        <v>626</v>
      </c>
      <c r="AL31" s="132" t="n">
        <v>736</v>
      </c>
      <c r="AM31" s="132" t="n">
        <v>0</v>
      </c>
      <c r="AN31" s="132" t="n">
        <v>9</v>
      </c>
      <c r="AO31" s="132" t="n">
        <v>10</v>
      </c>
      <c r="AP31" s="132" t="n">
        <v>44</v>
      </c>
      <c r="AQ31" s="132" t="n">
        <v>62</v>
      </c>
      <c r="AR31" s="132" t="n">
        <v>244</v>
      </c>
      <c r="AS31" s="132" t="n">
        <v>94</v>
      </c>
      <c r="AT31" s="132" t="n">
        <v>273</v>
      </c>
      <c r="AU31" s="132" t="n">
        <v>826</v>
      </c>
      <c r="AV31" s="132" t="n">
        <v>0</v>
      </c>
      <c r="AW31" s="132" t="n">
        <v>5</v>
      </c>
      <c r="AX31" s="132" t="n">
        <v>2</v>
      </c>
      <c r="AY31" s="132" t="n">
        <v>70</v>
      </c>
      <c r="AZ31" s="132" t="n">
        <v>185</v>
      </c>
      <c r="BA31" s="132" t="n">
        <v>88</v>
      </c>
      <c r="BB31" s="132" t="n">
        <v>122</v>
      </c>
      <c r="BC31" s="132" t="n">
        <v>354</v>
      </c>
      <c r="BD31" s="132" t="n">
        <v>2014</v>
      </c>
      <c r="BE31" s="132" t="n">
        <v>538</v>
      </c>
      <c r="BF31" s="132" t="n">
        <v>597</v>
      </c>
      <c r="BG31" s="132" t="n">
        <v>2552</v>
      </c>
      <c r="BH31" s="132" t="n">
        <v>0</v>
      </c>
      <c r="BI31" s="132" t="n">
        <v>424</v>
      </c>
      <c r="BJ31" s="132" t="n">
        <v>233</v>
      </c>
      <c r="BK31" s="132" t="n">
        <v>192</v>
      </c>
      <c r="BL31" s="133" t="n">
        <v>0.17</v>
      </c>
      <c r="BM31" s="133" t="n">
        <v>16.8</v>
      </c>
      <c r="BN31" s="133" t="n">
        <v>15191.16</v>
      </c>
      <c r="BO31" s="134" t="n">
        <v>2.6</v>
      </c>
      <c r="BP31" s="133" t="n">
        <v>151.93</v>
      </c>
      <c r="BQ31" s="134" t="n">
        <v>39.7</v>
      </c>
      <c r="BR31" s="133" t="n">
        <v>0.19</v>
      </c>
      <c r="BS31" s="134" t="n">
        <v>21.1</v>
      </c>
      <c r="BT31" s="134" t="n">
        <v>23.4</v>
      </c>
    </row>
    <row r="32" ht="30" customHeight="1">
      <c r="A32" s="3" t="inlineStr">
        <is>
          <t>EST</t>
        </is>
      </c>
      <c r="B32" s="3" t="inlineStr">
        <is>
          <t>PILE</t>
        </is>
      </c>
      <c r="C32" s="3" t="inlineStr">
        <is>
          <t>Pile Nord</t>
        </is>
      </c>
      <c r="D32" s="132" t="n">
        <v>2300</v>
      </c>
      <c r="E32" s="132" t="n">
        <v>72</v>
      </c>
      <c r="F32" s="132" t="n">
        <v>150</v>
      </c>
      <c r="G32" s="132" t="n">
        <v>243</v>
      </c>
      <c r="H32" s="132" t="n">
        <v>317</v>
      </c>
      <c r="I32" s="132" t="n">
        <v>257</v>
      </c>
      <c r="J32" s="132" t="n">
        <v>373</v>
      </c>
      <c r="K32" s="132" t="n">
        <v>400</v>
      </c>
      <c r="L32" s="132" t="n">
        <v>218</v>
      </c>
      <c r="M32" s="132" t="n">
        <v>206</v>
      </c>
      <c r="N32" s="132" t="n">
        <v>65</v>
      </c>
      <c r="O32" s="132" t="n">
        <v>621</v>
      </c>
      <c r="P32" s="132" t="n">
        <v>875</v>
      </c>
      <c r="Q32" s="132" t="n">
        <v>1155</v>
      </c>
      <c r="R32" s="132" t="n">
        <v>270</v>
      </c>
      <c r="S32" s="132" t="n">
        <v>1182</v>
      </c>
      <c r="T32" s="132" t="n">
        <v>313</v>
      </c>
      <c r="U32" s="132" t="n">
        <v>456</v>
      </c>
      <c r="V32" s="132" t="n">
        <v>596</v>
      </c>
      <c r="W32" s="132" t="n">
        <v>129</v>
      </c>
      <c r="X32" s="132" t="n">
        <v>1118</v>
      </c>
      <c r="Y32" s="132" t="n">
        <v>308</v>
      </c>
      <c r="Z32" s="132" t="n">
        <v>418</v>
      </c>
      <c r="AA32" s="132" t="n">
        <v>558</v>
      </c>
      <c r="AB32" s="132" t="n">
        <v>141</v>
      </c>
      <c r="AC32" s="132" t="n">
        <v>1539</v>
      </c>
      <c r="AD32" s="132" t="n">
        <v>0</v>
      </c>
      <c r="AE32" s="132" t="n">
        <v>31</v>
      </c>
      <c r="AF32" s="132" t="n">
        <v>58</v>
      </c>
      <c r="AG32" s="132" t="n">
        <v>90</v>
      </c>
      <c r="AH32" s="132" t="n">
        <v>225</v>
      </c>
      <c r="AI32" s="132" t="n">
        <v>260</v>
      </c>
      <c r="AJ32" s="132" t="n">
        <v>240</v>
      </c>
      <c r="AK32" s="132" t="n">
        <v>635</v>
      </c>
      <c r="AL32" s="132" t="n">
        <v>747</v>
      </c>
      <c r="AM32" s="132" t="n">
        <v>0</v>
      </c>
      <c r="AN32" s="132" t="n">
        <v>22</v>
      </c>
      <c r="AO32" s="132" t="n">
        <v>29</v>
      </c>
      <c r="AP32" s="132" t="n">
        <v>42</v>
      </c>
      <c r="AQ32" s="132" t="n">
        <v>73</v>
      </c>
      <c r="AR32" s="132" t="n">
        <v>213</v>
      </c>
      <c r="AS32" s="132" t="n">
        <v>108</v>
      </c>
      <c r="AT32" s="132" t="n">
        <v>261</v>
      </c>
      <c r="AU32" s="132" t="n">
        <v>792</v>
      </c>
      <c r="AV32" s="132" t="n">
        <v>0</v>
      </c>
      <c r="AW32" s="132" t="n">
        <v>10</v>
      </c>
      <c r="AX32" s="132" t="n">
        <v>29</v>
      </c>
      <c r="AY32" s="132" t="n">
        <v>48</v>
      </c>
      <c r="AZ32" s="132" t="n">
        <v>152</v>
      </c>
      <c r="BA32" s="132" t="n">
        <v>47</v>
      </c>
      <c r="BB32" s="132" t="n">
        <v>132</v>
      </c>
      <c r="BC32" s="132" t="n">
        <v>374</v>
      </c>
      <c r="BD32" s="132" t="n">
        <v>1728</v>
      </c>
      <c r="BE32" s="132" t="n">
        <v>572</v>
      </c>
      <c r="BF32" s="132" t="n">
        <v>533</v>
      </c>
      <c r="BG32" s="132" t="n">
        <v>2233</v>
      </c>
      <c r="BH32" s="132" t="n">
        <v>67</v>
      </c>
      <c r="BI32" s="132" t="n">
        <v>418</v>
      </c>
      <c r="BJ32" s="132" t="n">
        <v>238</v>
      </c>
      <c r="BK32" s="132" t="n">
        <v>180</v>
      </c>
      <c r="BL32" s="133" t="n">
        <v>0.33</v>
      </c>
      <c r="BM32" s="133" t="n">
        <v>32.88</v>
      </c>
      <c r="BN32" s="133" t="n">
        <v>6993.84</v>
      </c>
      <c r="BO32" s="134" t="n">
        <v>2.3</v>
      </c>
      <c r="BP32" s="133" t="n">
        <v>69.94</v>
      </c>
      <c r="BQ32" s="134" t="n">
        <v>38</v>
      </c>
      <c r="BR32" s="133" t="n">
        <v>0.31</v>
      </c>
      <c r="BS32" s="134" t="n">
        <v>24.9</v>
      </c>
      <c r="BT32" s="134" t="n">
        <v>23.2</v>
      </c>
    </row>
    <row r="33" ht="30" customHeight="1">
      <c r="A33" s="3" t="inlineStr">
        <is>
          <t>EST</t>
        </is>
      </c>
      <c r="B33" s="3" t="inlineStr">
        <is>
          <t>TROIS PONTS</t>
        </is>
      </c>
      <c r="C33" s="3" t="inlineStr">
        <is>
          <t>Trois Ponts Nord</t>
        </is>
      </c>
      <c r="D33" s="132" t="n">
        <v>554</v>
      </c>
      <c r="E33" s="132" t="n">
        <v>16</v>
      </c>
      <c r="F33" s="132" t="n">
        <v>32</v>
      </c>
      <c r="G33" s="132" t="n">
        <v>53</v>
      </c>
      <c r="H33" s="132" t="n">
        <v>53</v>
      </c>
      <c r="I33" s="132" t="n">
        <v>39</v>
      </c>
      <c r="J33" s="132" t="n">
        <v>132</v>
      </c>
      <c r="K33" s="132" t="n">
        <v>103</v>
      </c>
      <c r="L33" s="132" t="n">
        <v>70</v>
      </c>
      <c r="M33" s="132" t="n">
        <v>40</v>
      </c>
      <c r="N33" s="132" t="n">
        <v>16</v>
      </c>
      <c r="O33" s="132" t="n">
        <v>135</v>
      </c>
      <c r="P33" s="132" t="n">
        <v>167</v>
      </c>
      <c r="Q33" s="132" t="n">
        <v>332</v>
      </c>
      <c r="R33" s="132" t="n">
        <v>56</v>
      </c>
      <c r="S33" s="132" t="n">
        <v>328</v>
      </c>
      <c r="T33" s="132" t="n">
        <v>51</v>
      </c>
      <c r="U33" s="132" t="n">
        <v>72</v>
      </c>
      <c r="V33" s="132" t="n">
        <v>217</v>
      </c>
      <c r="W33" s="132" t="n">
        <v>38</v>
      </c>
      <c r="X33" s="132" t="n">
        <v>226</v>
      </c>
      <c r="Y33" s="132" t="n">
        <v>84</v>
      </c>
      <c r="Z33" s="132" t="n">
        <v>94</v>
      </c>
      <c r="AA33" s="132" t="n">
        <v>114</v>
      </c>
      <c r="AB33" s="132" t="n">
        <v>18</v>
      </c>
      <c r="AC33" s="132" t="n">
        <v>481</v>
      </c>
      <c r="AD33" s="132" t="n">
        <v>0</v>
      </c>
      <c r="AE33" s="132" t="n">
        <v>0</v>
      </c>
      <c r="AF33" s="132" t="n">
        <v>16</v>
      </c>
      <c r="AG33" s="132" t="n">
        <v>25</v>
      </c>
      <c r="AH33" s="132" t="n">
        <v>80</v>
      </c>
      <c r="AI33" s="132" t="n">
        <v>109</v>
      </c>
      <c r="AJ33" s="132" t="n">
        <v>46</v>
      </c>
      <c r="AK33" s="132" t="n">
        <v>204</v>
      </c>
      <c r="AL33" s="132" t="n">
        <v>304</v>
      </c>
      <c r="AM33" s="132" t="n">
        <v>0</v>
      </c>
      <c r="AN33" s="132" t="n">
        <v>0</v>
      </c>
      <c r="AO33" s="132" t="n">
        <v>9</v>
      </c>
      <c r="AP33" s="132" t="n">
        <v>16</v>
      </c>
      <c r="AQ33" s="132" t="n">
        <v>29</v>
      </c>
      <c r="AR33" s="132" t="n">
        <v>95</v>
      </c>
      <c r="AS33" s="132" t="n">
        <v>29</v>
      </c>
      <c r="AT33" s="132" t="n">
        <v>126</v>
      </c>
      <c r="AU33" s="132" t="n">
        <v>176</v>
      </c>
      <c r="AV33" s="132" t="n">
        <v>0</v>
      </c>
      <c r="AW33" s="132" t="n">
        <v>0</v>
      </c>
      <c r="AX33" s="132" t="n">
        <v>7</v>
      </c>
      <c r="AY33" s="132" t="n">
        <v>9</v>
      </c>
      <c r="AZ33" s="132" t="n">
        <v>51</v>
      </c>
      <c r="BA33" s="132" t="n">
        <v>14</v>
      </c>
      <c r="BB33" s="132" t="n">
        <v>17</v>
      </c>
      <c r="BC33" s="132" t="n">
        <v>78</v>
      </c>
      <c r="BD33" s="132" t="n">
        <v>381</v>
      </c>
      <c r="BE33" s="132" t="n">
        <v>173</v>
      </c>
      <c r="BF33" s="132" t="n">
        <v>199</v>
      </c>
      <c r="BG33" s="132" t="n">
        <v>423</v>
      </c>
      <c r="BH33" s="132" t="n">
        <v>131</v>
      </c>
      <c r="BI33" s="132" t="n">
        <v>57</v>
      </c>
      <c r="BJ33" s="132" t="n">
        <v>39</v>
      </c>
      <c r="BK33" s="132" t="n">
        <v>18</v>
      </c>
      <c r="BL33" s="133" t="n">
        <v>0.1</v>
      </c>
      <c r="BM33" s="133" t="n">
        <v>9.779999999999999</v>
      </c>
      <c r="BN33" s="133" t="n">
        <v>5663.79</v>
      </c>
      <c r="BO33" s="134" t="n">
        <v>0.6</v>
      </c>
      <c r="BP33" s="133" t="n">
        <v>56.65</v>
      </c>
      <c r="BQ33" s="134" t="n">
        <v>30.1</v>
      </c>
      <c r="BR33" s="133" t="n">
        <v>0.33</v>
      </c>
      <c r="BS33" s="134" t="n">
        <v>31.2</v>
      </c>
      <c r="BT33" s="134" t="n">
        <v>35.9</v>
      </c>
    </row>
    <row r="34" ht="30" customHeight="1">
      <c r="A34" s="3" t="inlineStr">
        <is>
          <t>EST</t>
        </is>
      </c>
      <c r="B34" s="3" t="inlineStr">
        <is>
          <t>TROIS PONTS</t>
        </is>
      </c>
      <c r="C34" s="3" t="inlineStr">
        <is>
          <t>Trois Ponts Sud</t>
        </is>
      </c>
      <c r="D34" s="132" t="n">
        <v>2357</v>
      </c>
      <c r="E34" s="132" t="n">
        <v>62</v>
      </c>
      <c r="F34" s="132" t="n">
        <v>211</v>
      </c>
      <c r="G34" s="132" t="n">
        <v>236</v>
      </c>
      <c r="H34" s="132" t="n">
        <v>339</v>
      </c>
      <c r="I34" s="132" t="n">
        <v>226</v>
      </c>
      <c r="J34" s="132" t="n">
        <v>426</v>
      </c>
      <c r="K34" s="132" t="n">
        <v>467</v>
      </c>
      <c r="L34" s="132" t="n">
        <v>187</v>
      </c>
      <c r="M34" s="132" t="n">
        <v>135</v>
      </c>
      <c r="N34" s="132" t="n">
        <v>67</v>
      </c>
      <c r="O34" s="132" t="n">
        <v>705</v>
      </c>
      <c r="P34" s="132" t="n">
        <v>937</v>
      </c>
      <c r="Q34" s="132" t="n">
        <v>1218</v>
      </c>
      <c r="R34" s="132" t="n">
        <v>202</v>
      </c>
      <c r="S34" s="132" t="n">
        <v>1114</v>
      </c>
      <c r="T34" s="132" t="n">
        <v>384</v>
      </c>
      <c r="U34" s="132" t="n">
        <v>495</v>
      </c>
      <c r="V34" s="132" t="n">
        <v>524</v>
      </c>
      <c r="W34" s="132" t="n">
        <v>94</v>
      </c>
      <c r="X34" s="132" t="n">
        <v>1243</v>
      </c>
      <c r="Y34" s="132" t="n">
        <v>321</v>
      </c>
      <c r="Z34" s="132" t="n">
        <v>441</v>
      </c>
      <c r="AA34" s="132" t="n">
        <v>694</v>
      </c>
      <c r="AB34" s="132" t="n">
        <v>108</v>
      </c>
      <c r="AC34" s="132" t="n">
        <v>1698</v>
      </c>
      <c r="AD34" s="132" t="n">
        <v>0</v>
      </c>
      <c r="AE34" s="132" t="n">
        <v>30</v>
      </c>
      <c r="AF34" s="132" t="n">
        <v>23</v>
      </c>
      <c r="AG34" s="132" t="n">
        <v>91</v>
      </c>
      <c r="AH34" s="132" t="n">
        <v>274</v>
      </c>
      <c r="AI34" s="132" t="n">
        <v>298</v>
      </c>
      <c r="AJ34" s="132" t="n">
        <v>212</v>
      </c>
      <c r="AK34" s="132" t="n">
        <v>769</v>
      </c>
      <c r="AL34" s="132" t="n">
        <v>774</v>
      </c>
      <c r="AM34" s="132" t="n">
        <v>0</v>
      </c>
      <c r="AN34" s="132" t="n">
        <v>26</v>
      </c>
      <c r="AO34" s="132" t="n">
        <v>12</v>
      </c>
      <c r="AP34" s="132" t="n">
        <v>48</v>
      </c>
      <c r="AQ34" s="132" t="n">
        <v>52</v>
      </c>
      <c r="AR34" s="132" t="n">
        <v>242</v>
      </c>
      <c r="AS34" s="132" t="n">
        <v>95</v>
      </c>
      <c r="AT34" s="132" t="n">
        <v>300</v>
      </c>
      <c r="AU34" s="132" t="n">
        <v>924</v>
      </c>
      <c r="AV34" s="132" t="n">
        <v>0</v>
      </c>
      <c r="AW34" s="132" t="n">
        <v>4</v>
      </c>
      <c r="AX34" s="132" t="n">
        <v>12</v>
      </c>
      <c r="AY34" s="132" t="n">
        <v>43</v>
      </c>
      <c r="AZ34" s="132" t="n">
        <v>222</v>
      </c>
      <c r="BA34" s="132" t="n">
        <v>57</v>
      </c>
      <c r="BB34" s="132" t="n">
        <v>117</v>
      </c>
      <c r="BC34" s="132" t="n">
        <v>470</v>
      </c>
      <c r="BD34" s="132" t="n">
        <v>1760</v>
      </c>
      <c r="BE34" s="132" t="n">
        <v>596</v>
      </c>
      <c r="BF34" s="132" t="n">
        <v>671</v>
      </c>
      <c r="BG34" s="132" t="n">
        <v>2357</v>
      </c>
      <c r="BH34" s="132" t="n">
        <v>0</v>
      </c>
      <c r="BI34" s="132" t="n">
        <v>369</v>
      </c>
      <c r="BJ34" s="132" t="n">
        <v>174</v>
      </c>
      <c r="BK34" s="132" t="n">
        <v>195</v>
      </c>
      <c r="BL34" s="133" t="n">
        <v>0.18</v>
      </c>
      <c r="BM34" s="133" t="n">
        <v>18.14</v>
      </c>
      <c r="BN34" s="133" t="n">
        <v>12994.19</v>
      </c>
      <c r="BO34" s="134" t="n">
        <v>2.4</v>
      </c>
      <c r="BP34" s="133" t="n">
        <v>129.91</v>
      </c>
      <c r="BQ34" s="134" t="n">
        <v>39.8</v>
      </c>
      <c r="BR34" s="133" t="n">
        <v>0.22</v>
      </c>
      <c r="BS34" s="134" t="n">
        <v>25.3</v>
      </c>
      <c r="BT34" s="134" t="n">
        <v>28.5</v>
      </c>
    </row>
    <row r="35" ht="30" customHeight="1">
      <c r="A35" s="3" t="inlineStr">
        <is>
          <t>EST</t>
        </is>
      </c>
      <c r="B35" s="3" t="inlineStr">
        <is>
          <t>SARTEL CARIHEM</t>
        </is>
      </c>
      <c r="C35" s="3" t="inlineStr">
        <is>
          <t>Sartel</t>
        </is>
      </c>
      <c r="D35" s="132" t="n">
        <v>1702</v>
      </c>
      <c r="E35" s="132" t="n">
        <v>40</v>
      </c>
      <c r="F35" s="132" t="n">
        <v>80</v>
      </c>
      <c r="G35" s="132" t="n">
        <v>118</v>
      </c>
      <c r="H35" s="132" t="n">
        <v>162</v>
      </c>
      <c r="I35" s="132" t="n">
        <v>117</v>
      </c>
      <c r="J35" s="132" t="n">
        <v>272</v>
      </c>
      <c r="K35" s="132" t="n">
        <v>284</v>
      </c>
      <c r="L35" s="132" t="n">
        <v>211</v>
      </c>
      <c r="M35" s="132" t="n">
        <v>252</v>
      </c>
      <c r="N35" s="132" t="n">
        <v>166</v>
      </c>
      <c r="O35" s="132" t="n">
        <v>339</v>
      </c>
      <c r="P35" s="132" t="n">
        <v>453</v>
      </c>
      <c r="Q35" s="132" t="n">
        <v>831</v>
      </c>
      <c r="R35" s="132" t="n">
        <v>418</v>
      </c>
      <c r="S35" s="132" t="n">
        <v>857</v>
      </c>
      <c r="T35" s="132" t="n">
        <v>174</v>
      </c>
      <c r="U35" s="132" t="n">
        <v>245</v>
      </c>
      <c r="V35" s="132" t="n">
        <v>418</v>
      </c>
      <c r="W35" s="132" t="n">
        <v>194</v>
      </c>
      <c r="X35" s="132" t="n">
        <v>845</v>
      </c>
      <c r="Y35" s="132" t="n">
        <v>166</v>
      </c>
      <c r="Z35" s="132" t="n">
        <v>208</v>
      </c>
      <c r="AA35" s="132" t="n">
        <v>413</v>
      </c>
      <c r="AB35" s="132" t="n">
        <v>224</v>
      </c>
      <c r="AC35" s="132" t="n">
        <v>1449</v>
      </c>
      <c r="AD35" s="132" t="n">
        <v>0</v>
      </c>
      <c r="AE35" s="132" t="n">
        <v>49</v>
      </c>
      <c r="AF35" s="132" t="n">
        <v>45</v>
      </c>
      <c r="AG35" s="132" t="n">
        <v>101</v>
      </c>
      <c r="AH35" s="132" t="n">
        <v>207</v>
      </c>
      <c r="AI35" s="132" t="n">
        <v>176</v>
      </c>
      <c r="AJ35" s="132" t="n">
        <v>470</v>
      </c>
      <c r="AK35" s="132" t="n">
        <v>401</v>
      </c>
      <c r="AL35" s="132" t="n">
        <v>718</v>
      </c>
      <c r="AM35" s="132" t="n">
        <v>0</v>
      </c>
      <c r="AN35" s="132" t="n">
        <v>48</v>
      </c>
      <c r="AO35" s="132" t="n">
        <v>24</v>
      </c>
      <c r="AP35" s="132" t="n">
        <v>30</v>
      </c>
      <c r="AQ35" s="132" t="n">
        <v>65</v>
      </c>
      <c r="AR35" s="132" t="n">
        <v>137</v>
      </c>
      <c r="AS35" s="132" t="n">
        <v>223</v>
      </c>
      <c r="AT35" s="132" t="n">
        <v>190</v>
      </c>
      <c r="AU35" s="132" t="n">
        <v>731</v>
      </c>
      <c r="AV35" s="132" t="n">
        <v>0</v>
      </c>
      <c r="AW35" s="132" t="n">
        <v>0</v>
      </c>
      <c r="AX35" s="132" t="n">
        <v>20</v>
      </c>
      <c r="AY35" s="132" t="n">
        <v>71</v>
      </c>
      <c r="AZ35" s="132" t="n">
        <v>142</v>
      </c>
      <c r="BA35" s="132" t="n">
        <v>38</v>
      </c>
      <c r="BB35" s="132" t="n">
        <v>247</v>
      </c>
      <c r="BC35" s="132" t="n">
        <v>211</v>
      </c>
      <c r="BD35" s="132" t="n">
        <v>1471</v>
      </c>
      <c r="BE35" s="132" t="n">
        <v>231</v>
      </c>
      <c r="BF35" s="132" t="n">
        <v>308</v>
      </c>
      <c r="BG35" s="132" t="n">
        <v>1506</v>
      </c>
      <c r="BH35" s="132" t="n">
        <v>196</v>
      </c>
      <c r="BI35" s="132" t="n">
        <v>178</v>
      </c>
      <c r="BJ35" s="132" t="n">
        <v>96</v>
      </c>
      <c r="BK35" s="132" t="n">
        <v>82</v>
      </c>
      <c r="BL35" s="133" t="n">
        <v>1</v>
      </c>
      <c r="BM35" s="133" t="n">
        <v>100.2</v>
      </c>
      <c r="BN35" s="133" t="n">
        <v>1698.85</v>
      </c>
      <c r="BO35" s="134" t="n">
        <v>1.7</v>
      </c>
      <c r="BP35" s="133" t="n">
        <v>16.99</v>
      </c>
      <c r="BQ35" s="134" t="n">
        <v>26.6</v>
      </c>
      <c r="BR35" s="133" t="n">
        <v>0.92</v>
      </c>
      <c r="BS35" s="134" t="n">
        <v>13.6</v>
      </c>
      <c r="BT35" s="134" t="n">
        <v>18.1</v>
      </c>
    </row>
    <row r="36" ht="30" customHeight="1">
      <c r="A36" s="3" t="inlineStr">
        <is>
          <t>SUD</t>
        </is>
      </c>
      <c r="B36" s="3" t="inlineStr">
        <is>
          <t>CHEMIN NEUF/LINNE</t>
        </is>
      </c>
      <c r="C36" s="3" t="inlineStr">
        <is>
          <t>Linné-Chemin Neuf</t>
        </is>
      </c>
      <c r="D36" s="132" t="n">
        <v>3488</v>
      </c>
      <c r="E36" s="132" t="n">
        <v>87</v>
      </c>
      <c r="F36" s="132" t="n">
        <v>219</v>
      </c>
      <c r="G36" s="132" t="n">
        <v>245</v>
      </c>
      <c r="H36" s="132" t="n">
        <v>411</v>
      </c>
      <c r="I36" s="132" t="n">
        <v>341</v>
      </c>
      <c r="J36" s="132" t="n">
        <v>647</v>
      </c>
      <c r="K36" s="132" t="n">
        <v>705</v>
      </c>
      <c r="L36" s="132" t="n">
        <v>385</v>
      </c>
      <c r="M36" s="132" t="n">
        <v>351</v>
      </c>
      <c r="N36" s="132" t="n">
        <v>98</v>
      </c>
      <c r="O36" s="132" t="n">
        <v>768</v>
      </c>
      <c r="P36" s="132" t="n">
        <v>1083</v>
      </c>
      <c r="Q36" s="132" t="n">
        <v>1955</v>
      </c>
      <c r="R36" s="132" t="n">
        <v>449</v>
      </c>
      <c r="S36" s="132" t="n">
        <v>1678</v>
      </c>
      <c r="T36" s="132" t="n">
        <v>416</v>
      </c>
      <c r="U36" s="132" t="n">
        <v>585</v>
      </c>
      <c r="V36" s="132" t="n">
        <v>901</v>
      </c>
      <c r="W36" s="132" t="n">
        <v>193</v>
      </c>
      <c r="X36" s="132" t="n">
        <v>1810</v>
      </c>
      <c r="Y36" s="132" t="n">
        <v>353</v>
      </c>
      <c r="Z36" s="132" t="n">
        <v>499</v>
      </c>
      <c r="AA36" s="132" t="n">
        <v>1055</v>
      </c>
      <c r="AB36" s="132" t="n">
        <v>256</v>
      </c>
      <c r="AC36" s="132" t="n">
        <v>2871</v>
      </c>
      <c r="AD36" s="132" t="n">
        <v>0</v>
      </c>
      <c r="AE36" s="132" t="n">
        <v>75</v>
      </c>
      <c r="AF36" s="132" t="n">
        <v>296</v>
      </c>
      <c r="AG36" s="132" t="n">
        <v>523</v>
      </c>
      <c r="AH36" s="132" t="n">
        <v>443</v>
      </c>
      <c r="AI36" s="132" t="n">
        <v>381</v>
      </c>
      <c r="AJ36" s="132" t="n">
        <v>529</v>
      </c>
      <c r="AK36" s="132" t="n">
        <v>624</v>
      </c>
      <c r="AL36" s="132" t="n">
        <v>1300</v>
      </c>
      <c r="AM36" s="132" t="n">
        <v>0</v>
      </c>
      <c r="AN36" s="132" t="n">
        <v>49</v>
      </c>
      <c r="AO36" s="132" t="n">
        <v>179</v>
      </c>
      <c r="AP36" s="132" t="n">
        <v>231</v>
      </c>
      <c r="AQ36" s="132" t="n">
        <v>77</v>
      </c>
      <c r="AR36" s="132" t="n">
        <v>261</v>
      </c>
      <c r="AS36" s="132" t="n">
        <v>239</v>
      </c>
      <c r="AT36" s="132" t="n">
        <v>265</v>
      </c>
      <c r="AU36" s="132" t="n">
        <v>1571</v>
      </c>
      <c r="AV36" s="132" t="n">
        <v>0</v>
      </c>
      <c r="AW36" s="132" t="n">
        <v>27</v>
      </c>
      <c r="AX36" s="132" t="n">
        <v>117</v>
      </c>
      <c r="AY36" s="132" t="n">
        <v>292</v>
      </c>
      <c r="AZ36" s="132" t="n">
        <v>366</v>
      </c>
      <c r="BA36" s="132" t="n">
        <v>120</v>
      </c>
      <c r="BB36" s="132" t="n">
        <v>290</v>
      </c>
      <c r="BC36" s="132" t="n">
        <v>359</v>
      </c>
      <c r="BD36" s="132" t="n">
        <v>3133</v>
      </c>
      <c r="BE36" s="132" t="n">
        <v>355</v>
      </c>
      <c r="BF36" s="132" t="n">
        <v>503</v>
      </c>
      <c r="BG36" s="132" t="n">
        <v>3488</v>
      </c>
      <c r="BH36" s="132" t="n">
        <v>0</v>
      </c>
      <c r="BI36" s="132" t="n">
        <v>534</v>
      </c>
      <c r="BJ36" s="132" t="n">
        <v>283</v>
      </c>
      <c r="BK36" s="132" t="n">
        <v>251</v>
      </c>
      <c r="BL36" s="133" t="n">
        <v>0.46</v>
      </c>
      <c r="BM36" s="133" t="n">
        <v>46.11</v>
      </c>
      <c r="BN36" s="133" t="n">
        <v>7564.58</v>
      </c>
      <c r="BO36" s="134" t="n">
        <v>3.5</v>
      </c>
      <c r="BP36" s="133" t="n">
        <v>75.65000000000001</v>
      </c>
      <c r="BQ36" s="134" t="n">
        <v>31.1</v>
      </c>
      <c r="BR36" s="133" t="n">
        <v>0.41</v>
      </c>
      <c r="BS36" s="134" t="n">
        <v>10.2</v>
      </c>
      <c r="BT36" s="134" t="n">
        <v>14.4</v>
      </c>
    </row>
    <row r="37" ht="30" customHeight="1">
      <c r="A37" s="3" t="inlineStr">
        <is>
          <t>SUD</t>
        </is>
      </c>
      <c r="B37" s="3" t="inlineStr">
        <is>
          <t>JUSTICE</t>
        </is>
      </c>
      <c r="C37" s="3" t="inlineStr">
        <is>
          <t>Justice</t>
        </is>
      </c>
      <c r="D37" s="132" t="n">
        <v>2362</v>
      </c>
      <c r="E37" s="132" t="n">
        <v>38</v>
      </c>
      <c r="F37" s="132" t="n">
        <v>135</v>
      </c>
      <c r="G37" s="132" t="n">
        <v>198</v>
      </c>
      <c r="H37" s="132" t="n">
        <v>233</v>
      </c>
      <c r="I37" s="132" t="n">
        <v>209</v>
      </c>
      <c r="J37" s="132" t="n">
        <v>406</v>
      </c>
      <c r="K37" s="132" t="n">
        <v>523</v>
      </c>
      <c r="L37" s="132" t="n">
        <v>317</v>
      </c>
      <c r="M37" s="132" t="n">
        <v>230</v>
      </c>
      <c r="N37" s="132" t="n">
        <v>72</v>
      </c>
      <c r="O37" s="132" t="n">
        <v>498</v>
      </c>
      <c r="P37" s="132" t="n">
        <v>682</v>
      </c>
      <c r="Q37" s="132" t="n">
        <v>1378</v>
      </c>
      <c r="R37" s="132" t="n">
        <v>302</v>
      </c>
      <c r="S37" s="132" t="n">
        <v>1105</v>
      </c>
      <c r="T37" s="132" t="n">
        <v>220</v>
      </c>
      <c r="U37" s="132" t="n">
        <v>299</v>
      </c>
      <c r="V37" s="132" t="n">
        <v>683</v>
      </c>
      <c r="W37" s="132" t="n">
        <v>124</v>
      </c>
      <c r="X37" s="132" t="n">
        <v>1257</v>
      </c>
      <c r="Y37" s="132" t="n">
        <v>278</v>
      </c>
      <c r="Z37" s="132" t="n">
        <v>384</v>
      </c>
      <c r="AA37" s="132" t="n">
        <v>695</v>
      </c>
      <c r="AB37" s="132" t="n">
        <v>178</v>
      </c>
      <c r="AC37" s="132" t="n">
        <v>1858</v>
      </c>
      <c r="AD37" s="132" t="n">
        <v>0</v>
      </c>
      <c r="AE37" s="132" t="n">
        <v>53</v>
      </c>
      <c r="AF37" s="132" t="n">
        <v>186</v>
      </c>
      <c r="AG37" s="132" t="n">
        <v>299</v>
      </c>
      <c r="AH37" s="132" t="n">
        <v>249</v>
      </c>
      <c r="AI37" s="132" t="n">
        <v>298</v>
      </c>
      <c r="AJ37" s="132" t="n">
        <v>367</v>
      </c>
      <c r="AK37" s="132" t="n">
        <v>405</v>
      </c>
      <c r="AL37" s="132" t="n">
        <v>876</v>
      </c>
      <c r="AM37" s="132" t="n">
        <v>0</v>
      </c>
      <c r="AN37" s="132" t="n">
        <v>41</v>
      </c>
      <c r="AO37" s="132" t="n">
        <v>113</v>
      </c>
      <c r="AP37" s="132" t="n">
        <v>118</v>
      </c>
      <c r="AQ37" s="132" t="n">
        <v>74</v>
      </c>
      <c r="AR37" s="132" t="n">
        <v>249</v>
      </c>
      <c r="AS37" s="132" t="n">
        <v>160</v>
      </c>
      <c r="AT37" s="132" t="n">
        <v>121</v>
      </c>
      <c r="AU37" s="132" t="n">
        <v>982</v>
      </c>
      <c r="AV37" s="132" t="n">
        <v>0</v>
      </c>
      <c r="AW37" s="132" t="n">
        <v>12</v>
      </c>
      <c r="AX37" s="132" t="n">
        <v>73</v>
      </c>
      <c r="AY37" s="132" t="n">
        <v>181</v>
      </c>
      <c r="AZ37" s="132" t="n">
        <v>175</v>
      </c>
      <c r="BA37" s="132" t="n">
        <v>49</v>
      </c>
      <c r="BB37" s="132" t="n">
        <v>208</v>
      </c>
      <c r="BC37" s="132" t="n">
        <v>284</v>
      </c>
      <c r="BD37" s="132" t="n">
        <v>2133</v>
      </c>
      <c r="BE37" s="132" t="n">
        <v>228</v>
      </c>
      <c r="BF37" s="132" t="n">
        <v>341</v>
      </c>
      <c r="BG37" s="132" t="n">
        <v>2362</v>
      </c>
      <c r="BH37" s="132" t="n">
        <v>0</v>
      </c>
      <c r="BI37" s="132" t="n">
        <v>316</v>
      </c>
      <c r="BJ37" s="132" t="n">
        <v>151</v>
      </c>
      <c r="BK37" s="132" t="n">
        <v>165</v>
      </c>
      <c r="BL37" s="133" t="n">
        <v>0.52</v>
      </c>
      <c r="BM37" s="133" t="n">
        <v>52.14</v>
      </c>
      <c r="BN37" s="133" t="n">
        <v>4529.68</v>
      </c>
      <c r="BO37" s="134" t="n">
        <v>2.4</v>
      </c>
      <c r="BP37" s="133" t="n">
        <v>45.3</v>
      </c>
      <c r="BQ37" s="134" t="n">
        <v>28.9</v>
      </c>
      <c r="BR37" s="133" t="n">
        <v>0.44</v>
      </c>
      <c r="BS37" s="134" t="n">
        <v>9.699999999999999</v>
      </c>
      <c r="BT37" s="134" t="n">
        <v>14.4</v>
      </c>
    </row>
    <row r="38" ht="30" customHeight="1">
      <c r="A38" s="3" t="inlineStr">
        <is>
          <t>EST</t>
        </is>
      </c>
      <c r="B38" s="3" t="inlineStr">
        <is>
          <t>FRATERNITE</t>
        </is>
      </c>
      <c r="C38" s="3" t="inlineStr">
        <is>
          <t>Fraternité</t>
        </is>
      </c>
      <c r="D38" s="132" t="n">
        <v>2691</v>
      </c>
      <c r="E38" s="132" t="n">
        <v>80</v>
      </c>
      <c r="F38" s="132" t="n">
        <v>159</v>
      </c>
      <c r="G38" s="132" t="n">
        <v>276</v>
      </c>
      <c r="H38" s="132" t="n">
        <v>320</v>
      </c>
      <c r="I38" s="132" t="n">
        <v>298</v>
      </c>
      <c r="J38" s="132" t="n">
        <v>532</v>
      </c>
      <c r="K38" s="132" t="n">
        <v>439</v>
      </c>
      <c r="L38" s="132" t="n">
        <v>232</v>
      </c>
      <c r="M38" s="132" t="n">
        <v>202</v>
      </c>
      <c r="N38" s="132" t="n">
        <v>154</v>
      </c>
      <c r="O38" s="132" t="n">
        <v>719</v>
      </c>
      <c r="P38" s="132" t="n">
        <v>910</v>
      </c>
      <c r="Q38" s="132" t="n">
        <v>1426</v>
      </c>
      <c r="R38" s="132" t="n">
        <v>355</v>
      </c>
      <c r="S38" s="132" t="n">
        <v>1313</v>
      </c>
      <c r="T38" s="132" t="n">
        <v>359</v>
      </c>
      <c r="U38" s="132" t="n">
        <v>459</v>
      </c>
      <c r="V38" s="132" t="n">
        <v>684</v>
      </c>
      <c r="W38" s="132" t="n">
        <v>170</v>
      </c>
      <c r="X38" s="132" t="n">
        <v>1378</v>
      </c>
      <c r="Y38" s="132" t="n">
        <v>360</v>
      </c>
      <c r="Z38" s="132" t="n">
        <v>451</v>
      </c>
      <c r="AA38" s="132" t="n">
        <v>742</v>
      </c>
      <c r="AB38" s="132" t="n">
        <v>186</v>
      </c>
      <c r="AC38" s="132" t="n">
        <v>1981</v>
      </c>
      <c r="AD38" s="132" t="n">
        <v>0</v>
      </c>
      <c r="AE38" s="132" t="n">
        <v>72</v>
      </c>
      <c r="AF38" s="132" t="n">
        <v>141</v>
      </c>
      <c r="AG38" s="132" t="n">
        <v>235</v>
      </c>
      <c r="AH38" s="132" t="n">
        <v>333</v>
      </c>
      <c r="AI38" s="132" t="n">
        <v>298</v>
      </c>
      <c r="AJ38" s="132" t="n">
        <v>390</v>
      </c>
      <c r="AK38" s="132" t="n">
        <v>512</v>
      </c>
      <c r="AL38" s="132" t="n">
        <v>957</v>
      </c>
      <c r="AM38" s="132" t="n">
        <v>0</v>
      </c>
      <c r="AN38" s="132" t="n">
        <v>63</v>
      </c>
      <c r="AO38" s="132" t="n">
        <v>102</v>
      </c>
      <c r="AP38" s="132" t="n">
        <v>97</v>
      </c>
      <c r="AQ38" s="132" t="n">
        <v>79</v>
      </c>
      <c r="AR38" s="132" t="n">
        <v>232</v>
      </c>
      <c r="AS38" s="132" t="n">
        <v>182</v>
      </c>
      <c r="AT38" s="132" t="n">
        <v>200</v>
      </c>
      <c r="AU38" s="132" t="n">
        <v>1024</v>
      </c>
      <c r="AV38" s="132" t="n">
        <v>0</v>
      </c>
      <c r="AW38" s="132" t="n">
        <v>9</v>
      </c>
      <c r="AX38" s="132" t="n">
        <v>38</v>
      </c>
      <c r="AY38" s="132" t="n">
        <v>137</v>
      </c>
      <c r="AZ38" s="132" t="n">
        <v>254</v>
      </c>
      <c r="BA38" s="132" t="n">
        <v>65</v>
      </c>
      <c r="BB38" s="132" t="n">
        <v>208</v>
      </c>
      <c r="BC38" s="132" t="n">
        <v>312</v>
      </c>
      <c r="BD38" s="132" t="n">
        <v>2356</v>
      </c>
      <c r="BE38" s="132" t="n">
        <v>335</v>
      </c>
      <c r="BF38" s="132" t="n">
        <v>492</v>
      </c>
      <c r="BG38" s="132" t="n">
        <v>2561</v>
      </c>
      <c r="BH38" s="132" t="n">
        <v>130</v>
      </c>
      <c r="BI38" s="132" t="n">
        <v>413</v>
      </c>
      <c r="BJ38" s="132" t="n">
        <v>202</v>
      </c>
      <c r="BK38" s="132" t="n">
        <v>211</v>
      </c>
      <c r="BL38" s="133" t="n">
        <v>0.41</v>
      </c>
      <c r="BM38" s="133" t="n">
        <v>41.39</v>
      </c>
      <c r="BN38" s="133" t="n">
        <v>6500.81</v>
      </c>
      <c r="BO38" s="134" t="n">
        <v>2.7</v>
      </c>
      <c r="BP38" s="133" t="n">
        <v>65.01000000000001</v>
      </c>
      <c r="BQ38" s="134" t="n">
        <v>33.8</v>
      </c>
      <c r="BR38" s="133" t="n">
        <v>0.39</v>
      </c>
      <c r="BS38" s="134" t="n">
        <v>12.5</v>
      </c>
      <c r="BT38" s="134" t="n">
        <v>18.3</v>
      </c>
    </row>
    <row r="39" ht="30" customHeight="1">
      <c r="A39" s="3" t="inlineStr">
        <is>
          <t>SUD</t>
        </is>
      </c>
      <c r="B39" s="3" t="inlineStr">
        <is>
          <t>NOUVEAU ROUBAIX</t>
        </is>
      </c>
      <c r="C39" s="3" t="inlineStr">
        <is>
          <t>Nouveau Roubaix</t>
        </is>
      </c>
      <c r="D39" s="132" t="n">
        <v>2622</v>
      </c>
      <c r="E39" s="132" t="n">
        <v>82</v>
      </c>
      <c r="F39" s="132" t="n">
        <v>197</v>
      </c>
      <c r="G39" s="132" t="n">
        <v>269</v>
      </c>
      <c r="H39" s="132" t="n">
        <v>384</v>
      </c>
      <c r="I39" s="132" t="n">
        <v>232</v>
      </c>
      <c r="J39" s="132" t="n">
        <v>404</v>
      </c>
      <c r="K39" s="132" t="n">
        <v>509</v>
      </c>
      <c r="L39" s="132" t="n">
        <v>284</v>
      </c>
      <c r="M39" s="132" t="n">
        <v>209</v>
      </c>
      <c r="N39" s="132" t="n">
        <v>51</v>
      </c>
      <c r="O39" s="132" t="n">
        <v>740</v>
      </c>
      <c r="P39" s="132" t="n">
        <v>1004</v>
      </c>
      <c r="Q39" s="132" t="n">
        <v>1358</v>
      </c>
      <c r="R39" s="132" t="n">
        <v>260</v>
      </c>
      <c r="S39" s="132" t="n">
        <v>1211</v>
      </c>
      <c r="T39" s="132" t="n">
        <v>361</v>
      </c>
      <c r="U39" s="132" t="n">
        <v>505</v>
      </c>
      <c r="V39" s="132" t="n">
        <v>613</v>
      </c>
      <c r="W39" s="132" t="n">
        <v>93</v>
      </c>
      <c r="X39" s="132" t="n">
        <v>1411</v>
      </c>
      <c r="Y39" s="132" t="n">
        <v>379</v>
      </c>
      <c r="Z39" s="132" t="n">
        <v>499</v>
      </c>
      <c r="AA39" s="132" t="n">
        <v>745</v>
      </c>
      <c r="AB39" s="132" t="n">
        <v>167</v>
      </c>
      <c r="AC39" s="132" t="n">
        <v>1811</v>
      </c>
      <c r="AD39" s="132" t="n">
        <v>0</v>
      </c>
      <c r="AE39" s="132" t="n">
        <v>29</v>
      </c>
      <c r="AF39" s="132" t="n">
        <v>53</v>
      </c>
      <c r="AG39" s="132" t="n">
        <v>207</v>
      </c>
      <c r="AH39" s="132" t="n">
        <v>250</v>
      </c>
      <c r="AI39" s="132" t="n">
        <v>267</v>
      </c>
      <c r="AJ39" s="132" t="n">
        <v>286</v>
      </c>
      <c r="AK39" s="132" t="n">
        <v>719</v>
      </c>
      <c r="AL39" s="132" t="n">
        <v>839</v>
      </c>
      <c r="AM39" s="132" t="n">
        <v>0</v>
      </c>
      <c r="AN39" s="132" t="n">
        <v>24</v>
      </c>
      <c r="AO39" s="132" t="n">
        <v>43</v>
      </c>
      <c r="AP39" s="132" t="n">
        <v>81</v>
      </c>
      <c r="AQ39" s="132" t="n">
        <v>73</v>
      </c>
      <c r="AR39" s="132" t="n">
        <v>216</v>
      </c>
      <c r="AS39" s="132" t="n">
        <v>92</v>
      </c>
      <c r="AT39" s="132" t="n">
        <v>310</v>
      </c>
      <c r="AU39" s="132" t="n">
        <v>972</v>
      </c>
      <c r="AV39" s="132" t="n">
        <v>0</v>
      </c>
      <c r="AW39" s="132" t="n">
        <v>5</v>
      </c>
      <c r="AX39" s="132" t="n">
        <v>10</v>
      </c>
      <c r="AY39" s="132" t="n">
        <v>126</v>
      </c>
      <c r="AZ39" s="132" t="n">
        <v>176</v>
      </c>
      <c r="BA39" s="132" t="n">
        <v>51</v>
      </c>
      <c r="BB39" s="132" t="n">
        <v>194</v>
      </c>
      <c r="BC39" s="132" t="n">
        <v>410</v>
      </c>
      <c r="BD39" s="132" t="n">
        <v>2171</v>
      </c>
      <c r="BE39" s="132" t="n">
        <v>451</v>
      </c>
      <c r="BF39" s="132" t="n">
        <v>539</v>
      </c>
      <c r="BG39" s="132" t="n">
        <v>2622</v>
      </c>
      <c r="BH39" s="132" t="n">
        <v>0</v>
      </c>
      <c r="BI39" s="132" t="n">
        <v>425</v>
      </c>
      <c r="BJ39" s="132" t="n">
        <v>224</v>
      </c>
      <c r="BK39" s="132" t="n">
        <v>202</v>
      </c>
      <c r="BL39" s="133" t="n">
        <v>0.17</v>
      </c>
      <c r="BM39" s="133" t="n">
        <v>17.14</v>
      </c>
      <c r="BN39" s="133" t="n">
        <v>15302.77</v>
      </c>
      <c r="BO39" s="134" t="n">
        <v>2.7</v>
      </c>
      <c r="BP39" s="133" t="n">
        <v>152.99</v>
      </c>
      <c r="BQ39" s="134" t="n">
        <v>38.3</v>
      </c>
      <c r="BR39" s="133" t="n">
        <v>0.26</v>
      </c>
      <c r="BS39" s="134" t="n">
        <v>17.2</v>
      </c>
      <c r="BT39" s="134" t="n">
        <v>20.6</v>
      </c>
    </row>
    <row r="40" ht="30" customHeight="1">
      <c r="A40" s="50" t="inlineStr">
        <is>
          <t>SUD</t>
        </is>
      </c>
      <c r="B40" s="50" t="inlineStr">
        <is>
          <t>HAUTS CHAMPS/PETITES HAIES</t>
        </is>
      </c>
      <c r="C40" s="50" t="inlineStr">
        <is>
          <t>Hauts Champs</t>
        </is>
      </c>
      <c r="D40" s="132" t="n">
        <v>2227</v>
      </c>
      <c r="E40" s="132" t="n">
        <v>70</v>
      </c>
      <c r="F40" s="132" t="n">
        <v>156</v>
      </c>
      <c r="G40" s="132" t="n">
        <v>185</v>
      </c>
      <c r="H40" s="132" t="n">
        <v>204</v>
      </c>
      <c r="I40" s="132" t="n">
        <v>289</v>
      </c>
      <c r="J40" s="132" t="n">
        <v>424</v>
      </c>
      <c r="K40" s="132" t="n">
        <v>407</v>
      </c>
      <c r="L40" s="132" t="n">
        <v>227</v>
      </c>
      <c r="M40" s="132" t="n">
        <v>209</v>
      </c>
      <c r="N40" s="132" t="n">
        <v>57</v>
      </c>
      <c r="O40" s="132" t="n">
        <v>535</v>
      </c>
      <c r="P40" s="132" t="n">
        <v>705</v>
      </c>
      <c r="Q40" s="132" t="n">
        <v>1257</v>
      </c>
      <c r="R40" s="132" t="n">
        <v>266</v>
      </c>
      <c r="S40" s="132" t="n">
        <v>1045</v>
      </c>
      <c r="T40" s="132" t="n">
        <v>283</v>
      </c>
      <c r="U40" s="132" t="n">
        <v>361</v>
      </c>
      <c r="V40" s="132" t="n">
        <v>595</v>
      </c>
      <c r="W40" s="132" t="n">
        <v>89</v>
      </c>
      <c r="X40" s="132" t="n">
        <v>1183</v>
      </c>
      <c r="Y40" s="132" t="n">
        <v>252</v>
      </c>
      <c r="Z40" s="132" t="n">
        <v>344</v>
      </c>
      <c r="AA40" s="132" t="n">
        <v>662</v>
      </c>
      <c r="AB40" s="132" t="n">
        <v>177</v>
      </c>
      <c r="AC40" s="132" t="n">
        <v>1649</v>
      </c>
      <c r="AD40" s="132" t="n">
        <v>0</v>
      </c>
      <c r="AE40" s="132" t="n">
        <v>49</v>
      </c>
      <c r="AF40" s="132" t="n">
        <v>21</v>
      </c>
      <c r="AG40" s="132" t="n">
        <v>108</v>
      </c>
      <c r="AH40" s="132" t="n">
        <v>346</v>
      </c>
      <c r="AI40" s="132" t="n">
        <v>347</v>
      </c>
      <c r="AJ40" s="132" t="n">
        <v>312</v>
      </c>
      <c r="AK40" s="132" t="n">
        <v>466</v>
      </c>
      <c r="AL40" s="132" t="n">
        <v>760</v>
      </c>
      <c r="AM40" s="132" t="n">
        <v>0</v>
      </c>
      <c r="AN40" s="132" t="n">
        <v>40</v>
      </c>
      <c r="AO40" s="132" t="n">
        <v>8</v>
      </c>
      <c r="AP40" s="132" t="n">
        <v>35</v>
      </c>
      <c r="AQ40" s="132" t="n">
        <v>124</v>
      </c>
      <c r="AR40" s="132" t="n">
        <v>291</v>
      </c>
      <c r="AS40" s="132" t="n">
        <v>106</v>
      </c>
      <c r="AT40" s="132" t="n">
        <v>157</v>
      </c>
      <c r="AU40" s="132" t="n">
        <v>889</v>
      </c>
      <c r="AV40" s="132" t="n">
        <v>0</v>
      </c>
      <c r="AW40" s="132" t="n">
        <v>10</v>
      </c>
      <c r="AX40" s="132" t="n">
        <v>13</v>
      </c>
      <c r="AY40" s="132" t="n">
        <v>74</v>
      </c>
      <c r="AZ40" s="132" t="n">
        <v>222</v>
      </c>
      <c r="BA40" s="132" t="n">
        <v>56</v>
      </c>
      <c r="BB40" s="132" t="n">
        <v>206</v>
      </c>
      <c r="BC40" s="132" t="n">
        <v>309</v>
      </c>
      <c r="BD40" s="132" t="n">
        <v>1804</v>
      </c>
      <c r="BE40" s="132" t="n">
        <v>423</v>
      </c>
      <c r="BF40" s="132" t="n">
        <v>490</v>
      </c>
      <c r="BG40" s="132" t="n">
        <v>2171</v>
      </c>
      <c r="BH40" s="132" t="n">
        <v>56</v>
      </c>
      <c r="BI40" s="132" t="n">
        <v>368</v>
      </c>
      <c r="BJ40" s="132" t="n">
        <v>195</v>
      </c>
      <c r="BK40" s="132" t="n">
        <v>173</v>
      </c>
      <c r="BL40" s="133" t="n">
        <v>0.31</v>
      </c>
      <c r="BM40" s="133" t="n">
        <v>31.34</v>
      </c>
      <c r="BN40" s="133" t="n">
        <v>7107.07</v>
      </c>
      <c r="BO40" s="134" t="n">
        <v>2.3</v>
      </c>
      <c r="BP40" s="133" t="n">
        <v>71.06999999999999</v>
      </c>
      <c r="BQ40" s="134" t="n">
        <v>31.6</v>
      </c>
      <c r="BR40" s="133" t="n">
        <v>0.38</v>
      </c>
      <c r="BS40" s="134" t="n">
        <v>19</v>
      </c>
      <c r="BT40" s="134" t="n">
        <v>22</v>
      </c>
    </row>
  </sheetData>
  <mergeCells count="1">
    <mergeCell ref="A1:C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U40"/>
  <sheetViews>
    <sheetView topLeftCell="A1" workbookViewId="0">
      <pane xSplit="3" ySplit="2" topLeftCell="D3" activePane="bottomRight" state="frozen"/>
      <selection pane="topRight"/>
      <selection pane="bottomLeft"/>
      <selection pane="bottomRight" activeCell="H1" sqref="H1"/>
      <selection pane="bottomLeft" activeCell="A3" sqref="A3"/>
      <selection pane="bottomRight" activeCell="A1" sqref="A1"/>
    </sheetView>
  </sheetViews>
  <sheetFormatPr baseColWidth="10" defaultColWidth="9.140625" defaultRowHeight="15"/>
  <cols>
    <col width="13" customWidth="1" min="1" max="1"/>
    <col width="31" customWidth="1" min="2" max="2"/>
    <col width="26" customWidth="1" min="3" max="3"/>
    <col width="14" customWidth="1" min="4" max="4"/>
    <col width="14" customWidth="1" min="5" max="5"/>
    <col width="14" customWidth="1" min="6" max="6"/>
    <col width="14" customWidth="1" min="7" max="7"/>
    <col width="14" customWidth="1" min="8" max="11"/>
    <col width="14" customWidth="1" min="9" max="9"/>
    <col width="14" customWidth="1" min="10" max="10"/>
    <col width="14" customWidth="1" min="11" max="11"/>
    <col width="14" customWidth="1" min="12" max="15"/>
    <col width="14" customWidth="1" min="13" max="13"/>
    <col width="14" customWidth="1" min="14" max="14"/>
    <col width="14" customWidth="1" min="15" max="15"/>
    <col width="14" customWidth="1" min="16" max="19"/>
    <col width="14" customWidth="1" min="17" max="17"/>
    <col width="14" customWidth="1" min="18" max="18"/>
    <col width="14" customWidth="1" min="19" max="19"/>
    <col width="14" customWidth="1" min="20" max="23"/>
    <col width="14" customWidth="1" min="21" max="21"/>
    <col width="14" customWidth="1" min="22" max="22"/>
    <col width="14" customWidth="1" min="23" max="23"/>
    <col width="14" customWidth="1" min="24" max="27"/>
    <col width="14" customWidth="1" min="25" max="25"/>
    <col width="14" customWidth="1" min="26" max="26"/>
    <col width="14" customWidth="1" min="27" max="27"/>
    <col width="14" customWidth="1" min="28" max="31"/>
    <col width="14" customWidth="1" min="29" max="29"/>
    <col width="14" customWidth="1" min="30" max="30"/>
    <col width="14" customWidth="1" min="31" max="31"/>
    <col width="14" customWidth="1" min="32" max="35"/>
    <col width="14" customWidth="1" min="33" max="33"/>
    <col width="14" customWidth="1" min="34" max="34"/>
    <col width="14" customWidth="1" min="35" max="35"/>
    <col width="14" customWidth="1" min="36" max="39"/>
    <col width="14" customWidth="1" min="37" max="37"/>
    <col width="14" customWidth="1" min="38" max="38"/>
    <col width="14" customWidth="1" min="39" max="39"/>
    <col width="14" customWidth="1" min="40" max="42"/>
    <col width="14" customWidth="1" min="41" max="41"/>
    <col width="14" customWidth="1" min="42" max="42"/>
    <col width="14" customWidth="1" min="43" max="43"/>
    <col width="14" customWidth="1" min="44" max="44"/>
    <col width="15" customWidth="1" min="45" max="45"/>
    <col width="16" customWidth="1" min="46" max="46"/>
    <col width="14" customWidth="1" min="47" max="47"/>
    <col width="16" customWidth="1" min="48" max="48"/>
    <col width="17" customWidth="1" min="49" max="49"/>
    <col width="16" customWidth="1" min="50" max="50"/>
    <col width="18" customWidth="1" min="51" max="51"/>
    <col width="14" customWidth="1" min="52" max="52"/>
    <col width="14" customWidth="1" min="53" max="53"/>
    <col width="16" customWidth="1" min="54" max="54"/>
    <col width="20" customWidth="1" min="55" max="55"/>
    <col width="16" customWidth="1" min="56" max="56"/>
    <col width="18" customWidth="1" min="57" max="57"/>
    <col width="14" customWidth="1" min="58" max="58"/>
    <col width="14" customWidth="1" min="59" max="59"/>
    <col width="14" customWidth="1" min="60" max="60"/>
    <col width="15" customWidth="1" min="61" max="61"/>
    <col width="15" customWidth="1" min="62" max="62"/>
    <col width="14" customWidth="1" min="63" max="63"/>
    <col width="14" customWidth="1" min="64" max="64"/>
    <col width="14" customWidth="1" min="65" max="65"/>
    <col width="16" customWidth="1" min="66" max="66"/>
    <col width="16" customWidth="1" min="67" max="67"/>
    <col width="16" customWidth="1" min="68" max="68"/>
    <col width="14" customWidth="1" min="69" max="69"/>
    <col width="14" customWidth="1" min="70" max="70"/>
    <col width="14" customWidth="1" min="71" max="71"/>
    <col width="14" customWidth="1" min="72" max="72"/>
    <col width="16" customWidth="1" min="73" max="73"/>
    <col width="14" customWidth="1" min="74" max="74"/>
    <col width="21" customWidth="1" min="75" max="75"/>
    <col width="21" customWidth="1" min="76" max="76"/>
    <col width="22" customWidth="1" min="77" max="77"/>
    <col width="21" customWidth="1" min="78" max="78"/>
    <col width="21" customWidth="1" min="79" max="79"/>
    <col width="21" customWidth="1" min="80" max="80"/>
    <col width="19" customWidth="1" min="81" max="81"/>
    <col width="17" customWidth="1" min="82" max="82"/>
    <col width="14" customWidth="1" min="83" max="83"/>
    <col width="17" customWidth="1" min="84" max="84"/>
    <col width="14" customWidth="1" min="85" max="85"/>
    <col width="17" customWidth="1" min="86" max="86"/>
    <col width="14" customWidth="1" min="87" max="87"/>
    <col width="14" customWidth="1" min="88" max="88"/>
    <col width="18" customWidth="1" min="89" max="89"/>
    <col width="26" customWidth="1" min="90" max="90"/>
    <col width="14" customWidth="1" min="91" max="91"/>
    <col width="14" customWidth="1" min="92" max="92"/>
    <col width="14" customWidth="1" min="93" max="93"/>
    <col width="15" customWidth="1" min="94" max="94"/>
    <col width="19" customWidth="1" min="95" max="95"/>
    <col width="17" customWidth="1" min="96" max="96"/>
    <col width="19" customWidth="1" min="97" max="97"/>
    <col width="22" customWidth="1" min="98" max="98"/>
    <col width="23" customWidth="1" min="99" max="99"/>
    <col width="36.42578125" customWidth="1" min="100" max="100"/>
    <col width="26.85546875" customWidth="1" min="101" max="101"/>
    <col width="29.7109375" customWidth="1" min="102" max="102"/>
    <col width="35.28515625" customWidth="1" min="103" max="103"/>
    <col width="42.28515625" customWidth="1" min="104" max="104"/>
    <col width="39.7109375" customWidth="1" min="105" max="105"/>
    <col width="37.85546875" customWidth="1" min="106" max="106"/>
    <col width="41.140625" customWidth="1" min="107" max="107"/>
    <col width="49.42578125" customWidth="1" min="108" max="108"/>
    <col width="67.7109375" customWidth="1" min="109" max="109"/>
    <col width="65.28515625" customWidth="1" min="110" max="110"/>
    <col width="62.140625" customWidth="1" min="111" max="111"/>
    <col width="54.85546875" customWidth="1" min="112" max="112"/>
    <col width="56.42578125" customWidth="1" min="113" max="113"/>
    <col width="49.42578125" customWidth="1" min="114" max="114"/>
    <col width="47.5703125" customWidth="1" min="115" max="115"/>
    <col width="28.42578125" customWidth="1" min="116" max="116"/>
    <col width="43.140625" customWidth="1" min="117" max="117"/>
    <col width="31" customWidth="1" min="118" max="118"/>
    <col width="43.5703125" customWidth="1" min="119" max="119"/>
    <col width="18.7109375" customWidth="1" min="120" max="120"/>
    <col width="21.7109375" customWidth="1" min="121" max="121"/>
    <col width="42.42578125" customWidth="1" min="122" max="122"/>
    <col width="64.85546875" customWidth="1" min="123" max="123"/>
    <col width="27.42578125" customWidth="1" min="124" max="124"/>
    <col width="31.28515625" customWidth="1" min="125" max="126"/>
    <col width="38" customWidth="1" min="127" max="127"/>
    <col width="54" customWidth="1" min="128" max="128"/>
    <col width="37.42578125" customWidth="1" min="129" max="129"/>
    <col width="51" customWidth="1" min="130" max="130"/>
    <col width="58.7109375" customWidth="1" min="131" max="131"/>
    <col width="63.5703125" customWidth="1" min="132" max="132"/>
  </cols>
  <sheetData>
    <row r="1" ht="21" customHeight="1">
      <c r="A1" s="124" t="inlineStr">
        <is>
          <t>Données infra-communales - Activité des résidents</t>
        </is>
      </c>
      <c r="B1" s="125" t="n"/>
      <c r="C1" s="126" t="n"/>
      <c r="D1" s="127">
        <f>SUBTOTAL(9,D3:D40)</f>
        <v/>
      </c>
      <c r="E1" s="127">
        <f>SUBTOTAL(9,E3:E40)</f>
        <v/>
      </c>
      <c r="F1" s="127">
        <f>SUBTOTAL(9,F3:F40)</f>
        <v/>
      </c>
      <c r="G1" s="127">
        <f>SUBTOTAL(9,G3:G40)</f>
        <v/>
      </c>
      <c r="H1" s="127">
        <f>SUBTOTAL(9,H3:H40)</f>
        <v/>
      </c>
      <c r="I1" s="127">
        <f>SUBTOTAL(9,I3:I40)</f>
        <v/>
      </c>
      <c r="J1" s="127">
        <f>SUBTOTAL(9,J3:J40)</f>
        <v/>
      </c>
      <c r="K1" s="127">
        <f>SUBTOTAL(9,K3:K40)</f>
        <v/>
      </c>
      <c r="L1" s="127">
        <f>SUBTOTAL(9,L3:L40)</f>
        <v/>
      </c>
      <c r="M1" s="127">
        <f>SUBTOTAL(9,M3:M40)</f>
        <v/>
      </c>
      <c r="N1" s="127">
        <f>SUBTOTAL(9,N3:N40)</f>
        <v/>
      </c>
      <c r="O1" s="127">
        <f>SUBTOTAL(9,O3:O40)</f>
        <v/>
      </c>
      <c r="P1" s="127">
        <f>SUBTOTAL(9,P3:P40)</f>
        <v/>
      </c>
      <c r="Q1" s="127">
        <f>SUBTOTAL(9,Q3:Q40)</f>
        <v/>
      </c>
      <c r="R1" s="127">
        <f>SUBTOTAL(9,R3:R40)</f>
        <v/>
      </c>
      <c r="S1" s="127">
        <f>SUBTOTAL(9,S3:S40)</f>
        <v/>
      </c>
      <c r="T1" s="127">
        <f>SUBTOTAL(9,T3:T40)</f>
        <v/>
      </c>
      <c r="U1" s="127">
        <f>SUBTOTAL(9,U3:U40)</f>
        <v/>
      </c>
      <c r="V1" s="127">
        <f>SUBTOTAL(9,V3:V40)</f>
        <v/>
      </c>
      <c r="W1" s="127">
        <f>SUBTOTAL(9,W3:W40)</f>
        <v/>
      </c>
      <c r="X1" s="127">
        <f>SUBTOTAL(9,X3:X40)</f>
        <v/>
      </c>
      <c r="Y1" s="127">
        <f>SUBTOTAL(9,Y3:Y40)</f>
        <v/>
      </c>
      <c r="Z1" s="127">
        <f>SUBTOTAL(9,Z3:Z40)</f>
        <v/>
      </c>
      <c r="AA1" s="127">
        <f>SUBTOTAL(9,AA3:AA40)</f>
        <v/>
      </c>
      <c r="AB1" s="127">
        <f>SUBTOTAL(9,AB3:AB40)</f>
        <v/>
      </c>
      <c r="AC1" s="127">
        <f>SUBTOTAL(9,AC3:AC40)</f>
        <v/>
      </c>
      <c r="AD1" s="127">
        <f>SUBTOTAL(9,AD3:AD40)</f>
        <v/>
      </c>
      <c r="AE1" s="127">
        <f>SUBTOTAL(9,AE3:AE40)</f>
        <v/>
      </c>
      <c r="AF1" s="127">
        <f>SUBTOTAL(9,AF3:AF40)</f>
        <v/>
      </c>
      <c r="AG1" s="127">
        <f>SUBTOTAL(9,AG3:AG40)</f>
        <v/>
      </c>
      <c r="AH1" s="127">
        <f>SUBTOTAL(9,AH3:AH40)</f>
        <v/>
      </c>
      <c r="AI1" s="127">
        <f>SUBTOTAL(9,AI3:AI40)</f>
        <v/>
      </c>
      <c r="AJ1" s="127">
        <f>SUBTOTAL(9,AJ3:AJ40)</f>
        <v/>
      </c>
      <c r="AK1" s="127">
        <f>SUBTOTAL(9,AK3:AK40)</f>
        <v/>
      </c>
      <c r="AL1" s="127">
        <f>SUBTOTAL(9,AL3:AL40)</f>
        <v/>
      </c>
      <c r="AM1" s="127">
        <f>SUBTOTAL(9,AM3:AM40)</f>
        <v/>
      </c>
      <c r="AN1" s="127">
        <f>SUBTOTAL(9,AN3:AN40)</f>
        <v/>
      </c>
      <c r="AO1" s="127">
        <f>SUBTOTAL(9,AO3:AO40)</f>
        <v/>
      </c>
      <c r="AP1" s="127">
        <f>SUBTOTAL(9,AP3:AP40)</f>
        <v/>
      </c>
      <c r="AQ1" s="127">
        <f>SUBTOTAL(9,AQ3:AQ40)</f>
        <v/>
      </c>
      <c r="AR1" s="127">
        <f>SUBTOTAL(9,AR3:AR40)</f>
        <v/>
      </c>
      <c r="AS1" s="127">
        <f>SUBTOTAL(9,AS3:AS40)</f>
        <v/>
      </c>
      <c r="AT1" s="127">
        <f>SUBTOTAL(9,AT3:AT40)</f>
        <v/>
      </c>
      <c r="AU1" s="127">
        <f>SUBTOTAL(9,AU3:AU40)</f>
        <v/>
      </c>
      <c r="AV1" s="127">
        <f>SUBTOTAL(9,AV3:AV40)</f>
        <v/>
      </c>
      <c r="AW1" s="127">
        <f>SUBTOTAL(9,AW3:AW40)</f>
        <v/>
      </c>
      <c r="AX1" s="127">
        <f>SUBTOTAL(9,AX3:AX40)</f>
        <v/>
      </c>
      <c r="AY1" s="127">
        <f>SUBTOTAL(9,AY3:AY40)</f>
        <v/>
      </c>
      <c r="AZ1" s="127">
        <f>SUBTOTAL(9,AZ3:AZ40)</f>
        <v/>
      </c>
      <c r="BA1" s="127">
        <f>SUBTOTAL(9,BA3:BA40)</f>
        <v/>
      </c>
      <c r="BB1" s="127">
        <f>SUBTOTAL(9,BB3:BB40)</f>
        <v/>
      </c>
      <c r="BC1" s="127">
        <f>SUBTOTAL(9,BC3:BC40)</f>
        <v/>
      </c>
      <c r="BD1" s="127">
        <f>SUBTOTAL(9,BD3:BD40)</f>
        <v/>
      </c>
      <c r="BE1" s="127">
        <f>SUBTOTAL(9,BE3:BE40)</f>
        <v/>
      </c>
      <c r="BF1" s="127">
        <f>SUBTOTAL(9,BF3:BF40)</f>
        <v/>
      </c>
      <c r="BG1" s="127">
        <f>SUBTOTAL(9,BG3:BG40)</f>
        <v/>
      </c>
      <c r="BH1" s="127">
        <f>SUBTOTAL(9,BH3:BH40)</f>
        <v/>
      </c>
      <c r="BI1" s="127">
        <f>SUBTOTAL(9,BI3:BI40)</f>
        <v/>
      </c>
      <c r="BJ1" s="127">
        <f>SUBTOTAL(9,BJ3:BJ40)</f>
        <v/>
      </c>
      <c r="BK1" s="127">
        <f>SUBTOTAL(9,BK3:BK40)</f>
        <v/>
      </c>
      <c r="BL1" s="127">
        <f>SUBTOTAL(9,BL3:BL40)</f>
        <v/>
      </c>
      <c r="BM1" s="127">
        <f>SUBTOTAL(9,BM3:BM40)</f>
        <v/>
      </c>
      <c r="BN1" s="127">
        <f>SUBTOTAL(9,BN3:BN40)</f>
        <v/>
      </c>
      <c r="BO1" s="127">
        <f>SUBTOTAL(9,BO3:BO40)</f>
        <v/>
      </c>
      <c r="BP1" s="127">
        <f>SUBTOTAL(9,BP3:BP40)</f>
        <v/>
      </c>
      <c r="BQ1" s="127">
        <f>SUBTOTAL(9,BQ3:BQ40)</f>
        <v/>
      </c>
      <c r="BR1" s="127">
        <f>SUBTOTAL(9,BR3:BR40)</f>
        <v/>
      </c>
      <c r="BS1" s="127">
        <f>SUBTOTAL(9,BS3:BS40)</f>
        <v/>
      </c>
      <c r="BT1" s="127">
        <f>SUBTOTAL(9,BT3:BT40)</f>
        <v/>
      </c>
      <c r="BU1" s="127">
        <f>SUBTOTAL(9,BU3:BU40)</f>
        <v/>
      </c>
      <c r="BV1" s="127">
        <f>SUBTOTAL(9,BV3:BV40)</f>
        <v/>
      </c>
      <c r="BW1" s="127">
        <f>SUBTOTAL(9,BW3:BW40)</f>
        <v/>
      </c>
      <c r="BX1" s="127">
        <f>SUBTOTAL(9,BX3:BX40)</f>
        <v/>
      </c>
      <c r="BY1" s="127">
        <f>SUBTOTAL(9,BY3:BY40)</f>
        <v/>
      </c>
      <c r="BZ1" s="127">
        <f>SUBTOTAL(9,BZ3:BZ40)</f>
        <v/>
      </c>
      <c r="CA1" s="127">
        <f>SUBTOTAL(9,CA3:CA40)</f>
        <v/>
      </c>
      <c r="CB1" s="127">
        <f>SUBTOTAL(9,CB3:CB40)</f>
        <v/>
      </c>
      <c r="CC1" s="127">
        <f>SUBTOTAL(9,CC3:CC40)</f>
        <v/>
      </c>
      <c r="CD1" s="127">
        <f>SUBTOTAL(9,CD3:CD40)</f>
        <v/>
      </c>
      <c r="CE1" s="127">
        <f>SUBTOTAL(9,CE3:CE40)</f>
        <v/>
      </c>
      <c r="CF1" s="127">
        <f>SUBTOTAL(9,CF3:CF40)</f>
        <v/>
      </c>
      <c r="CG1" s="127">
        <f>SUBTOTAL(9,CG3:CG40)</f>
        <v/>
      </c>
      <c r="CH1" s="127">
        <f>SUBTOTAL(9,CH3:CH40)</f>
        <v/>
      </c>
      <c r="CI1" s="128">
        <f>SUBTOTAL(9,CI3:CI40)</f>
        <v/>
      </c>
      <c r="CJ1" s="127">
        <f>SUBTOTAL(9,CJ3:CJ40)</f>
        <v/>
      </c>
      <c r="CK1" s="129" t="n"/>
      <c r="CL1" s="129" t="n"/>
      <c r="CM1" s="129" t="n"/>
      <c r="CN1" s="129" t="n"/>
      <c r="CO1" s="129" t="n"/>
      <c r="CP1" s="129" t="n"/>
      <c r="CQ1" s="129" t="n"/>
      <c r="CR1" s="129" t="n"/>
      <c r="CS1" s="129" t="n"/>
      <c r="CT1" s="129" t="n"/>
      <c r="CU1" s="129" t="n"/>
    </row>
    <row r="2" ht="70" customHeight="1">
      <c r="A2" s="45" t="inlineStr">
        <is>
          <t>Mairies de quartiers</t>
        </is>
      </c>
      <c r="B2" s="45" t="inlineStr">
        <is>
          <t>Grands quartiers</t>
        </is>
      </c>
      <c r="C2" s="45" t="inlineStr">
        <is>
          <t>Libellé de l'Iris</t>
        </is>
      </c>
      <c r="D2" s="46" t="inlineStr">
        <is>
          <t>Pop 15-64 ans</t>
        </is>
      </c>
      <c r="E2" s="46" t="inlineStr">
        <is>
          <t>Pop 15-24 ans</t>
        </is>
      </c>
      <c r="F2" s="46" t="inlineStr">
        <is>
          <t>Pop 25-54 ans</t>
        </is>
      </c>
      <c r="G2" s="46" t="inlineStr">
        <is>
          <t>Pop 55-64 ans</t>
        </is>
      </c>
      <c r="H2" s="46" t="inlineStr">
        <is>
          <t>Pop 15-64 ans Hommes</t>
        </is>
      </c>
      <c r="I2" s="46" t="inlineStr">
        <is>
          <t>Pop 15-24 ans Hommes</t>
        </is>
      </c>
      <c r="J2" s="46" t="inlineStr">
        <is>
          <t>Pop 25-54 ans Hommes</t>
        </is>
      </c>
      <c r="K2" s="46" t="inlineStr">
        <is>
          <t>Pop 55-64 ans Hommes</t>
        </is>
      </c>
      <c r="L2" s="46" t="inlineStr">
        <is>
          <t>Pop 15-64 ans Femmes</t>
        </is>
      </c>
      <c r="M2" s="46" t="inlineStr">
        <is>
          <t>Pop 15-24 ans Femmes</t>
        </is>
      </c>
      <c r="N2" s="46" t="inlineStr">
        <is>
          <t>Pop 25-54 ans Femmes</t>
        </is>
      </c>
      <c r="O2" s="46" t="inlineStr">
        <is>
          <t>Pop 55-64 ans Femmes</t>
        </is>
      </c>
      <c r="P2" s="46" t="inlineStr">
        <is>
          <t>Actifs 15-64 ans</t>
        </is>
      </c>
      <c r="Q2" s="46" t="inlineStr">
        <is>
          <t>Actifs 15-24 ans</t>
        </is>
      </c>
      <c r="R2" s="46" t="inlineStr">
        <is>
          <t>Actifs 25-54 ans</t>
        </is>
      </c>
      <c r="S2" s="46" t="inlineStr">
        <is>
          <t>Actifs 55-64 ans</t>
        </is>
      </c>
      <c r="T2" s="46" t="inlineStr">
        <is>
          <t>Actifs 15-64 ans Hommes</t>
        </is>
      </c>
      <c r="U2" s="46" t="inlineStr">
        <is>
          <t>Actifs 15-24 ans Hommes</t>
        </is>
      </c>
      <c r="V2" s="46" t="inlineStr">
        <is>
          <t>Actifs 25-54 ans Hommes</t>
        </is>
      </c>
      <c r="W2" s="46" t="inlineStr">
        <is>
          <t>Actifs 55-64 ans Hommes</t>
        </is>
      </c>
      <c r="X2" s="46" t="inlineStr">
        <is>
          <t>Actifs 15-64 ans Femmes</t>
        </is>
      </c>
      <c r="Y2" s="46" t="inlineStr">
        <is>
          <t>Actifs 15-24 ans Femmes</t>
        </is>
      </c>
      <c r="Z2" s="46" t="inlineStr">
        <is>
          <t>Actifs 25-54 ans Femmes</t>
        </is>
      </c>
      <c r="AA2" s="46" t="inlineStr">
        <is>
          <t>Actifs 55-64 ans Femmes</t>
        </is>
      </c>
      <c r="AB2" s="46" t="inlineStr">
        <is>
          <t>Actifs occupés 15-64 ans</t>
        </is>
      </c>
      <c r="AC2" s="46" t="inlineStr">
        <is>
          <t>Actifs occupés 15-24 ans</t>
        </is>
      </c>
      <c r="AD2" s="46" t="inlineStr">
        <is>
          <t>Actifs occupés 25-54 ans</t>
        </is>
      </c>
      <c r="AE2" s="46" t="inlineStr">
        <is>
          <t>Actifs occupés 55-64 ans</t>
        </is>
      </c>
      <c r="AF2" s="46" t="inlineStr">
        <is>
          <t>Actifs occupés 15-64 ans Hommes</t>
        </is>
      </c>
      <c r="AG2" s="46" t="inlineStr">
        <is>
          <t>Actifs occupés 15-24 ans Hommes</t>
        </is>
      </c>
      <c r="AH2" s="46" t="inlineStr">
        <is>
          <t>Actifs occupés 25-54 ans Hommes</t>
        </is>
      </c>
      <c r="AI2" s="46" t="inlineStr">
        <is>
          <t>Actifs occupés 55-64 ans Hommes</t>
        </is>
      </c>
      <c r="AJ2" s="46" t="inlineStr">
        <is>
          <t>Actifs occupés 15-64 ans Femmes</t>
        </is>
      </c>
      <c r="AK2" s="46" t="inlineStr">
        <is>
          <t>Actifs occupés 15-24 ans Femmes</t>
        </is>
      </c>
      <c r="AL2" s="46" t="inlineStr">
        <is>
          <t>Actifs occupés 25-54 ans Femmes</t>
        </is>
      </c>
      <c r="AM2" s="46" t="inlineStr">
        <is>
          <t>Actifs occupés 55-64 ans Femmes</t>
        </is>
      </c>
      <c r="AN2" s="46" t="inlineStr">
        <is>
          <t>Chômeurs 15-64 ans</t>
        </is>
      </c>
      <c r="AO2" s="46" t="inlineStr">
        <is>
          <t>Chômeurs 15-24 ans</t>
        </is>
      </c>
      <c r="AP2" s="46" t="inlineStr">
        <is>
          <t>Chômeurs 25-54 ans</t>
        </is>
      </c>
      <c r="AQ2" s="46" t="inlineStr">
        <is>
          <t>Chômeurs 55-64 ans</t>
        </is>
      </c>
      <c r="AR2" s="46" t="inlineStr">
        <is>
          <t>Inactifs 15-64 ans</t>
        </is>
      </c>
      <c r="AS2" s="46" t="inlineStr">
        <is>
          <t>Elèv. Etud. Stag. non rémunérés 15-64 ans</t>
        </is>
      </c>
      <c r="AT2" s="46" t="inlineStr">
        <is>
          <t>Retraités Préretraités 15-64 ans</t>
        </is>
      </c>
      <c r="AU2" s="46" t="inlineStr">
        <is>
          <t>Autres inactifs 15-64 ans</t>
        </is>
      </c>
      <c r="AV2" s="46" t="inlineStr">
        <is>
          <t>Actifs 15-64 ans Agriculteurs exploitants</t>
        </is>
      </c>
      <c r="AW2" s="46" t="inlineStr">
        <is>
          <t>Actifs 15-64 ans Artisans, Comm., Chefs entr.</t>
        </is>
      </c>
      <c r="AX2" s="46" t="inlineStr">
        <is>
          <t>Actifs 15-64 ans Cadres, Prof. intel. sup.</t>
        </is>
      </c>
      <c r="AY2" s="46" t="inlineStr">
        <is>
          <t>Actifs 15-64 ans Prof. intermédiaires</t>
        </is>
      </c>
      <c r="AZ2" s="46" t="inlineStr">
        <is>
          <t>Actifs 15-64 ans Employés</t>
        </is>
      </c>
      <c r="BA2" s="46" t="inlineStr">
        <is>
          <t>Actifs 15-64 ans Ouvriers</t>
        </is>
      </c>
      <c r="BB2" s="46" t="inlineStr">
        <is>
          <t>Actifs occ 15-64 ans Agriculteurs exploitants</t>
        </is>
      </c>
      <c r="BC2" s="46" t="inlineStr">
        <is>
          <t>Actifs occ 15-64 ans Artisans, Comm., Chefs entr.</t>
        </is>
      </c>
      <c r="BD2" s="46" t="inlineStr">
        <is>
          <t>Actifs occ 15-64 ans Cadres Prof. intel. sup.</t>
        </is>
      </c>
      <c r="BE2" s="46" t="inlineStr">
        <is>
          <t>Actifs occ 15-64 ans Prof. intermédiaires</t>
        </is>
      </c>
      <c r="BF2" s="46" t="inlineStr">
        <is>
          <t>Actifs occupés 15-64 ans Employés</t>
        </is>
      </c>
      <c r="BG2" s="46" t="inlineStr">
        <is>
          <t>Actifs occupés 15-64 ans Ouvriers</t>
        </is>
      </c>
      <c r="BH2" s="46" t="inlineStr">
        <is>
          <t>Actifs occupés 15 ans ou plus</t>
        </is>
      </c>
      <c r="BI2" s="46" t="inlineStr">
        <is>
          <t>Actifs occupés 15 ans ou plus Hommes</t>
        </is>
      </c>
      <c r="BJ2" s="46" t="inlineStr">
        <is>
          <t>Actifs occupés 15 ans ou plus Femmes</t>
        </is>
      </c>
      <c r="BK2" s="46" t="inlineStr">
        <is>
          <t>Salariés 15 ans ou plus</t>
        </is>
      </c>
      <c r="BL2" s="46" t="inlineStr">
        <is>
          <t>Salariés 15 ans ou plus Hommes</t>
        </is>
      </c>
      <c r="BM2" s="46" t="inlineStr">
        <is>
          <t>Salariés 15 ans ou plus Femmes</t>
        </is>
      </c>
      <c r="BN2" s="46" t="inlineStr">
        <is>
          <t>Non-salariés 15 ans ou plus</t>
        </is>
      </c>
      <c r="BO2" s="46" t="inlineStr">
        <is>
          <t>Non-salariés 15 ans ou plus Hommes</t>
        </is>
      </c>
      <c r="BP2" s="46" t="inlineStr">
        <is>
          <t>Non-salariés 15 ans ou plus Femmes</t>
        </is>
      </c>
      <c r="BQ2" s="46" t="inlineStr">
        <is>
          <t>Actifs occ 15 ans ou plus TP</t>
        </is>
      </c>
      <c r="BR2" s="46" t="inlineStr">
        <is>
          <t>Salariés 15 ans ou plus TP</t>
        </is>
      </c>
      <c r="BS2" s="46" t="inlineStr">
        <is>
          <t>Salariés 15 ans ou plus TP Hommes</t>
        </is>
      </c>
      <c r="BT2" s="46" t="inlineStr">
        <is>
          <t>Salariés 15 ans ou plus TP Femmes</t>
        </is>
      </c>
      <c r="BU2" s="46" t="inlineStr">
        <is>
          <t>Non-salariés 15 ans ou plus TP</t>
        </is>
      </c>
      <c r="BV2" s="46" t="inlineStr">
        <is>
          <t>Salariés 15 ans ou plus Fonct publ, CDI</t>
        </is>
      </c>
      <c r="BW2" s="46" t="inlineStr">
        <is>
          <t>Actif occ 15 ans ou plus travaille commune résidence</t>
        </is>
      </c>
      <c r="BX2" s="46" t="inlineStr">
        <is>
          <t>Actif occ 15 ans ou plus travaille autre commune que commune résidence</t>
        </is>
      </c>
      <c r="BY2" s="46" t="inlineStr">
        <is>
          <t>Actif occ 15 ans ou plus travaille autre commune même dépt résidence</t>
        </is>
      </c>
      <c r="BZ2" s="46" t="inlineStr">
        <is>
          <t>Actif occ 15 ans ou plus travaille autre dépt même région résidence</t>
        </is>
      </c>
      <c r="CA2" s="46" t="inlineStr">
        <is>
          <t>Actif occ 15 ans ou plus travaille autre région en métropole</t>
        </is>
      </c>
      <c r="CB2" s="46" t="inlineStr">
        <is>
          <t>Actif occ 15 ans ou plus travaille autre région hors métropole</t>
        </is>
      </c>
      <c r="CC2" s="46" t="inlineStr">
        <is>
          <t>Actifs occ 15 ans ou plus pas de transport pour travail</t>
        </is>
      </c>
      <c r="CD2" s="46" t="inlineStr">
        <is>
          <t>Actifs occ 15 ans ou plus marche à pied pour travail</t>
        </is>
      </c>
      <c r="CE2" s="46" t="inlineStr">
        <is>
          <t>Actifs occ 15 ans ou plus vélo</t>
        </is>
      </c>
      <c r="CF2" s="46" t="inlineStr">
        <is>
          <t>Actifs occ 15 ans ou plus deux-roues motorisé</t>
        </is>
      </c>
      <c r="CG2" s="46" t="inlineStr">
        <is>
          <t>Actifs occ 15 ans ou plus voiture</t>
        </is>
      </c>
      <c r="CH2" s="46" t="inlineStr">
        <is>
          <t>Actifs occ 15 ans ou plus transport en commun</t>
        </is>
      </c>
      <c r="CI2" s="47" t="inlineStr">
        <is>
          <t>Superficie en km²</t>
        </is>
      </c>
      <c r="CJ2" s="47" t="inlineStr">
        <is>
          <t>Population (ACT RES)</t>
        </is>
      </c>
      <c r="CK2" s="130" t="inlineStr">
        <is>
          <t>Part de la population en âge de travailler (%)</t>
        </is>
      </c>
      <c r="CL2" s="130" t="inlineStr">
        <is>
          <t>Part de la population active dans la population en âge de travailler (%)</t>
        </is>
      </c>
      <c r="CM2" s="130" t="inlineStr">
        <is>
          <t>Part des actifs 15-24 ans (%)</t>
        </is>
      </c>
      <c r="CN2" s="130" t="inlineStr">
        <is>
          <t>Taux d’emploi des 15-64 ans (%)</t>
        </is>
      </c>
      <c r="CO2" s="130" t="inlineStr">
        <is>
          <t>Taux d’emploi des 15-24 ans (%)</t>
        </is>
      </c>
      <c r="CP2" s="130" t="inlineStr">
        <is>
          <t>Taux de chômage dans la pop active (%)</t>
        </is>
      </c>
      <c r="CQ2" s="130" t="inlineStr">
        <is>
          <t>Taux de chômage chez les 15-24 ans dans la pop active (%)</t>
        </is>
      </c>
      <c r="CR2" s="130" t="inlineStr">
        <is>
          <t>Part salariés chez les actifs occupés (%)</t>
        </is>
      </c>
      <c r="CS2" s="130" t="inlineStr">
        <is>
          <t>Part des femmes chez les salariés de 15 ans et plus (%)</t>
        </is>
      </c>
      <c r="CT2" s="130" t="inlineStr">
        <is>
          <t>Part des actifs occupés salariés en CDI ou fonction publique (%)</t>
        </is>
      </c>
      <c r="CU2" s="131" t="inlineStr">
        <is>
          <t>Part des actifs occupés travaillant dans la commune de résidence (%)</t>
        </is>
      </c>
    </row>
    <row r="3" ht="30" customHeight="1">
      <c r="A3" s="3" t="inlineStr">
        <is>
          <t>OUEST</t>
        </is>
      </c>
      <c r="B3" s="3" t="inlineStr">
        <is>
          <t>FRESNOY MACKELLERIE</t>
        </is>
      </c>
      <c r="C3" s="3" t="inlineStr">
        <is>
          <t>Mackellerie</t>
        </is>
      </c>
      <c r="D3" s="135" t="n">
        <v>1547</v>
      </c>
      <c r="E3" s="135" t="n">
        <v>373</v>
      </c>
      <c r="F3" s="135" t="n">
        <v>953</v>
      </c>
      <c r="G3" s="135" t="n">
        <v>221</v>
      </c>
      <c r="H3" s="135" t="n">
        <v>750</v>
      </c>
      <c r="I3" s="135" t="n">
        <v>166</v>
      </c>
      <c r="J3" s="135" t="n">
        <v>476</v>
      </c>
      <c r="K3" s="135" t="n">
        <v>108</v>
      </c>
      <c r="L3" s="135" t="n">
        <v>796</v>
      </c>
      <c r="M3" s="135" t="n">
        <v>207</v>
      </c>
      <c r="N3" s="135" t="n">
        <v>476</v>
      </c>
      <c r="O3" s="135" t="n">
        <v>113</v>
      </c>
      <c r="P3" s="135" t="n">
        <v>973</v>
      </c>
      <c r="Q3" s="135" t="n">
        <v>156</v>
      </c>
      <c r="R3" s="135" t="n">
        <v>718</v>
      </c>
      <c r="S3" s="135" t="n">
        <v>99</v>
      </c>
      <c r="T3" s="135" t="n">
        <v>507</v>
      </c>
      <c r="U3" s="135" t="n">
        <v>67</v>
      </c>
      <c r="V3" s="135" t="n">
        <v>393</v>
      </c>
      <c r="W3" s="135" t="n">
        <v>47</v>
      </c>
      <c r="X3" s="135" t="n">
        <v>465</v>
      </c>
      <c r="Y3" s="135" t="n">
        <v>89</v>
      </c>
      <c r="Z3" s="135" t="n">
        <v>325</v>
      </c>
      <c r="AA3" s="135" t="n">
        <v>51</v>
      </c>
      <c r="AB3" s="135" t="n">
        <v>686</v>
      </c>
      <c r="AC3" s="135" t="n">
        <v>70</v>
      </c>
      <c r="AD3" s="135" t="n">
        <v>533</v>
      </c>
      <c r="AE3" s="135" t="n">
        <v>83</v>
      </c>
      <c r="AF3" s="135" t="n">
        <v>368</v>
      </c>
      <c r="AG3" s="135" t="n">
        <v>25</v>
      </c>
      <c r="AH3" s="135" t="n">
        <v>308</v>
      </c>
      <c r="AI3" s="135" t="n">
        <v>35</v>
      </c>
      <c r="AJ3" s="135" t="n">
        <v>318</v>
      </c>
      <c r="AK3" s="135" t="n">
        <v>45</v>
      </c>
      <c r="AL3" s="135" t="n">
        <v>225</v>
      </c>
      <c r="AM3" s="135" t="n">
        <v>48</v>
      </c>
      <c r="AN3" s="135" t="n">
        <v>286</v>
      </c>
      <c r="AO3" s="135" t="n">
        <v>86</v>
      </c>
      <c r="AP3" s="135" t="n">
        <v>185</v>
      </c>
      <c r="AQ3" s="135" t="n">
        <v>15</v>
      </c>
      <c r="AR3" s="135" t="n">
        <v>574</v>
      </c>
      <c r="AS3" s="135" t="n">
        <v>215</v>
      </c>
      <c r="AT3" s="135" t="n">
        <v>55</v>
      </c>
      <c r="AU3" s="135" t="n">
        <v>304</v>
      </c>
      <c r="AV3" s="135" t="n">
        <v>0</v>
      </c>
      <c r="AW3" s="135" t="n">
        <v>32</v>
      </c>
      <c r="AX3" s="135" t="n">
        <v>87</v>
      </c>
      <c r="AY3" s="135" t="n">
        <v>171</v>
      </c>
      <c r="AZ3" s="135" t="n">
        <v>366</v>
      </c>
      <c r="BA3" s="135" t="n">
        <v>332</v>
      </c>
      <c r="BB3" s="135" t="n">
        <v>0</v>
      </c>
      <c r="BC3" s="135" t="n">
        <v>24</v>
      </c>
      <c r="BD3" s="135" t="n">
        <v>87</v>
      </c>
      <c r="BE3" s="135" t="n">
        <v>166</v>
      </c>
      <c r="BF3" s="135" t="n">
        <v>259</v>
      </c>
      <c r="BG3" s="135" t="n">
        <v>220</v>
      </c>
      <c r="BH3" s="135" t="n">
        <v>696</v>
      </c>
      <c r="BI3" s="135" t="n">
        <v>375</v>
      </c>
      <c r="BJ3" s="135" t="n">
        <v>322</v>
      </c>
      <c r="BK3" s="135" t="n">
        <v>640</v>
      </c>
      <c r="BL3" s="135" t="n">
        <v>343</v>
      </c>
      <c r="BM3" s="135" t="n">
        <v>297</v>
      </c>
      <c r="BN3" s="135" t="n">
        <v>57</v>
      </c>
      <c r="BO3" s="135" t="n">
        <v>32</v>
      </c>
      <c r="BP3" s="135" t="n">
        <v>25</v>
      </c>
      <c r="BQ3" s="135" t="n">
        <v>133</v>
      </c>
      <c r="BR3" s="135" t="n">
        <v>120</v>
      </c>
      <c r="BS3" s="135" t="n">
        <v>47</v>
      </c>
      <c r="BT3" s="135" t="n">
        <v>73</v>
      </c>
      <c r="BU3" s="135" t="n">
        <v>12</v>
      </c>
      <c r="BV3" s="135" t="n">
        <v>495</v>
      </c>
      <c r="BW3" s="135" t="n">
        <v>217</v>
      </c>
      <c r="BX3" s="135" t="n">
        <v>480</v>
      </c>
      <c r="BY3" s="135" t="n">
        <v>453</v>
      </c>
      <c r="BZ3" s="135" t="n">
        <v>10</v>
      </c>
      <c r="CA3" s="135" t="n">
        <v>7</v>
      </c>
      <c r="CB3" s="135" t="n">
        <v>10</v>
      </c>
      <c r="CC3" s="135" t="n">
        <v>15</v>
      </c>
      <c r="CD3" s="135" t="n">
        <v>62</v>
      </c>
      <c r="CE3" s="135" t="n">
        <v>20</v>
      </c>
      <c r="CF3" s="135" t="n">
        <v>16</v>
      </c>
      <c r="CG3" s="135" t="n">
        <v>383</v>
      </c>
      <c r="CH3" s="135" t="n">
        <v>200</v>
      </c>
      <c r="CI3" s="136" t="n">
        <v>0.32</v>
      </c>
      <c r="CJ3" s="135" t="n">
        <v>2501</v>
      </c>
      <c r="CK3" s="137" t="n">
        <v>61.8</v>
      </c>
      <c r="CL3" s="137" t="n">
        <v>62.9</v>
      </c>
      <c r="CM3" s="137" t="n">
        <v>41.8</v>
      </c>
      <c r="CN3" s="137" t="n">
        <v>44.4</v>
      </c>
      <c r="CO3" s="137" t="n">
        <v>18.6</v>
      </c>
      <c r="CP3" s="137" t="n">
        <v>29.5</v>
      </c>
      <c r="CQ3" s="137" t="n">
        <v>55.4</v>
      </c>
      <c r="CR3" s="137" t="n">
        <v>91.90000000000001</v>
      </c>
      <c r="CS3" s="137" t="n">
        <v>46.4</v>
      </c>
      <c r="CT3" s="137" t="n">
        <v>77.5</v>
      </c>
      <c r="CU3" s="138" t="n">
        <v>31.1</v>
      </c>
    </row>
    <row r="4" ht="30" customHeight="1">
      <c r="A4" s="3" t="inlineStr">
        <is>
          <t>OUEST</t>
        </is>
      </c>
      <c r="B4" s="3" t="inlineStr">
        <is>
          <t>ARMENTIERES</t>
        </is>
      </c>
      <c r="C4" s="3" t="inlineStr">
        <is>
          <t>Fresnoy</t>
        </is>
      </c>
      <c r="D4" s="135" t="n">
        <v>2996</v>
      </c>
      <c r="E4" s="135" t="n">
        <v>978</v>
      </c>
      <c r="F4" s="135" t="n">
        <v>1615</v>
      </c>
      <c r="G4" s="135" t="n">
        <v>403</v>
      </c>
      <c r="H4" s="135" t="n">
        <v>1463</v>
      </c>
      <c r="I4" s="135" t="n">
        <v>423</v>
      </c>
      <c r="J4" s="135" t="n">
        <v>805</v>
      </c>
      <c r="K4" s="135" t="n">
        <v>235</v>
      </c>
      <c r="L4" s="135" t="n">
        <v>1533</v>
      </c>
      <c r="M4" s="135" t="n">
        <v>555</v>
      </c>
      <c r="N4" s="135" t="n">
        <v>811</v>
      </c>
      <c r="O4" s="135" t="n">
        <v>168</v>
      </c>
      <c r="P4" s="135" t="n">
        <v>1866</v>
      </c>
      <c r="Q4" s="135" t="n">
        <v>355</v>
      </c>
      <c r="R4" s="135" t="n">
        <v>1271</v>
      </c>
      <c r="S4" s="135" t="n">
        <v>240</v>
      </c>
      <c r="T4" s="135" t="n">
        <v>1021</v>
      </c>
      <c r="U4" s="135" t="n">
        <v>168</v>
      </c>
      <c r="V4" s="135" t="n">
        <v>689</v>
      </c>
      <c r="W4" s="135" t="n">
        <v>164</v>
      </c>
      <c r="X4" s="135" t="n">
        <v>845</v>
      </c>
      <c r="Y4" s="135" t="n">
        <v>187</v>
      </c>
      <c r="Z4" s="135" t="n">
        <v>582</v>
      </c>
      <c r="AA4" s="135" t="n">
        <v>76</v>
      </c>
      <c r="AB4" s="135" t="n">
        <v>1410</v>
      </c>
      <c r="AC4" s="135" t="n">
        <v>225</v>
      </c>
      <c r="AD4" s="135" t="n">
        <v>996</v>
      </c>
      <c r="AE4" s="135" t="n">
        <v>190</v>
      </c>
      <c r="AF4" s="135" t="n">
        <v>816</v>
      </c>
      <c r="AG4" s="135" t="n">
        <v>122</v>
      </c>
      <c r="AH4" s="135" t="n">
        <v>555</v>
      </c>
      <c r="AI4" s="135" t="n">
        <v>138</v>
      </c>
      <c r="AJ4" s="135" t="n">
        <v>595</v>
      </c>
      <c r="AK4" s="135" t="n">
        <v>102</v>
      </c>
      <c r="AL4" s="135" t="n">
        <v>441</v>
      </c>
      <c r="AM4" s="135" t="n">
        <v>51</v>
      </c>
      <c r="AN4" s="135" t="n">
        <v>456</v>
      </c>
      <c r="AO4" s="135" t="n">
        <v>131</v>
      </c>
      <c r="AP4" s="135" t="n">
        <v>275</v>
      </c>
      <c r="AQ4" s="135" t="n">
        <v>50</v>
      </c>
      <c r="AR4" s="135" t="n">
        <v>1130</v>
      </c>
      <c r="AS4" s="135" t="n">
        <v>573</v>
      </c>
      <c r="AT4" s="135" t="n">
        <v>73</v>
      </c>
      <c r="AU4" s="135" t="n">
        <v>484</v>
      </c>
      <c r="AV4" s="135" t="n">
        <v>0</v>
      </c>
      <c r="AW4" s="135" t="n">
        <v>71</v>
      </c>
      <c r="AX4" s="135" t="n">
        <v>308</v>
      </c>
      <c r="AY4" s="135" t="n">
        <v>432</v>
      </c>
      <c r="AZ4" s="135" t="n">
        <v>595</v>
      </c>
      <c r="BA4" s="135" t="n">
        <v>441</v>
      </c>
      <c r="BB4" s="135" t="n">
        <v>0</v>
      </c>
      <c r="BC4" s="135" t="n">
        <v>64</v>
      </c>
      <c r="BD4" s="135" t="n">
        <v>296</v>
      </c>
      <c r="BE4" s="135" t="n">
        <v>391</v>
      </c>
      <c r="BF4" s="135" t="n">
        <v>454</v>
      </c>
      <c r="BG4" s="135" t="n">
        <v>318</v>
      </c>
      <c r="BH4" s="135" t="n">
        <v>1439</v>
      </c>
      <c r="BI4" s="135" t="n">
        <v>833</v>
      </c>
      <c r="BJ4" s="135" t="n">
        <v>606</v>
      </c>
      <c r="BK4" s="135" t="n">
        <v>1286</v>
      </c>
      <c r="BL4" s="135" t="n">
        <v>733</v>
      </c>
      <c r="BM4" s="135" t="n">
        <v>553</v>
      </c>
      <c r="BN4" s="135" t="n">
        <v>154</v>
      </c>
      <c r="BO4" s="135" t="n">
        <v>100</v>
      </c>
      <c r="BP4" s="135" t="n">
        <v>53</v>
      </c>
      <c r="BQ4" s="135" t="n">
        <v>301</v>
      </c>
      <c r="BR4" s="135" t="n">
        <v>263</v>
      </c>
      <c r="BS4" s="135" t="n">
        <v>95</v>
      </c>
      <c r="BT4" s="135" t="n">
        <v>167</v>
      </c>
      <c r="BU4" s="135" t="n">
        <v>39</v>
      </c>
      <c r="BV4" s="135" t="n">
        <v>951</v>
      </c>
      <c r="BW4" s="135" t="n">
        <v>453</v>
      </c>
      <c r="BX4" s="135" t="n">
        <v>986</v>
      </c>
      <c r="BY4" s="135" t="n">
        <v>861</v>
      </c>
      <c r="BZ4" s="135" t="n">
        <v>26</v>
      </c>
      <c r="CA4" s="135" t="n">
        <v>35</v>
      </c>
      <c r="CB4" s="135" t="n">
        <v>65</v>
      </c>
      <c r="CC4" s="135" t="n">
        <v>27</v>
      </c>
      <c r="CD4" s="135" t="n">
        <v>85</v>
      </c>
      <c r="CE4" s="135" t="n">
        <v>12</v>
      </c>
      <c r="CF4" s="135" t="n">
        <v>15</v>
      </c>
      <c r="CG4" s="135" t="n">
        <v>887</v>
      </c>
      <c r="CH4" s="135" t="n">
        <v>414</v>
      </c>
      <c r="CI4" s="136" t="n">
        <v>0.53</v>
      </c>
      <c r="CJ4" s="135" t="n">
        <v>4280</v>
      </c>
      <c r="CK4" s="137" t="n">
        <v>70</v>
      </c>
      <c r="CL4" s="137" t="n">
        <v>62.3</v>
      </c>
      <c r="CM4" s="137" t="n">
        <v>36.3</v>
      </c>
      <c r="CN4" s="137" t="n">
        <v>47.1</v>
      </c>
      <c r="CO4" s="137" t="n">
        <v>23</v>
      </c>
      <c r="CP4" s="137" t="n">
        <v>24.4</v>
      </c>
      <c r="CQ4" s="137" t="n">
        <v>36.8</v>
      </c>
      <c r="CR4" s="137" t="n">
        <v>89.3</v>
      </c>
      <c r="CS4" s="137" t="n">
        <v>43</v>
      </c>
      <c r="CT4" s="137" t="n">
        <v>74</v>
      </c>
      <c r="CU4" s="138" t="n">
        <v>31.5</v>
      </c>
    </row>
    <row r="5" ht="30" customHeight="1">
      <c r="A5" s="3" t="inlineStr">
        <is>
          <t>NORD</t>
        </is>
      </c>
      <c r="B5" s="3" t="inlineStr">
        <is>
          <t>FOSSE AUX CHENES</t>
        </is>
      </c>
      <c r="C5" s="3" t="inlineStr">
        <is>
          <t>Fosse aux Chênes</t>
        </is>
      </c>
      <c r="D5" s="135" t="n">
        <v>1820</v>
      </c>
      <c r="E5" s="135" t="n">
        <v>460</v>
      </c>
      <c r="F5" s="135" t="n">
        <v>1084</v>
      </c>
      <c r="G5" s="135" t="n">
        <v>276</v>
      </c>
      <c r="H5" s="135" t="n">
        <v>885</v>
      </c>
      <c r="I5" s="135" t="n">
        <v>214</v>
      </c>
      <c r="J5" s="135" t="n">
        <v>549</v>
      </c>
      <c r="K5" s="135" t="n">
        <v>123</v>
      </c>
      <c r="L5" s="135" t="n">
        <v>935</v>
      </c>
      <c r="M5" s="135" t="n">
        <v>246</v>
      </c>
      <c r="N5" s="135" t="n">
        <v>535</v>
      </c>
      <c r="O5" s="135" t="n">
        <v>153</v>
      </c>
      <c r="P5" s="135" t="n">
        <v>937</v>
      </c>
      <c r="Q5" s="135" t="n">
        <v>143</v>
      </c>
      <c r="R5" s="135" t="n">
        <v>695</v>
      </c>
      <c r="S5" s="135" t="n">
        <v>99</v>
      </c>
      <c r="T5" s="135" t="n">
        <v>507</v>
      </c>
      <c r="U5" s="135" t="n">
        <v>68</v>
      </c>
      <c r="V5" s="135" t="n">
        <v>399</v>
      </c>
      <c r="W5" s="135" t="n">
        <v>40</v>
      </c>
      <c r="X5" s="135" t="n">
        <v>430</v>
      </c>
      <c r="Y5" s="135" t="n">
        <v>75</v>
      </c>
      <c r="Z5" s="135" t="n">
        <v>295</v>
      </c>
      <c r="AA5" s="135" t="n">
        <v>59</v>
      </c>
      <c r="AB5" s="135" t="n">
        <v>662</v>
      </c>
      <c r="AC5" s="135" t="n">
        <v>96</v>
      </c>
      <c r="AD5" s="135" t="n">
        <v>492</v>
      </c>
      <c r="AE5" s="135" t="n">
        <v>73</v>
      </c>
      <c r="AF5" s="135" t="n">
        <v>341</v>
      </c>
      <c r="AG5" s="135" t="n">
        <v>39</v>
      </c>
      <c r="AH5" s="135" t="n">
        <v>273</v>
      </c>
      <c r="AI5" s="135" t="n">
        <v>29</v>
      </c>
      <c r="AJ5" s="135" t="n">
        <v>321</v>
      </c>
      <c r="AK5" s="135" t="n">
        <v>57</v>
      </c>
      <c r="AL5" s="135" t="n">
        <v>219</v>
      </c>
      <c r="AM5" s="135" t="n">
        <v>44</v>
      </c>
      <c r="AN5" s="135" t="n">
        <v>275</v>
      </c>
      <c r="AO5" s="135" t="n">
        <v>47</v>
      </c>
      <c r="AP5" s="135" t="n">
        <v>203</v>
      </c>
      <c r="AQ5" s="135" t="n">
        <v>26</v>
      </c>
      <c r="AR5" s="135" t="n">
        <v>883</v>
      </c>
      <c r="AS5" s="135" t="n">
        <v>286</v>
      </c>
      <c r="AT5" s="135" t="n">
        <v>63</v>
      </c>
      <c r="AU5" s="135" t="n">
        <v>533</v>
      </c>
      <c r="AV5" s="135" t="n">
        <v>0</v>
      </c>
      <c r="AW5" s="135" t="n">
        <v>48</v>
      </c>
      <c r="AX5" s="135" t="n">
        <v>52</v>
      </c>
      <c r="AY5" s="135" t="n">
        <v>93</v>
      </c>
      <c r="AZ5" s="135" t="n">
        <v>255</v>
      </c>
      <c r="BA5" s="135" t="n">
        <v>303</v>
      </c>
      <c r="BB5" s="135" t="n">
        <v>0</v>
      </c>
      <c r="BC5" s="135" t="n">
        <v>48</v>
      </c>
      <c r="BD5" s="135" t="n">
        <v>48</v>
      </c>
      <c r="BE5" s="135" t="n">
        <v>83</v>
      </c>
      <c r="BF5" s="135" t="n">
        <v>205</v>
      </c>
      <c r="BG5" s="135" t="n">
        <v>209</v>
      </c>
      <c r="BH5" s="135" t="n">
        <v>678</v>
      </c>
      <c r="BI5" s="135" t="n">
        <v>352</v>
      </c>
      <c r="BJ5" s="135" t="n">
        <v>325</v>
      </c>
      <c r="BK5" s="135" t="n">
        <v>584</v>
      </c>
      <c r="BL5" s="135" t="n">
        <v>298</v>
      </c>
      <c r="BM5" s="135" t="n">
        <v>286</v>
      </c>
      <c r="BN5" s="135" t="n">
        <v>94</v>
      </c>
      <c r="BO5" s="135" t="n">
        <v>54</v>
      </c>
      <c r="BP5" s="135" t="n">
        <v>39</v>
      </c>
      <c r="BQ5" s="135" t="n">
        <v>192</v>
      </c>
      <c r="BR5" s="135" t="n">
        <v>161</v>
      </c>
      <c r="BS5" s="135" t="n">
        <v>56</v>
      </c>
      <c r="BT5" s="135" t="n">
        <v>105</v>
      </c>
      <c r="BU5" s="135" t="n">
        <v>31</v>
      </c>
      <c r="BV5" s="135" t="n">
        <v>369</v>
      </c>
      <c r="BW5" s="135" t="n">
        <v>318</v>
      </c>
      <c r="BX5" s="135" t="n">
        <v>359</v>
      </c>
      <c r="BY5" s="135" t="n">
        <v>308</v>
      </c>
      <c r="BZ5" s="135" t="n">
        <v>6</v>
      </c>
      <c r="CA5" s="135" t="n">
        <v>21</v>
      </c>
      <c r="CB5" s="135" t="n">
        <v>24</v>
      </c>
      <c r="CC5" s="135" t="n">
        <v>35</v>
      </c>
      <c r="CD5" s="135" t="n">
        <v>135</v>
      </c>
      <c r="CE5" s="135" t="n">
        <v>9</v>
      </c>
      <c r="CF5" s="135" t="n">
        <v>0</v>
      </c>
      <c r="CG5" s="135" t="n">
        <v>284</v>
      </c>
      <c r="CH5" s="135" t="n">
        <v>215</v>
      </c>
      <c r="CI5" s="136" t="n">
        <v>0.41</v>
      </c>
      <c r="CJ5" s="135" t="n">
        <v>2843</v>
      </c>
      <c r="CK5" s="137" t="n">
        <v>64</v>
      </c>
      <c r="CL5" s="137" t="n">
        <v>51.5</v>
      </c>
      <c r="CM5" s="137" t="n">
        <v>31.2</v>
      </c>
      <c r="CN5" s="137" t="n">
        <v>36.4</v>
      </c>
      <c r="CO5" s="137" t="n">
        <v>21</v>
      </c>
      <c r="CP5" s="137" t="n">
        <v>29.4</v>
      </c>
      <c r="CQ5" s="137" t="n">
        <v>32.7</v>
      </c>
      <c r="CR5" s="137" t="n">
        <v>86.2</v>
      </c>
      <c r="CS5" s="137" t="n">
        <v>48.9</v>
      </c>
      <c r="CT5" s="137" t="n">
        <v>63.2</v>
      </c>
      <c r="CU5" s="138" t="n">
        <v>47</v>
      </c>
    </row>
    <row r="6" ht="30" customHeight="1">
      <c r="A6" s="3" t="inlineStr">
        <is>
          <t>NORD</t>
        </is>
      </c>
      <c r="B6" s="3" t="inlineStr">
        <is>
          <t>ALMA GARE</t>
        </is>
      </c>
      <c r="C6" s="3" t="inlineStr">
        <is>
          <t>Alma Sud</t>
        </is>
      </c>
      <c r="D6" s="135" t="n">
        <v>981</v>
      </c>
      <c r="E6" s="135" t="n">
        <v>299</v>
      </c>
      <c r="F6" s="135" t="n">
        <v>522</v>
      </c>
      <c r="G6" s="135" t="n">
        <v>161</v>
      </c>
      <c r="H6" s="135" t="n">
        <v>486</v>
      </c>
      <c r="I6" s="135" t="n">
        <v>153</v>
      </c>
      <c r="J6" s="135" t="n">
        <v>239</v>
      </c>
      <c r="K6" s="135" t="n">
        <v>94</v>
      </c>
      <c r="L6" s="135" t="n">
        <v>495</v>
      </c>
      <c r="M6" s="135" t="n">
        <v>146</v>
      </c>
      <c r="N6" s="135" t="n">
        <v>282</v>
      </c>
      <c r="O6" s="135" t="n">
        <v>67</v>
      </c>
      <c r="P6" s="135" t="n">
        <v>487</v>
      </c>
      <c r="Q6" s="135" t="n">
        <v>77</v>
      </c>
      <c r="R6" s="135" t="n">
        <v>331</v>
      </c>
      <c r="S6" s="135" t="n">
        <v>78</v>
      </c>
      <c r="T6" s="135" t="n">
        <v>268</v>
      </c>
      <c r="U6" s="135" t="n">
        <v>39</v>
      </c>
      <c r="V6" s="135" t="n">
        <v>180</v>
      </c>
      <c r="W6" s="135" t="n">
        <v>50</v>
      </c>
      <c r="X6" s="135" t="n">
        <v>219</v>
      </c>
      <c r="Y6" s="135" t="n">
        <v>39</v>
      </c>
      <c r="Z6" s="135" t="n">
        <v>151</v>
      </c>
      <c r="AA6" s="135" t="n">
        <v>29</v>
      </c>
      <c r="AB6" s="135" t="n">
        <v>267</v>
      </c>
      <c r="AC6" s="135" t="n">
        <v>26</v>
      </c>
      <c r="AD6" s="135" t="n">
        <v>187</v>
      </c>
      <c r="AE6" s="135" t="n">
        <v>54</v>
      </c>
      <c r="AF6" s="135" t="n">
        <v>155</v>
      </c>
      <c r="AG6" s="135" t="n">
        <v>18</v>
      </c>
      <c r="AH6" s="135" t="n">
        <v>113</v>
      </c>
      <c r="AI6" s="135" t="n">
        <v>25</v>
      </c>
      <c r="AJ6" s="135" t="n">
        <v>112</v>
      </c>
      <c r="AK6" s="135" t="n">
        <v>9</v>
      </c>
      <c r="AL6" s="135" t="n">
        <v>74</v>
      </c>
      <c r="AM6" s="135" t="n">
        <v>29</v>
      </c>
      <c r="AN6" s="135" t="n">
        <v>220</v>
      </c>
      <c r="AO6" s="135" t="n">
        <v>51</v>
      </c>
      <c r="AP6" s="135" t="n">
        <v>144</v>
      </c>
      <c r="AQ6" s="135" t="n">
        <v>25</v>
      </c>
      <c r="AR6" s="135" t="n">
        <v>494</v>
      </c>
      <c r="AS6" s="135" t="n">
        <v>179</v>
      </c>
      <c r="AT6" s="135" t="n">
        <v>17</v>
      </c>
      <c r="AU6" s="135" t="n">
        <v>298</v>
      </c>
      <c r="AV6" s="135" t="n">
        <v>0</v>
      </c>
      <c r="AW6" s="135" t="n">
        <v>21</v>
      </c>
      <c r="AX6" s="135" t="n">
        <v>15</v>
      </c>
      <c r="AY6" s="135" t="n">
        <v>26</v>
      </c>
      <c r="AZ6" s="135" t="n">
        <v>127</v>
      </c>
      <c r="BA6" s="135" t="n">
        <v>237</v>
      </c>
      <c r="BB6" s="135" t="n">
        <v>0</v>
      </c>
      <c r="BC6" s="135" t="n">
        <v>16</v>
      </c>
      <c r="BD6" s="135" t="n">
        <v>0</v>
      </c>
      <c r="BE6" s="135" t="n">
        <v>21</v>
      </c>
      <c r="BF6" s="135" t="n">
        <v>99</v>
      </c>
      <c r="BG6" s="135" t="n">
        <v>143</v>
      </c>
      <c r="BH6" s="135" t="n">
        <v>267</v>
      </c>
      <c r="BI6" s="135" t="n">
        <v>155</v>
      </c>
      <c r="BJ6" s="135" t="n">
        <v>112</v>
      </c>
      <c r="BK6" s="135" t="n">
        <v>250</v>
      </c>
      <c r="BL6" s="135" t="n">
        <v>139</v>
      </c>
      <c r="BM6" s="135" t="n">
        <v>112</v>
      </c>
      <c r="BN6" s="135" t="n">
        <v>17</v>
      </c>
      <c r="BO6" s="135" t="n">
        <v>17</v>
      </c>
      <c r="BP6" s="135" t="n">
        <v>0</v>
      </c>
      <c r="BQ6" s="135" t="n">
        <v>66</v>
      </c>
      <c r="BR6" s="135" t="n">
        <v>62</v>
      </c>
      <c r="BS6" s="135" t="n">
        <v>24</v>
      </c>
      <c r="BT6" s="135" t="n">
        <v>38</v>
      </c>
      <c r="BU6" s="135" t="n">
        <v>4</v>
      </c>
      <c r="BV6" s="135" t="n">
        <v>175</v>
      </c>
      <c r="BW6" s="135" t="n">
        <v>101</v>
      </c>
      <c r="BX6" s="135" t="n">
        <v>166</v>
      </c>
      <c r="BY6" s="135" t="n">
        <v>137</v>
      </c>
      <c r="BZ6" s="135" t="n">
        <v>4</v>
      </c>
      <c r="CA6" s="135" t="n">
        <v>0</v>
      </c>
      <c r="CB6" s="135" t="n">
        <v>25</v>
      </c>
      <c r="CC6" s="135" t="n">
        <v>8</v>
      </c>
      <c r="CD6" s="135" t="n">
        <v>29</v>
      </c>
      <c r="CE6" s="135" t="n">
        <v>5</v>
      </c>
      <c r="CF6" s="135" t="n">
        <v>0</v>
      </c>
      <c r="CG6" s="135" t="n">
        <v>142</v>
      </c>
      <c r="CH6" s="135" t="n">
        <v>82</v>
      </c>
      <c r="CI6" s="136" t="n">
        <v>0.09</v>
      </c>
      <c r="CJ6" s="135" t="n">
        <v>1529</v>
      </c>
      <c r="CK6" s="137" t="n">
        <v>64.2</v>
      </c>
      <c r="CL6" s="137" t="n">
        <v>49.7</v>
      </c>
      <c r="CM6" s="137" t="n">
        <v>25.9</v>
      </c>
      <c r="CN6" s="137" t="n">
        <v>27.2</v>
      </c>
      <c r="CO6" s="137" t="n">
        <v>8.800000000000001</v>
      </c>
      <c r="CP6" s="137" t="n">
        <v>45.2</v>
      </c>
      <c r="CQ6" s="137" t="n">
        <v>66.2</v>
      </c>
      <c r="CR6" s="137" t="n">
        <v>93.7</v>
      </c>
      <c r="CS6" s="137" t="n">
        <v>44.7</v>
      </c>
      <c r="CT6" s="137" t="n">
        <v>69.8</v>
      </c>
      <c r="CU6" s="138" t="n">
        <v>37.8</v>
      </c>
    </row>
    <row r="7" ht="30" customHeight="1">
      <c r="A7" s="3" t="inlineStr">
        <is>
          <t>NORD</t>
        </is>
      </c>
      <c r="B7" s="3" t="inlineStr">
        <is>
          <t>ALMA GARE</t>
        </is>
      </c>
      <c r="C7" s="3" t="inlineStr">
        <is>
          <t>Alma Nord</t>
        </is>
      </c>
      <c r="D7" s="135" t="n">
        <v>1003</v>
      </c>
      <c r="E7" s="135" t="n">
        <v>294</v>
      </c>
      <c r="F7" s="135" t="n">
        <v>580</v>
      </c>
      <c r="G7" s="135" t="n">
        <v>129</v>
      </c>
      <c r="H7" s="135" t="n">
        <v>459</v>
      </c>
      <c r="I7" s="135" t="n">
        <v>112</v>
      </c>
      <c r="J7" s="135" t="n">
        <v>276</v>
      </c>
      <c r="K7" s="135" t="n">
        <v>71</v>
      </c>
      <c r="L7" s="135" t="n">
        <v>543</v>
      </c>
      <c r="M7" s="135" t="n">
        <v>182</v>
      </c>
      <c r="N7" s="135" t="n">
        <v>304</v>
      </c>
      <c r="O7" s="135" t="n">
        <v>58</v>
      </c>
      <c r="P7" s="135" t="n">
        <v>493</v>
      </c>
      <c r="Q7" s="135" t="n">
        <v>80</v>
      </c>
      <c r="R7" s="135" t="n">
        <v>351</v>
      </c>
      <c r="S7" s="135" t="n">
        <v>63</v>
      </c>
      <c r="T7" s="135" t="n">
        <v>298</v>
      </c>
      <c r="U7" s="135" t="n">
        <v>40</v>
      </c>
      <c r="V7" s="135" t="n">
        <v>218</v>
      </c>
      <c r="W7" s="135" t="n">
        <v>40</v>
      </c>
      <c r="X7" s="135" t="n">
        <v>196</v>
      </c>
      <c r="Y7" s="135" t="n">
        <v>40</v>
      </c>
      <c r="Z7" s="135" t="n">
        <v>132</v>
      </c>
      <c r="AA7" s="135" t="n">
        <v>23</v>
      </c>
      <c r="AB7" s="135" t="n">
        <v>357</v>
      </c>
      <c r="AC7" s="135" t="n">
        <v>57</v>
      </c>
      <c r="AD7" s="135" t="n">
        <v>254</v>
      </c>
      <c r="AE7" s="135" t="n">
        <v>46</v>
      </c>
      <c r="AF7" s="135" t="n">
        <v>201</v>
      </c>
      <c r="AG7" s="135" t="n">
        <v>23</v>
      </c>
      <c r="AH7" s="135" t="n">
        <v>152</v>
      </c>
      <c r="AI7" s="135" t="n">
        <v>26</v>
      </c>
      <c r="AJ7" s="135" t="n">
        <v>155</v>
      </c>
      <c r="AK7" s="135" t="n">
        <v>34</v>
      </c>
      <c r="AL7" s="135" t="n">
        <v>102</v>
      </c>
      <c r="AM7" s="135" t="n">
        <v>20</v>
      </c>
      <c r="AN7" s="135" t="n">
        <v>136</v>
      </c>
      <c r="AO7" s="135" t="n">
        <v>23</v>
      </c>
      <c r="AP7" s="135" t="n">
        <v>96</v>
      </c>
      <c r="AQ7" s="135" t="n">
        <v>17</v>
      </c>
      <c r="AR7" s="135" t="n">
        <v>509</v>
      </c>
      <c r="AS7" s="135" t="n">
        <v>166</v>
      </c>
      <c r="AT7" s="135" t="n">
        <v>21</v>
      </c>
      <c r="AU7" s="135" t="n">
        <v>323</v>
      </c>
      <c r="AV7" s="135" t="n">
        <v>0</v>
      </c>
      <c r="AW7" s="135" t="n">
        <v>18</v>
      </c>
      <c r="AX7" s="135" t="n">
        <v>25</v>
      </c>
      <c r="AY7" s="135" t="n">
        <v>52</v>
      </c>
      <c r="AZ7" s="135" t="n">
        <v>83</v>
      </c>
      <c r="BA7" s="135" t="n">
        <v>176</v>
      </c>
      <c r="BB7" s="135" t="n">
        <v>0</v>
      </c>
      <c r="BC7" s="135" t="n">
        <v>16</v>
      </c>
      <c r="BD7" s="135" t="n">
        <v>20</v>
      </c>
      <c r="BE7" s="135" t="n">
        <v>48</v>
      </c>
      <c r="BF7" s="135" t="n">
        <v>75</v>
      </c>
      <c r="BG7" s="135" t="n">
        <v>118</v>
      </c>
      <c r="BH7" s="135" t="n">
        <v>377</v>
      </c>
      <c r="BI7" s="135" t="n">
        <v>208</v>
      </c>
      <c r="BJ7" s="135" t="n">
        <v>169</v>
      </c>
      <c r="BK7" s="135" t="n">
        <v>345</v>
      </c>
      <c r="BL7" s="135" t="n">
        <v>190</v>
      </c>
      <c r="BM7" s="135" t="n">
        <v>155</v>
      </c>
      <c r="BN7" s="135" t="n">
        <v>32</v>
      </c>
      <c r="BO7" s="135" t="n">
        <v>18</v>
      </c>
      <c r="BP7" s="135" t="n">
        <v>14</v>
      </c>
      <c r="BQ7" s="135" t="n">
        <v>86</v>
      </c>
      <c r="BR7" s="135" t="n">
        <v>76</v>
      </c>
      <c r="BS7" s="135" t="n">
        <v>31</v>
      </c>
      <c r="BT7" s="135" t="n">
        <v>44</v>
      </c>
      <c r="BU7" s="135" t="n">
        <v>10</v>
      </c>
      <c r="BV7" s="135" t="n">
        <v>277</v>
      </c>
      <c r="BW7" s="135" t="n">
        <v>157</v>
      </c>
      <c r="BX7" s="135" t="n">
        <v>220</v>
      </c>
      <c r="BY7" s="135" t="n">
        <v>182</v>
      </c>
      <c r="BZ7" s="135" t="n">
        <v>0</v>
      </c>
      <c r="CA7" s="135" t="n">
        <v>6</v>
      </c>
      <c r="CB7" s="135" t="n">
        <v>31</v>
      </c>
      <c r="CC7" s="135" t="n">
        <v>4</v>
      </c>
      <c r="CD7" s="135" t="n">
        <v>41</v>
      </c>
      <c r="CE7" s="135" t="n">
        <v>3</v>
      </c>
      <c r="CF7" s="135" t="n">
        <v>10</v>
      </c>
      <c r="CG7" s="135" t="n">
        <v>218</v>
      </c>
      <c r="CH7" s="135" t="n">
        <v>101</v>
      </c>
      <c r="CI7" s="136" t="n">
        <v>0.42</v>
      </c>
      <c r="CJ7" s="135" t="n">
        <v>1613</v>
      </c>
      <c r="CK7" s="137" t="n">
        <v>62.2</v>
      </c>
      <c r="CL7" s="137" t="n">
        <v>49.2</v>
      </c>
      <c r="CM7" s="137" t="n">
        <v>27.1</v>
      </c>
      <c r="CN7" s="137" t="n">
        <v>35.6</v>
      </c>
      <c r="CO7" s="137" t="n">
        <v>19.3</v>
      </c>
      <c r="CP7" s="137" t="n">
        <v>27.6</v>
      </c>
      <c r="CQ7" s="137" t="n">
        <v>28.8</v>
      </c>
      <c r="CR7" s="137" t="n">
        <v>91.59999999999999</v>
      </c>
      <c r="CS7" s="137" t="n">
        <v>44.9</v>
      </c>
      <c r="CT7" s="137" t="n">
        <v>80.2</v>
      </c>
      <c r="CU7" s="138" t="n">
        <v>41.7</v>
      </c>
    </row>
    <row r="8" ht="30" customHeight="1">
      <c r="A8" s="3" t="inlineStr">
        <is>
          <t>NORD</t>
        </is>
      </c>
      <c r="B8" s="3" t="inlineStr">
        <is>
          <t>ENTREPONT</t>
        </is>
      </c>
      <c r="C8" s="3" t="inlineStr">
        <is>
          <t>Entrepont-Cartigny</t>
        </is>
      </c>
      <c r="D8" s="135" t="n">
        <v>1445</v>
      </c>
      <c r="E8" s="135" t="n">
        <v>357</v>
      </c>
      <c r="F8" s="135" t="n">
        <v>888</v>
      </c>
      <c r="G8" s="135" t="n">
        <v>200</v>
      </c>
      <c r="H8" s="135" t="n">
        <v>719</v>
      </c>
      <c r="I8" s="135" t="n">
        <v>182</v>
      </c>
      <c r="J8" s="135" t="n">
        <v>425</v>
      </c>
      <c r="K8" s="135" t="n">
        <v>112</v>
      </c>
      <c r="L8" s="135" t="n">
        <v>727</v>
      </c>
      <c r="M8" s="135" t="n">
        <v>175</v>
      </c>
      <c r="N8" s="135" t="n">
        <v>463</v>
      </c>
      <c r="O8" s="135" t="n">
        <v>88</v>
      </c>
      <c r="P8" s="135" t="n">
        <v>869</v>
      </c>
      <c r="Q8" s="135" t="n">
        <v>107</v>
      </c>
      <c r="R8" s="135" t="n">
        <v>678</v>
      </c>
      <c r="S8" s="135" t="n">
        <v>84</v>
      </c>
      <c r="T8" s="135" t="n">
        <v>463</v>
      </c>
      <c r="U8" s="135" t="n">
        <v>56</v>
      </c>
      <c r="V8" s="135" t="n">
        <v>362</v>
      </c>
      <c r="W8" s="135" t="n">
        <v>45</v>
      </c>
      <c r="X8" s="135" t="n">
        <v>406</v>
      </c>
      <c r="Y8" s="135" t="n">
        <v>51</v>
      </c>
      <c r="Z8" s="135" t="n">
        <v>316</v>
      </c>
      <c r="AA8" s="135" t="n">
        <v>39</v>
      </c>
      <c r="AB8" s="135" t="n">
        <v>585</v>
      </c>
      <c r="AC8" s="135" t="n">
        <v>61</v>
      </c>
      <c r="AD8" s="135" t="n">
        <v>472</v>
      </c>
      <c r="AE8" s="135" t="n">
        <v>52</v>
      </c>
      <c r="AF8" s="135" t="n">
        <v>320</v>
      </c>
      <c r="AG8" s="135" t="n">
        <v>24</v>
      </c>
      <c r="AH8" s="135" t="n">
        <v>276</v>
      </c>
      <c r="AI8" s="135" t="n">
        <v>20</v>
      </c>
      <c r="AJ8" s="135" t="n">
        <v>266</v>
      </c>
      <c r="AK8" s="135" t="n">
        <v>38</v>
      </c>
      <c r="AL8" s="135" t="n">
        <v>197</v>
      </c>
      <c r="AM8" s="135" t="n">
        <v>31</v>
      </c>
      <c r="AN8" s="135" t="n">
        <v>283</v>
      </c>
      <c r="AO8" s="135" t="n">
        <v>46</v>
      </c>
      <c r="AP8" s="135" t="n">
        <v>205</v>
      </c>
      <c r="AQ8" s="135" t="n">
        <v>32</v>
      </c>
      <c r="AR8" s="135" t="n">
        <v>576</v>
      </c>
      <c r="AS8" s="135" t="n">
        <v>213</v>
      </c>
      <c r="AT8" s="135" t="n">
        <v>33</v>
      </c>
      <c r="AU8" s="135" t="n">
        <v>331</v>
      </c>
      <c r="AV8" s="135" t="n">
        <v>0</v>
      </c>
      <c r="AW8" s="135" t="n">
        <v>36</v>
      </c>
      <c r="AX8" s="135" t="n">
        <v>37</v>
      </c>
      <c r="AY8" s="135" t="n">
        <v>138</v>
      </c>
      <c r="AZ8" s="135" t="n">
        <v>295</v>
      </c>
      <c r="BA8" s="135" t="n">
        <v>327</v>
      </c>
      <c r="BB8" s="135" t="n">
        <v>0</v>
      </c>
      <c r="BC8" s="135" t="n">
        <v>36</v>
      </c>
      <c r="BD8" s="135" t="n">
        <v>31</v>
      </c>
      <c r="BE8" s="135" t="n">
        <v>128</v>
      </c>
      <c r="BF8" s="135" t="n">
        <v>159</v>
      </c>
      <c r="BG8" s="135" t="n">
        <v>220</v>
      </c>
      <c r="BH8" s="135" t="n">
        <v>592</v>
      </c>
      <c r="BI8" s="135" t="n">
        <v>323</v>
      </c>
      <c r="BJ8" s="135" t="n">
        <v>269</v>
      </c>
      <c r="BK8" s="135" t="n">
        <v>527</v>
      </c>
      <c r="BL8" s="135" t="n">
        <v>281</v>
      </c>
      <c r="BM8" s="135" t="n">
        <v>246</v>
      </c>
      <c r="BN8" s="135" t="n">
        <v>65</v>
      </c>
      <c r="BO8" s="135" t="n">
        <v>42</v>
      </c>
      <c r="BP8" s="135" t="n">
        <v>23</v>
      </c>
      <c r="BQ8" s="135" t="n">
        <v>121</v>
      </c>
      <c r="BR8" s="135" t="n">
        <v>100</v>
      </c>
      <c r="BS8" s="135" t="n">
        <v>37</v>
      </c>
      <c r="BT8" s="135" t="n">
        <v>63</v>
      </c>
      <c r="BU8" s="135" t="n">
        <v>21</v>
      </c>
      <c r="BV8" s="135" t="n">
        <v>398</v>
      </c>
      <c r="BW8" s="135" t="n">
        <v>224</v>
      </c>
      <c r="BX8" s="135" t="n">
        <v>367</v>
      </c>
      <c r="BY8" s="135" t="n">
        <v>298</v>
      </c>
      <c r="BZ8" s="135" t="n">
        <v>3</v>
      </c>
      <c r="CA8" s="135" t="n">
        <v>21</v>
      </c>
      <c r="CB8" s="135" t="n">
        <v>44</v>
      </c>
      <c r="CC8" s="135" t="n">
        <v>14</v>
      </c>
      <c r="CD8" s="135" t="n">
        <v>57</v>
      </c>
      <c r="CE8" s="135" t="n">
        <v>6</v>
      </c>
      <c r="CF8" s="135" t="n">
        <v>9</v>
      </c>
      <c r="CG8" s="135" t="n">
        <v>425</v>
      </c>
      <c r="CH8" s="135" t="n">
        <v>80</v>
      </c>
      <c r="CI8" s="136" t="n">
        <v>0.85</v>
      </c>
      <c r="CJ8" s="135" t="n">
        <v>2372</v>
      </c>
      <c r="CK8" s="137" t="n">
        <v>60.9</v>
      </c>
      <c r="CL8" s="137" t="n">
        <v>60.1</v>
      </c>
      <c r="CM8" s="137" t="n">
        <v>30</v>
      </c>
      <c r="CN8" s="137" t="n">
        <v>40.5</v>
      </c>
      <c r="CO8" s="137" t="n">
        <v>17.1</v>
      </c>
      <c r="CP8" s="137" t="n">
        <v>32.6</v>
      </c>
      <c r="CQ8" s="137" t="n">
        <v>42.8</v>
      </c>
      <c r="CR8" s="137" t="n">
        <v>89.09999999999999</v>
      </c>
      <c r="CS8" s="137" t="n">
        <v>46.7</v>
      </c>
      <c r="CT8" s="137" t="n">
        <v>75.59999999999999</v>
      </c>
      <c r="CU8" s="138" t="n">
        <v>37.9</v>
      </c>
    </row>
    <row r="9" ht="30" customHeight="1">
      <c r="A9" s="3" t="inlineStr">
        <is>
          <t>NORD</t>
        </is>
      </c>
      <c r="B9" s="3" t="inlineStr">
        <is>
          <t>HUTIN - ORAN - CARTIGNY</t>
        </is>
      </c>
      <c r="C9" s="3" t="inlineStr">
        <is>
          <t>Hutin-Oran</t>
        </is>
      </c>
      <c r="D9" s="135" t="n">
        <v>1240</v>
      </c>
      <c r="E9" s="135" t="n">
        <v>308</v>
      </c>
      <c r="F9" s="135" t="n">
        <v>792</v>
      </c>
      <c r="G9" s="135" t="n">
        <v>141</v>
      </c>
      <c r="H9" s="135" t="n">
        <v>594</v>
      </c>
      <c r="I9" s="135" t="n">
        <v>139</v>
      </c>
      <c r="J9" s="135" t="n">
        <v>374</v>
      </c>
      <c r="K9" s="135" t="n">
        <v>81</v>
      </c>
      <c r="L9" s="135" t="n">
        <v>646</v>
      </c>
      <c r="M9" s="135" t="n">
        <v>169</v>
      </c>
      <c r="N9" s="135" t="n">
        <v>417</v>
      </c>
      <c r="O9" s="135" t="n">
        <v>60</v>
      </c>
      <c r="P9" s="135" t="n">
        <v>769</v>
      </c>
      <c r="Q9" s="135" t="n">
        <v>93</v>
      </c>
      <c r="R9" s="135" t="n">
        <v>585</v>
      </c>
      <c r="S9" s="135" t="n">
        <v>91</v>
      </c>
      <c r="T9" s="135" t="n">
        <v>422</v>
      </c>
      <c r="U9" s="135" t="n">
        <v>44</v>
      </c>
      <c r="V9" s="135" t="n">
        <v>326</v>
      </c>
      <c r="W9" s="135" t="n">
        <v>53</v>
      </c>
      <c r="X9" s="135" t="n">
        <v>346</v>
      </c>
      <c r="Y9" s="135" t="n">
        <v>49</v>
      </c>
      <c r="Z9" s="135" t="n">
        <v>259</v>
      </c>
      <c r="AA9" s="135" t="n">
        <v>38</v>
      </c>
      <c r="AB9" s="135" t="n">
        <v>531</v>
      </c>
      <c r="AC9" s="135" t="n">
        <v>53</v>
      </c>
      <c r="AD9" s="135" t="n">
        <v>421</v>
      </c>
      <c r="AE9" s="135" t="n">
        <v>58</v>
      </c>
      <c r="AF9" s="135" t="n">
        <v>304</v>
      </c>
      <c r="AG9" s="135" t="n">
        <v>27</v>
      </c>
      <c r="AH9" s="135" t="n">
        <v>240</v>
      </c>
      <c r="AI9" s="135" t="n">
        <v>36</v>
      </c>
      <c r="AJ9" s="135" t="n">
        <v>228</v>
      </c>
      <c r="AK9" s="135" t="n">
        <v>26</v>
      </c>
      <c r="AL9" s="135" t="n">
        <v>180</v>
      </c>
      <c r="AM9" s="135" t="n">
        <v>22</v>
      </c>
      <c r="AN9" s="135" t="n">
        <v>237</v>
      </c>
      <c r="AO9" s="135" t="n">
        <v>40</v>
      </c>
      <c r="AP9" s="135" t="n">
        <v>165</v>
      </c>
      <c r="AQ9" s="135" t="n">
        <v>33</v>
      </c>
      <c r="AR9" s="135" t="n">
        <v>471</v>
      </c>
      <c r="AS9" s="135" t="n">
        <v>158</v>
      </c>
      <c r="AT9" s="135" t="n">
        <v>22</v>
      </c>
      <c r="AU9" s="135" t="n">
        <v>291</v>
      </c>
      <c r="AV9" s="135" t="n">
        <v>0</v>
      </c>
      <c r="AW9" s="135" t="n">
        <v>11</v>
      </c>
      <c r="AX9" s="135" t="n">
        <v>42</v>
      </c>
      <c r="AY9" s="135" t="n">
        <v>157</v>
      </c>
      <c r="AZ9" s="135" t="n">
        <v>186</v>
      </c>
      <c r="BA9" s="135" t="n">
        <v>282</v>
      </c>
      <c r="BB9" s="135" t="n">
        <v>0</v>
      </c>
      <c r="BC9" s="135" t="n">
        <v>6</v>
      </c>
      <c r="BD9" s="135" t="n">
        <v>42</v>
      </c>
      <c r="BE9" s="135" t="n">
        <v>141</v>
      </c>
      <c r="BF9" s="135" t="n">
        <v>120</v>
      </c>
      <c r="BG9" s="135" t="n">
        <v>177</v>
      </c>
      <c r="BH9" s="135" t="n">
        <v>548</v>
      </c>
      <c r="BI9" s="135" t="n">
        <v>308</v>
      </c>
      <c r="BJ9" s="135" t="n">
        <v>240</v>
      </c>
      <c r="BK9" s="135" t="n">
        <v>501</v>
      </c>
      <c r="BL9" s="135" t="n">
        <v>279</v>
      </c>
      <c r="BM9" s="135" t="n">
        <v>221</v>
      </c>
      <c r="BN9" s="135" t="n">
        <v>47</v>
      </c>
      <c r="BO9" s="135" t="n">
        <v>29</v>
      </c>
      <c r="BP9" s="135" t="n">
        <v>19</v>
      </c>
      <c r="BQ9" s="135" t="n">
        <v>104</v>
      </c>
      <c r="BR9" s="135" t="n">
        <v>98</v>
      </c>
      <c r="BS9" s="135" t="n">
        <v>46</v>
      </c>
      <c r="BT9" s="135" t="n">
        <v>52</v>
      </c>
      <c r="BU9" s="135" t="n">
        <v>7</v>
      </c>
      <c r="BV9" s="135" t="n">
        <v>372</v>
      </c>
      <c r="BW9" s="135" t="n">
        <v>204</v>
      </c>
      <c r="BX9" s="135" t="n">
        <v>344</v>
      </c>
      <c r="BY9" s="135" t="n">
        <v>291</v>
      </c>
      <c r="BZ9" s="135" t="n">
        <v>4</v>
      </c>
      <c r="CA9" s="135" t="n">
        <v>4</v>
      </c>
      <c r="CB9" s="135" t="n">
        <v>45</v>
      </c>
      <c r="CC9" s="135" t="n">
        <v>16</v>
      </c>
      <c r="CD9" s="135" t="n">
        <v>27</v>
      </c>
      <c r="CE9" s="135" t="n">
        <v>15</v>
      </c>
      <c r="CF9" s="135" t="n">
        <v>3</v>
      </c>
      <c r="CG9" s="135" t="n">
        <v>423</v>
      </c>
      <c r="CH9" s="135" t="n">
        <v>63</v>
      </c>
      <c r="CI9" s="136" t="n">
        <v>0.42</v>
      </c>
      <c r="CJ9" s="135" t="n">
        <v>2166</v>
      </c>
      <c r="CK9" s="137" t="n">
        <v>57.2</v>
      </c>
      <c r="CL9" s="137" t="n">
        <v>62</v>
      </c>
      <c r="CM9" s="137" t="n">
        <v>30</v>
      </c>
      <c r="CN9" s="137" t="n">
        <v>42.8</v>
      </c>
      <c r="CO9" s="137" t="n">
        <v>17.1</v>
      </c>
      <c r="CP9" s="137" t="n">
        <v>30.9</v>
      </c>
      <c r="CQ9" s="137" t="n">
        <v>43.2</v>
      </c>
      <c r="CR9" s="137" t="n">
        <v>91.40000000000001</v>
      </c>
      <c r="CS9" s="137" t="n">
        <v>44.2</v>
      </c>
      <c r="CT9" s="137" t="n">
        <v>74.3</v>
      </c>
      <c r="CU9" s="138" t="n">
        <v>37.2</v>
      </c>
    </row>
    <row r="10" ht="30" customHeight="1">
      <c r="A10" s="3" t="inlineStr">
        <is>
          <t>NORD</t>
        </is>
      </c>
      <c r="B10" s="3" t="inlineStr">
        <is>
          <t>CUL DE FOUR</t>
        </is>
      </c>
      <c r="C10" s="3" t="inlineStr">
        <is>
          <t>Cul de Four</t>
        </is>
      </c>
      <c r="D10" s="135" t="n">
        <v>2149</v>
      </c>
      <c r="E10" s="135" t="n">
        <v>643</v>
      </c>
      <c r="F10" s="135" t="n">
        <v>1213</v>
      </c>
      <c r="G10" s="135" t="n">
        <v>294</v>
      </c>
      <c r="H10" s="135" t="n">
        <v>1090</v>
      </c>
      <c r="I10" s="135" t="n">
        <v>356</v>
      </c>
      <c r="J10" s="135" t="n">
        <v>601</v>
      </c>
      <c r="K10" s="135" t="n">
        <v>133</v>
      </c>
      <c r="L10" s="135" t="n">
        <v>1059</v>
      </c>
      <c r="M10" s="135" t="n">
        <v>287</v>
      </c>
      <c r="N10" s="135" t="n">
        <v>611</v>
      </c>
      <c r="O10" s="135" t="n">
        <v>161</v>
      </c>
      <c r="P10" s="135" t="n">
        <v>1122</v>
      </c>
      <c r="Q10" s="135" t="n">
        <v>195</v>
      </c>
      <c r="R10" s="135" t="n">
        <v>803</v>
      </c>
      <c r="S10" s="135" t="n">
        <v>125</v>
      </c>
      <c r="T10" s="135" t="n">
        <v>701</v>
      </c>
      <c r="U10" s="135" t="n">
        <v>131</v>
      </c>
      <c r="V10" s="135" t="n">
        <v>492</v>
      </c>
      <c r="W10" s="135" t="n">
        <v>78</v>
      </c>
      <c r="X10" s="135" t="n">
        <v>421</v>
      </c>
      <c r="Y10" s="135" t="n">
        <v>63</v>
      </c>
      <c r="Z10" s="135" t="n">
        <v>311</v>
      </c>
      <c r="AA10" s="135" t="n">
        <v>47</v>
      </c>
      <c r="AB10" s="135" t="n">
        <v>687</v>
      </c>
      <c r="AC10" s="135" t="n">
        <v>122</v>
      </c>
      <c r="AD10" s="135" t="n">
        <v>477</v>
      </c>
      <c r="AE10" s="135" t="n">
        <v>89</v>
      </c>
      <c r="AF10" s="135" t="n">
        <v>440</v>
      </c>
      <c r="AG10" s="135" t="n">
        <v>85</v>
      </c>
      <c r="AH10" s="135" t="n">
        <v>301</v>
      </c>
      <c r="AI10" s="135" t="n">
        <v>54</v>
      </c>
      <c r="AJ10" s="135" t="n">
        <v>247</v>
      </c>
      <c r="AK10" s="135" t="n">
        <v>36</v>
      </c>
      <c r="AL10" s="135" t="n">
        <v>176</v>
      </c>
      <c r="AM10" s="135" t="n">
        <v>34</v>
      </c>
      <c r="AN10" s="135" t="n">
        <v>435</v>
      </c>
      <c r="AO10" s="135" t="n">
        <v>73</v>
      </c>
      <c r="AP10" s="135" t="n">
        <v>326</v>
      </c>
      <c r="AQ10" s="135" t="n">
        <v>36</v>
      </c>
      <c r="AR10" s="135" t="n">
        <v>1027</v>
      </c>
      <c r="AS10" s="135" t="n">
        <v>376</v>
      </c>
      <c r="AT10" s="135" t="n">
        <v>48</v>
      </c>
      <c r="AU10" s="135" t="n">
        <v>603</v>
      </c>
      <c r="AV10" s="135" t="n">
        <v>0</v>
      </c>
      <c r="AW10" s="135" t="n">
        <v>32</v>
      </c>
      <c r="AX10" s="135" t="n">
        <v>38</v>
      </c>
      <c r="AY10" s="135" t="n">
        <v>134</v>
      </c>
      <c r="AZ10" s="135" t="n">
        <v>309</v>
      </c>
      <c r="BA10" s="135" t="n">
        <v>508</v>
      </c>
      <c r="BB10" s="135" t="n">
        <v>0</v>
      </c>
      <c r="BC10" s="135" t="n">
        <v>22</v>
      </c>
      <c r="BD10" s="135" t="n">
        <v>38</v>
      </c>
      <c r="BE10" s="135" t="n">
        <v>101</v>
      </c>
      <c r="BF10" s="135" t="n">
        <v>188</v>
      </c>
      <c r="BG10" s="135" t="n">
        <v>325</v>
      </c>
      <c r="BH10" s="135" t="n">
        <v>702</v>
      </c>
      <c r="BI10" s="135" t="n">
        <v>452</v>
      </c>
      <c r="BJ10" s="135" t="n">
        <v>250</v>
      </c>
      <c r="BK10" s="135" t="n">
        <v>678</v>
      </c>
      <c r="BL10" s="135" t="n">
        <v>429</v>
      </c>
      <c r="BM10" s="135" t="n">
        <v>249</v>
      </c>
      <c r="BN10" s="135" t="n">
        <v>24</v>
      </c>
      <c r="BO10" s="135" t="n">
        <v>23</v>
      </c>
      <c r="BP10" s="135" t="n">
        <v>1</v>
      </c>
      <c r="BQ10" s="135" t="n">
        <v>204</v>
      </c>
      <c r="BR10" s="135" t="n">
        <v>200</v>
      </c>
      <c r="BS10" s="135" t="n">
        <v>106</v>
      </c>
      <c r="BT10" s="135" t="n">
        <v>94</v>
      </c>
      <c r="BU10" s="135" t="n">
        <v>4</v>
      </c>
      <c r="BV10" s="135" t="n">
        <v>451</v>
      </c>
      <c r="BW10" s="135" t="n">
        <v>245</v>
      </c>
      <c r="BX10" s="135" t="n">
        <v>457</v>
      </c>
      <c r="BY10" s="135" t="n">
        <v>394</v>
      </c>
      <c r="BZ10" s="135" t="n">
        <v>4</v>
      </c>
      <c r="CA10" s="135" t="n">
        <v>20</v>
      </c>
      <c r="CB10" s="135" t="n">
        <v>39</v>
      </c>
      <c r="CC10" s="135" t="n">
        <v>4</v>
      </c>
      <c r="CD10" s="135" t="n">
        <v>24</v>
      </c>
      <c r="CE10" s="135" t="n">
        <v>55</v>
      </c>
      <c r="CF10" s="135" t="n">
        <v>11</v>
      </c>
      <c r="CG10" s="135" t="n">
        <v>461</v>
      </c>
      <c r="CH10" s="135" t="n">
        <v>146</v>
      </c>
      <c r="CI10" s="136" t="n">
        <v>0.5600000000000001</v>
      </c>
      <c r="CJ10" s="135" t="n">
        <v>3471</v>
      </c>
      <c r="CK10" s="137" t="n">
        <v>61.9</v>
      </c>
      <c r="CL10" s="137" t="n">
        <v>52.2</v>
      </c>
      <c r="CM10" s="137" t="n">
        <v>30.3</v>
      </c>
      <c r="CN10" s="137" t="n">
        <v>32</v>
      </c>
      <c r="CO10" s="137" t="n">
        <v>18.9</v>
      </c>
      <c r="CP10" s="137" t="n">
        <v>38.8</v>
      </c>
      <c r="CQ10" s="137" t="n">
        <v>37.5</v>
      </c>
      <c r="CR10" s="137" t="n">
        <v>96.59999999999999</v>
      </c>
      <c r="CS10" s="137" t="n">
        <v>36.7</v>
      </c>
      <c r="CT10" s="137" t="n">
        <v>66.5</v>
      </c>
      <c r="CU10" s="138" t="n">
        <v>34.9</v>
      </c>
    </row>
    <row r="11" ht="30" customHeight="1">
      <c r="A11" s="3" t="inlineStr">
        <is>
          <t>NORD</t>
        </is>
      </c>
      <c r="B11" s="3" t="inlineStr">
        <is>
          <t>HOMMELET</t>
        </is>
      </c>
      <c r="C11" s="3" t="inlineStr">
        <is>
          <t>Hommelet Nord</t>
        </is>
      </c>
      <c r="D11" s="135" t="n">
        <v>1431</v>
      </c>
      <c r="E11" s="135" t="n">
        <v>388</v>
      </c>
      <c r="F11" s="135" t="n">
        <v>863</v>
      </c>
      <c r="G11" s="135" t="n">
        <v>180</v>
      </c>
      <c r="H11" s="135" t="n">
        <v>729</v>
      </c>
      <c r="I11" s="135" t="n">
        <v>165</v>
      </c>
      <c r="J11" s="135" t="n">
        <v>459</v>
      </c>
      <c r="K11" s="135" t="n">
        <v>105</v>
      </c>
      <c r="L11" s="135" t="n">
        <v>702</v>
      </c>
      <c r="M11" s="135" t="n">
        <v>223</v>
      </c>
      <c r="N11" s="135" t="n">
        <v>404</v>
      </c>
      <c r="O11" s="135" t="n">
        <v>75</v>
      </c>
      <c r="P11" s="135" t="n">
        <v>829</v>
      </c>
      <c r="Q11" s="135" t="n">
        <v>112</v>
      </c>
      <c r="R11" s="135" t="n">
        <v>624</v>
      </c>
      <c r="S11" s="135" t="n">
        <v>93</v>
      </c>
      <c r="T11" s="135" t="n">
        <v>497</v>
      </c>
      <c r="U11" s="135" t="n">
        <v>45</v>
      </c>
      <c r="V11" s="135" t="n">
        <v>383</v>
      </c>
      <c r="W11" s="135" t="n">
        <v>70</v>
      </c>
      <c r="X11" s="135" t="n">
        <v>332</v>
      </c>
      <c r="Y11" s="135" t="n">
        <v>67</v>
      </c>
      <c r="Z11" s="135" t="n">
        <v>241</v>
      </c>
      <c r="AA11" s="135" t="n">
        <v>24</v>
      </c>
      <c r="AB11" s="135" t="n">
        <v>614</v>
      </c>
      <c r="AC11" s="135" t="n">
        <v>61</v>
      </c>
      <c r="AD11" s="135" t="n">
        <v>480</v>
      </c>
      <c r="AE11" s="135" t="n">
        <v>73</v>
      </c>
      <c r="AF11" s="135" t="n">
        <v>381</v>
      </c>
      <c r="AG11" s="135" t="n">
        <v>25</v>
      </c>
      <c r="AH11" s="135" t="n">
        <v>300</v>
      </c>
      <c r="AI11" s="135" t="n">
        <v>56</v>
      </c>
      <c r="AJ11" s="135" t="n">
        <v>233</v>
      </c>
      <c r="AK11" s="135" t="n">
        <v>37</v>
      </c>
      <c r="AL11" s="135" t="n">
        <v>180</v>
      </c>
      <c r="AM11" s="135" t="n">
        <v>17</v>
      </c>
      <c r="AN11" s="135" t="n">
        <v>216</v>
      </c>
      <c r="AO11" s="135" t="n">
        <v>51</v>
      </c>
      <c r="AP11" s="135" t="n">
        <v>144</v>
      </c>
      <c r="AQ11" s="135" t="n">
        <v>21</v>
      </c>
      <c r="AR11" s="135" t="n">
        <v>602</v>
      </c>
      <c r="AS11" s="135" t="n">
        <v>217</v>
      </c>
      <c r="AT11" s="135" t="n">
        <v>48</v>
      </c>
      <c r="AU11" s="135" t="n">
        <v>336</v>
      </c>
      <c r="AV11" s="135" t="n">
        <v>0</v>
      </c>
      <c r="AW11" s="135" t="n">
        <v>42</v>
      </c>
      <c r="AX11" s="135" t="n">
        <v>105</v>
      </c>
      <c r="AY11" s="135" t="n">
        <v>132</v>
      </c>
      <c r="AZ11" s="135" t="n">
        <v>196</v>
      </c>
      <c r="BA11" s="135" t="n">
        <v>337</v>
      </c>
      <c r="BB11" s="135" t="n">
        <v>0</v>
      </c>
      <c r="BC11" s="135" t="n">
        <v>37</v>
      </c>
      <c r="BD11" s="135" t="n">
        <v>105</v>
      </c>
      <c r="BE11" s="135" t="n">
        <v>98</v>
      </c>
      <c r="BF11" s="135" t="n">
        <v>147</v>
      </c>
      <c r="BG11" s="135" t="n">
        <v>246</v>
      </c>
      <c r="BH11" s="135" t="n">
        <v>617</v>
      </c>
      <c r="BI11" s="135" t="n">
        <v>384</v>
      </c>
      <c r="BJ11" s="135" t="n">
        <v>233</v>
      </c>
      <c r="BK11" s="135" t="n">
        <v>539</v>
      </c>
      <c r="BL11" s="135" t="n">
        <v>326</v>
      </c>
      <c r="BM11" s="135" t="n">
        <v>213</v>
      </c>
      <c r="BN11" s="135" t="n">
        <v>78</v>
      </c>
      <c r="BO11" s="135" t="n">
        <v>58</v>
      </c>
      <c r="BP11" s="135" t="n">
        <v>20</v>
      </c>
      <c r="BQ11" s="135" t="n">
        <v>154</v>
      </c>
      <c r="BR11" s="135" t="n">
        <v>141</v>
      </c>
      <c r="BS11" s="135" t="n">
        <v>45</v>
      </c>
      <c r="BT11" s="135" t="n">
        <v>96</v>
      </c>
      <c r="BU11" s="135" t="n">
        <v>13</v>
      </c>
      <c r="BV11" s="135" t="n">
        <v>423</v>
      </c>
      <c r="BW11" s="135" t="n">
        <v>190</v>
      </c>
      <c r="BX11" s="135" t="n">
        <v>427</v>
      </c>
      <c r="BY11" s="135" t="n">
        <v>373</v>
      </c>
      <c r="BZ11" s="135" t="n">
        <v>10</v>
      </c>
      <c r="CA11" s="135" t="n">
        <v>15</v>
      </c>
      <c r="CB11" s="135" t="n">
        <v>29</v>
      </c>
      <c r="CC11" s="135" t="n">
        <v>32</v>
      </c>
      <c r="CD11" s="135" t="n">
        <v>38</v>
      </c>
      <c r="CE11" s="135" t="n">
        <v>17</v>
      </c>
      <c r="CF11" s="135" t="n">
        <v>0</v>
      </c>
      <c r="CG11" s="135" t="n">
        <v>389</v>
      </c>
      <c r="CH11" s="135" t="n">
        <v>142</v>
      </c>
      <c r="CI11" s="136" t="n">
        <v>0.18</v>
      </c>
      <c r="CJ11" s="135" t="n">
        <v>2308</v>
      </c>
      <c r="CK11" s="137" t="n">
        <v>62</v>
      </c>
      <c r="CL11" s="137" t="n">
        <v>58</v>
      </c>
      <c r="CM11" s="137" t="n">
        <v>28.8</v>
      </c>
      <c r="CN11" s="137" t="n">
        <v>42.9</v>
      </c>
      <c r="CO11" s="137" t="n">
        <v>15.7</v>
      </c>
      <c r="CP11" s="137" t="n">
        <v>26</v>
      </c>
      <c r="CQ11" s="137" t="n">
        <v>45.5</v>
      </c>
      <c r="CR11" s="137" t="n">
        <v>87.3</v>
      </c>
      <c r="CS11" s="137" t="n">
        <v>39.5</v>
      </c>
      <c r="CT11" s="137" t="n">
        <v>78.5</v>
      </c>
      <c r="CU11" s="138" t="n">
        <v>30.8</v>
      </c>
    </row>
    <row r="12" ht="30" customHeight="1">
      <c r="A12" s="3" t="inlineStr">
        <is>
          <t>NORD</t>
        </is>
      </c>
      <c r="B12" s="3" t="inlineStr">
        <is>
          <t>HOMMELET</t>
        </is>
      </c>
      <c r="C12" s="3" t="inlineStr">
        <is>
          <t>Hommelet Centre</t>
        </is>
      </c>
      <c r="D12" s="135" t="n">
        <v>1660</v>
      </c>
      <c r="E12" s="135" t="n">
        <v>477</v>
      </c>
      <c r="F12" s="135" t="n">
        <v>913</v>
      </c>
      <c r="G12" s="135" t="n">
        <v>270</v>
      </c>
      <c r="H12" s="135" t="n">
        <v>787</v>
      </c>
      <c r="I12" s="135" t="n">
        <v>249</v>
      </c>
      <c r="J12" s="135" t="n">
        <v>394</v>
      </c>
      <c r="K12" s="135" t="n">
        <v>145</v>
      </c>
      <c r="L12" s="135" t="n">
        <v>873</v>
      </c>
      <c r="M12" s="135" t="n">
        <v>228</v>
      </c>
      <c r="N12" s="135" t="n">
        <v>520</v>
      </c>
      <c r="O12" s="135" t="n">
        <v>126</v>
      </c>
      <c r="P12" s="135" t="n">
        <v>916</v>
      </c>
      <c r="Q12" s="135" t="n">
        <v>125</v>
      </c>
      <c r="R12" s="135" t="n">
        <v>656</v>
      </c>
      <c r="S12" s="135" t="n">
        <v>135</v>
      </c>
      <c r="T12" s="135" t="n">
        <v>505</v>
      </c>
      <c r="U12" s="135" t="n">
        <v>77</v>
      </c>
      <c r="V12" s="135" t="n">
        <v>339</v>
      </c>
      <c r="W12" s="135" t="n">
        <v>89</v>
      </c>
      <c r="X12" s="135" t="n">
        <v>412</v>
      </c>
      <c r="Y12" s="135" t="n">
        <v>49</v>
      </c>
      <c r="Z12" s="135" t="n">
        <v>317</v>
      </c>
      <c r="AA12" s="135" t="n">
        <v>47</v>
      </c>
      <c r="AB12" s="135" t="n">
        <v>630</v>
      </c>
      <c r="AC12" s="135" t="n">
        <v>59</v>
      </c>
      <c r="AD12" s="135" t="n">
        <v>468</v>
      </c>
      <c r="AE12" s="135" t="n">
        <v>103</v>
      </c>
      <c r="AF12" s="135" t="n">
        <v>362</v>
      </c>
      <c r="AG12" s="135" t="n">
        <v>32</v>
      </c>
      <c r="AH12" s="135" t="n">
        <v>262</v>
      </c>
      <c r="AI12" s="135" t="n">
        <v>68</v>
      </c>
      <c r="AJ12" s="135" t="n">
        <v>268</v>
      </c>
      <c r="AK12" s="135" t="n">
        <v>27</v>
      </c>
      <c r="AL12" s="135" t="n">
        <v>206</v>
      </c>
      <c r="AM12" s="135" t="n">
        <v>35</v>
      </c>
      <c r="AN12" s="135" t="n">
        <v>287</v>
      </c>
      <c r="AO12" s="135" t="n">
        <v>66</v>
      </c>
      <c r="AP12" s="135" t="n">
        <v>188</v>
      </c>
      <c r="AQ12" s="135" t="n">
        <v>32</v>
      </c>
      <c r="AR12" s="135" t="n">
        <v>743</v>
      </c>
      <c r="AS12" s="135" t="n">
        <v>298</v>
      </c>
      <c r="AT12" s="135" t="n">
        <v>45</v>
      </c>
      <c r="AU12" s="135" t="n">
        <v>401</v>
      </c>
      <c r="AV12" s="135" t="n">
        <v>0</v>
      </c>
      <c r="AW12" s="135" t="n">
        <v>53</v>
      </c>
      <c r="AX12" s="135" t="n">
        <v>39</v>
      </c>
      <c r="AY12" s="135" t="n">
        <v>121</v>
      </c>
      <c r="AZ12" s="135" t="n">
        <v>306</v>
      </c>
      <c r="BA12" s="135" t="n">
        <v>368</v>
      </c>
      <c r="BB12" s="135" t="n">
        <v>0</v>
      </c>
      <c r="BC12" s="135" t="n">
        <v>47</v>
      </c>
      <c r="BD12" s="135" t="n">
        <v>32</v>
      </c>
      <c r="BE12" s="135" t="n">
        <v>100</v>
      </c>
      <c r="BF12" s="135" t="n">
        <v>226</v>
      </c>
      <c r="BG12" s="135" t="n">
        <v>266</v>
      </c>
      <c r="BH12" s="135" t="n">
        <v>641</v>
      </c>
      <c r="BI12" s="135" t="n">
        <v>371</v>
      </c>
      <c r="BJ12" s="135" t="n">
        <v>270</v>
      </c>
      <c r="BK12" s="135" t="n">
        <v>587</v>
      </c>
      <c r="BL12" s="135" t="n">
        <v>336</v>
      </c>
      <c r="BM12" s="135" t="n">
        <v>251</v>
      </c>
      <c r="BN12" s="135" t="n">
        <v>54</v>
      </c>
      <c r="BO12" s="135" t="n">
        <v>34</v>
      </c>
      <c r="BP12" s="135" t="n">
        <v>20</v>
      </c>
      <c r="BQ12" s="135" t="n">
        <v>161</v>
      </c>
      <c r="BR12" s="135" t="n">
        <v>144</v>
      </c>
      <c r="BS12" s="135" t="n">
        <v>63</v>
      </c>
      <c r="BT12" s="135" t="n">
        <v>82</v>
      </c>
      <c r="BU12" s="135" t="n">
        <v>17</v>
      </c>
      <c r="BV12" s="135" t="n">
        <v>425</v>
      </c>
      <c r="BW12" s="135" t="n">
        <v>223</v>
      </c>
      <c r="BX12" s="135" t="n">
        <v>418</v>
      </c>
      <c r="BY12" s="135" t="n">
        <v>371</v>
      </c>
      <c r="BZ12" s="135" t="n">
        <v>3</v>
      </c>
      <c r="CA12" s="135" t="n">
        <v>8</v>
      </c>
      <c r="CB12" s="135" t="n">
        <v>37</v>
      </c>
      <c r="CC12" s="135" t="n">
        <v>10</v>
      </c>
      <c r="CD12" s="135" t="n">
        <v>67</v>
      </c>
      <c r="CE12" s="135" t="n">
        <v>6</v>
      </c>
      <c r="CF12" s="135" t="n">
        <v>3</v>
      </c>
      <c r="CG12" s="135" t="n">
        <v>379</v>
      </c>
      <c r="CH12" s="135" t="n">
        <v>177</v>
      </c>
      <c r="CI12" s="136" t="n">
        <v>0.28</v>
      </c>
      <c r="CJ12" s="135" t="n">
        <v>2774</v>
      </c>
      <c r="CK12" s="137" t="n">
        <v>59.8</v>
      </c>
      <c r="CL12" s="137" t="n">
        <v>55.2</v>
      </c>
      <c r="CM12" s="137" t="n">
        <v>26.3</v>
      </c>
      <c r="CN12" s="137" t="n">
        <v>38</v>
      </c>
      <c r="CO12" s="137" t="n">
        <v>12.4</v>
      </c>
      <c r="CP12" s="137" t="n">
        <v>31.3</v>
      </c>
      <c r="CQ12" s="137" t="n">
        <v>53</v>
      </c>
      <c r="CR12" s="137" t="n">
        <v>91.59999999999999</v>
      </c>
      <c r="CS12" s="137" t="n">
        <v>42.7</v>
      </c>
      <c r="CT12" s="137" t="n">
        <v>72.40000000000001</v>
      </c>
      <c r="CU12" s="138" t="n">
        <v>34.8</v>
      </c>
    </row>
    <row r="13" ht="30" customHeight="1">
      <c r="A13" s="3" t="inlineStr">
        <is>
          <t>NORD</t>
        </is>
      </c>
      <c r="B13" s="3" t="inlineStr">
        <is>
          <t>HOMMELET</t>
        </is>
      </c>
      <c r="C13" s="3" t="inlineStr">
        <is>
          <t>Hommelet Sud</t>
        </is>
      </c>
      <c r="D13" s="135" t="n">
        <v>1576</v>
      </c>
      <c r="E13" s="135" t="n">
        <v>457</v>
      </c>
      <c r="F13" s="135" t="n">
        <v>902</v>
      </c>
      <c r="G13" s="135" t="n">
        <v>217</v>
      </c>
      <c r="H13" s="135" t="n">
        <v>842</v>
      </c>
      <c r="I13" s="135" t="n">
        <v>247</v>
      </c>
      <c r="J13" s="135" t="n">
        <v>487</v>
      </c>
      <c r="K13" s="135" t="n">
        <v>108</v>
      </c>
      <c r="L13" s="135" t="n">
        <v>734</v>
      </c>
      <c r="M13" s="135" t="n">
        <v>210</v>
      </c>
      <c r="N13" s="135" t="n">
        <v>416</v>
      </c>
      <c r="O13" s="135" t="n">
        <v>109</v>
      </c>
      <c r="P13" s="135" t="n">
        <v>949</v>
      </c>
      <c r="Q13" s="135" t="n">
        <v>125</v>
      </c>
      <c r="R13" s="135" t="n">
        <v>680</v>
      </c>
      <c r="S13" s="135" t="n">
        <v>144</v>
      </c>
      <c r="T13" s="135" t="n">
        <v>562</v>
      </c>
      <c r="U13" s="135" t="n">
        <v>75</v>
      </c>
      <c r="V13" s="135" t="n">
        <v>402</v>
      </c>
      <c r="W13" s="135" t="n">
        <v>85</v>
      </c>
      <c r="X13" s="135" t="n">
        <v>387</v>
      </c>
      <c r="Y13" s="135" t="n">
        <v>50</v>
      </c>
      <c r="Z13" s="135" t="n">
        <v>278</v>
      </c>
      <c r="AA13" s="135" t="n">
        <v>59</v>
      </c>
      <c r="AB13" s="135" t="n">
        <v>670</v>
      </c>
      <c r="AC13" s="135" t="n">
        <v>75</v>
      </c>
      <c r="AD13" s="135" t="n">
        <v>490</v>
      </c>
      <c r="AE13" s="135" t="n">
        <v>105</v>
      </c>
      <c r="AF13" s="135" t="n">
        <v>415</v>
      </c>
      <c r="AG13" s="135" t="n">
        <v>48</v>
      </c>
      <c r="AH13" s="135" t="n">
        <v>295</v>
      </c>
      <c r="AI13" s="135" t="n">
        <v>72</v>
      </c>
      <c r="AJ13" s="135" t="n">
        <v>255</v>
      </c>
      <c r="AK13" s="135" t="n">
        <v>27</v>
      </c>
      <c r="AL13" s="135" t="n">
        <v>195</v>
      </c>
      <c r="AM13" s="135" t="n">
        <v>33</v>
      </c>
      <c r="AN13" s="135" t="n">
        <v>279</v>
      </c>
      <c r="AO13" s="135" t="n">
        <v>50</v>
      </c>
      <c r="AP13" s="135" t="n">
        <v>190</v>
      </c>
      <c r="AQ13" s="135" t="n">
        <v>39</v>
      </c>
      <c r="AR13" s="135" t="n">
        <v>627</v>
      </c>
      <c r="AS13" s="135" t="n">
        <v>284</v>
      </c>
      <c r="AT13" s="135" t="n">
        <v>30</v>
      </c>
      <c r="AU13" s="135" t="n">
        <v>313</v>
      </c>
      <c r="AV13" s="135" t="n">
        <v>0</v>
      </c>
      <c r="AW13" s="135" t="n">
        <v>38</v>
      </c>
      <c r="AX13" s="135" t="n">
        <v>132</v>
      </c>
      <c r="AY13" s="135" t="n">
        <v>126</v>
      </c>
      <c r="AZ13" s="135" t="n">
        <v>270</v>
      </c>
      <c r="BA13" s="135" t="n">
        <v>384</v>
      </c>
      <c r="BB13" s="135" t="n">
        <v>0</v>
      </c>
      <c r="BC13" s="135" t="n">
        <v>34</v>
      </c>
      <c r="BD13" s="135" t="n">
        <v>123</v>
      </c>
      <c r="BE13" s="135" t="n">
        <v>117</v>
      </c>
      <c r="BF13" s="135" t="n">
        <v>193</v>
      </c>
      <c r="BG13" s="135" t="n">
        <v>258</v>
      </c>
      <c r="BH13" s="135" t="n">
        <v>674</v>
      </c>
      <c r="BI13" s="135" t="n">
        <v>419</v>
      </c>
      <c r="BJ13" s="135" t="n">
        <v>255</v>
      </c>
      <c r="BK13" s="135" t="n">
        <v>600</v>
      </c>
      <c r="BL13" s="135" t="n">
        <v>364</v>
      </c>
      <c r="BM13" s="135" t="n">
        <v>236</v>
      </c>
      <c r="BN13" s="135" t="n">
        <v>74</v>
      </c>
      <c r="BO13" s="135" t="n">
        <v>55</v>
      </c>
      <c r="BP13" s="135" t="n">
        <v>19</v>
      </c>
      <c r="BQ13" s="135" t="n">
        <v>146</v>
      </c>
      <c r="BR13" s="135" t="n">
        <v>137</v>
      </c>
      <c r="BS13" s="135" t="n">
        <v>61</v>
      </c>
      <c r="BT13" s="135" t="n">
        <v>76</v>
      </c>
      <c r="BU13" s="135" t="n">
        <v>9</v>
      </c>
      <c r="BV13" s="135" t="n">
        <v>440</v>
      </c>
      <c r="BW13" s="135" t="n">
        <v>238</v>
      </c>
      <c r="BX13" s="135" t="n">
        <v>436</v>
      </c>
      <c r="BY13" s="135" t="n">
        <v>393</v>
      </c>
      <c r="BZ13" s="135" t="n">
        <v>11</v>
      </c>
      <c r="CA13" s="135" t="n">
        <v>14</v>
      </c>
      <c r="CB13" s="135" t="n">
        <v>18</v>
      </c>
      <c r="CC13" s="135" t="n">
        <v>25</v>
      </c>
      <c r="CD13" s="135" t="n">
        <v>69</v>
      </c>
      <c r="CE13" s="135" t="n">
        <v>12</v>
      </c>
      <c r="CF13" s="135" t="n">
        <v>16</v>
      </c>
      <c r="CG13" s="135" t="n">
        <v>356</v>
      </c>
      <c r="CH13" s="135" t="n">
        <v>195</v>
      </c>
      <c r="CI13" s="136" t="n">
        <v>0.21</v>
      </c>
      <c r="CJ13" s="135" t="n">
        <v>2353</v>
      </c>
      <c r="CK13" s="137" t="n">
        <v>67</v>
      </c>
      <c r="CL13" s="137" t="n">
        <v>60.2</v>
      </c>
      <c r="CM13" s="137" t="n">
        <v>27.4</v>
      </c>
      <c r="CN13" s="137" t="n">
        <v>42.5</v>
      </c>
      <c r="CO13" s="137" t="n">
        <v>16.5</v>
      </c>
      <c r="CP13" s="137" t="n">
        <v>29.4</v>
      </c>
      <c r="CQ13" s="137" t="n">
        <v>39.8</v>
      </c>
      <c r="CR13" s="137" t="n">
        <v>89</v>
      </c>
      <c r="CS13" s="137" t="n">
        <v>39.4</v>
      </c>
      <c r="CT13" s="137" t="n">
        <v>73.3</v>
      </c>
      <c r="CU13" s="138" t="n">
        <v>35.3</v>
      </c>
    </row>
    <row r="14" ht="30" customHeight="1">
      <c r="A14" s="3" t="inlineStr">
        <is>
          <t>OUEST</t>
        </is>
      </c>
      <c r="B14" s="3" t="inlineStr">
        <is>
          <t>EPEULE</t>
        </is>
      </c>
      <c r="C14" s="3" t="inlineStr">
        <is>
          <t>Épeule Nord</t>
        </is>
      </c>
      <c r="D14" s="135" t="n">
        <v>1239</v>
      </c>
      <c r="E14" s="135" t="n">
        <v>308</v>
      </c>
      <c r="F14" s="135" t="n">
        <v>681</v>
      </c>
      <c r="G14" s="135" t="n">
        <v>249</v>
      </c>
      <c r="H14" s="135" t="n">
        <v>605</v>
      </c>
      <c r="I14" s="135" t="n">
        <v>158</v>
      </c>
      <c r="J14" s="135" t="n">
        <v>340</v>
      </c>
      <c r="K14" s="135" t="n">
        <v>106</v>
      </c>
      <c r="L14" s="135" t="n">
        <v>634</v>
      </c>
      <c r="M14" s="135" t="n">
        <v>150</v>
      </c>
      <c r="N14" s="135" t="n">
        <v>341</v>
      </c>
      <c r="O14" s="135" t="n">
        <v>143</v>
      </c>
      <c r="P14" s="135" t="n">
        <v>681</v>
      </c>
      <c r="Q14" s="135" t="n">
        <v>90</v>
      </c>
      <c r="R14" s="135" t="n">
        <v>452</v>
      </c>
      <c r="S14" s="135" t="n">
        <v>139</v>
      </c>
      <c r="T14" s="135" t="n">
        <v>383</v>
      </c>
      <c r="U14" s="135" t="n">
        <v>47</v>
      </c>
      <c r="V14" s="135" t="n">
        <v>271</v>
      </c>
      <c r="W14" s="135" t="n">
        <v>66</v>
      </c>
      <c r="X14" s="135" t="n">
        <v>298</v>
      </c>
      <c r="Y14" s="135" t="n">
        <v>43</v>
      </c>
      <c r="Z14" s="135" t="n">
        <v>182</v>
      </c>
      <c r="AA14" s="135" t="n">
        <v>73</v>
      </c>
      <c r="AB14" s="135" t="n">
        <v>448</v>
      </c>
      <c r="AC14" s="135" t="n">
        <v>51</v>
      </c>
      <c r="AD14" s="135" t="n">
        <v>294</v>
      </c>
      <c r="AE14" s="135" t="n">
        <v>103</v>
      </c>
      <c r="AF14" s="135" t="n">
        <v>262</v>
      </c>
      <c r="AG14" s="135" t="n">
        <v>21</v>
      </c>
      <c r="AH14" s="135" t="n">
        <v>191</v>
      </c>
      <c r="AI14" s="135" t="n">
        <v>50</v>
      </c>
      <c r="AJ14" s="135" t="n">
        <v>187</v>
      </c>
      <c r="AK14" s="135" t="n">
        <v>30</v>
      </c>
      <c r="AL14" s="135" t="n">
        <v>103</v>
      </c>
      <c r="AM14" s="135" t="n">
        <v>54</v>
      </c>
      <c r="AN14" s="135" t="n">
        <v>232</v>
      </c>
      <c r="AO14" s="135" t="n">
        <v>39</v>
      </c>
      <c r="AP14" s="135" t="n">
        <v>158</v>
      </c>
      <c r="AQ14" s="135" t="n">
        <v>36</v>
      </c>
      <c r="AR14" s="135" t="n">
        <v>558</v>
      </c>
      <c r="AS14" s="135" t="n">
        <v>154</v>
      </c>
      <c r="AT14" s="135" t="n">
        <v>38</v>
      </c>
      <c r="AU14" s="135" t="n">
        <v>366</v>
      </c>
      <c r="AV14" s="135" t="n">
        <v>0</v>
      </c>
      <c r="AW14" s="135" t="n">
        <v>31</v>
      </c>
      <c r="AX14" s="135" t="n">
        <v>15</v>
      </c>
      <c r="AY14" s="135" t="n">
        <v>83</v>
      </c>
      <c r="AZ14" s="135" t="n">
        <v>184</v>
      </c>
      <c r="BA14" s="135" t="n">
        <v>253</v>
      </c>
      <c r="BB14" s="135" t="n">
        <v>0</v>
      </c>
      <c r="BC14" s="135" t="n">
        <v>24</v>
      </c>
      <c r="BD14" s="135" t="n">
        <v>15</v>
      </c>
      <c r="BE14" s="135" t="n">
        <v>62</v>
      </c>
      <c r="BF14" s="135" t="n">
        <v>146</v>
      </c>
      <c r="BG14" s="135" t="n">
        <v>184</v>
      </c>
      <c r="BH14" s="135" t="n">
        <v>466</v>
      </c>
      <c r="BI14" s="135" t="n">
        <v>271</v>
      </c>
      <c r="BJ14" s="135" t="n">
        <v>195</v>
      </c>
      <c r="BK14" s="135" t="n">
        <v>406</v>
      </c>
      <c r="BL14" s="135" t="n">
        <v>233</v>
      </c>
      <c r="BM14" s="135" t="n">
        <v>173</v>
      </c>
      <c r="BN14" s="135" t="n">
        <v>60</v>
      </c>
      <c r="BO14" s="135" t="n">
        <v>38</v>
      </c>
      <c r="BP14" s="135" t="n">
        <v>22</v>
      </c>
      <c r="BQ14" s="135" t="n">
        <v>157</v>
      </c>
      <c r="BR14" s="135" t="n">
        <v>140</v>
      </c>
      <c r="BS14" s="135" t="n">
        <v>64</v>
      </c>
      <c r="BT14" s="135" t="n">
        <v>76</v>
      </c>
      <c r="BU14" s="135" t="n">
        <v>17</v>
      </c>
      <c r="BV14" s="135" t="n">
        <v>276</v>
      </c>
      <c r="BW14" s="135" t="n">
        <v>230</v>
      </c>
      <c r="BX14" s="135" t="n">
        <v>237</v>
      </c>
      <c r="BY14" s="135" t="n">
        <v>202</v>
      </c>
      <c r="BZ14" s="135" t="n">
        <v>8</v>
      </c>
      <c r="CA14" s="135" t="n">
        <v>11</v>
      </c>
      <c r="CB14" s="135" t="n">
        <v>15</v>
      </c>
      <c r="CC14" s="135" t="n">
        <v>27</v>
      </c>
      <c r="CD14" s="135" t="n">
        <v>54</v>
      </c>
      <c r="CE14" s="135" t="n">
        <v>4</v>
      </c>
      <c r="CF14" s="135" t="n">
        <v>3</v>
      </c>
      <c r="CG14" s="135" t="n">
        <v>192</v>
      </c>
      <c r="CH14" s="135" t="n">
        <v>187</v>
      </c>
      <c r="CI14" s="136" t="n">
        <v>0.15</v>
      </c>
      <c r="CJ14" s="135" t="n">
        <v>1947</v>
      </c>
      <c r="CK14" s="137" t="n">
        <v>63.6</v>
      </c>
      <c r="CL14" s="137" t="n">
        <v>55</v>
      </c>
      <c r="CM14" s="137" t="n">
        <v>29.1</v>
      </c>
      <c r="CN14" s="137" t="n">
        <v>36.2</v>
      </c>
      <c r="CO14" s="137" t="n">
        <v>16.6</v>
      </c>
      <c r="CP14" s="137" t="n">
        <v>34.1</v>
      </c>
      <c r="CQ14" s="137" t="n">
        <v>43</v>
      </c>
      <c r="CR14" s="137" t="n">
        <v>87.09999999999999</v>
      </c>
      <c r="CS14" s="137" t="n">
        <v>42.7</v>
      </c>
      <c r="CT14" s="137" t="n">
        <v>67.90000000000001</v>
      </c>
      <c r="CU14" s="138" t="n">
        <v>49.3</v>
      </c>
    </row>
    <row r="15" ht="30" customHeight="1">
      <c r="A15" s="3" t="inlineStr">
        <is>
          <t>OUEST</t>
        </is>
      </c>
      <c r="B15" s="3" t="inlineStr">
        <is>
          <t>EPEULE</t>
        </is>
      </c>
      <c r="C15" s="3" t="inlineStr">
        <is>
          <t>Épeule Centre</t>
        </is>
      </c>
      <c r="D15" s="135" t="n">
        <v>1564</v>
      </c>
      <c r="E15" s="135" t="n">
        <v>397</v>
      </c>
      <c r="F15" s="135" t="n">
        <v>923</v>
      </c>
      <c r="G15" s="135" t="n">
        <v>243</v>
      </c>
      <c r="H15" s="135" t="n">
        <v>780</v>
      </c>
      <c r="I15" s="135" t="n">
        <v>206</v>
      </c>
      <c r="J15" s="135" t="n">
        <v>467</v>
      </c>
      <c r="K15" s="135" t="n">
        <v>107</v>
      </c>
      <c r="L15" s="135" t="n">
        <v>784</v>
      </c>
      <c r="M15" s="135" t="n">
        <v>191</v>
      </c>
      <c r="N15" s="135" t="n">
        <v>457</v>
      </c>
      <c r="O15" s="135" t="n">
        <v>136</v>
      </c>
      <c r="P15" s="135" t="n">
        <v>965</v>
      </c>
      <c r="Q15" s="135" t="n">
        <v>165</v>
      </c>
      <c r="R15" s="135" t="n">
        <v>659</v>
      </c>
      <c r="S15" s="135" t="n">
        <v>141</v>
      </c>
      <c r="T15" s="135" t="n">
        <v>547</v>
      </c>
      <c r="U15" s="135" t="n">
        <v>87</v>
      </c>
      <c r="V15" s="135" t="n">
        <v>391</v>
      </c>
      <c r="W15" s="135" t="n">
        <v>69</v>
      </c>
      <c r="X15" s="135" t="n">
        <v>418</v>
      </c>
      <c r="Y15" s="135" t="n">
        <v>78</v>
      </c>
      <c r="Z15" s="135" t="n">
        <v>268</v>
      </c>
      <c r="AA15" s="135" t="n">
        <v>72</v>
      </c>
      <c r="AB15" s="135" t="n">
        <v>661</v>
      </c>
      <c r="AC15" s="135" t="n">
        <v>90</v>
      </c>
      <c r="AD15" s="135" t="n">
        <v>455</v>
      </c>
      <c r="AE15" s="135" t="n">
        <v>115</v>
      </c>
      <c r="AF15" s="135" t="n">
        <v>390</v>
      </c>
      <c r="AG15" s="135" t="n">
        <v>53</v>
      </c>
      <c r="AH15" s="135" t="n">
        <v>279</v>
      </c>
      <c r="AI15" s="135" t="n">
        <v>58</v>
      </c>
      <c r="AJ15" s="135" t="n">
        <v>271</v>
      </c>
      <c r="AK15" s="135" t="n">
        <v>38</v>
      </c>
      <c r="AL15" s="135" t="n">
        <v>176</v>
      </c>
      <c r="AM15" s="135" t="n">
        <v>57</v>
      </c>
      <c r="AN15" s="135" t="n">
        <v>305</v>
      </c>
      <c r="AO15" s="135" t="n">
        <v>75</v>
      </c>
      <c r="AP15" s="135" t="n">
        <v>204</v>
      </c>
      <c r="AQ15" s="135" t="n">
        <v>26</v>
      </c>
      <c r="AR15" s="135" t="n">
        <v>598</v>
      </c>
      <c r="AS15" s="135" t="n">
        <v>155</v>
      </c>
      <c r="AT15" s="135" t="n">
        <v>27</v>
      </c>
      <c r="AU15" s="135" t="n">
        <v>416</v>
      </c>
      <c r="AV15" s="135" t="n">
        <v>0</v>
      </c>
      <c r="AW15" s="135" t="n">
        <v>51</v>
      </c>
      <c r="AX15" s="135" t="n">
        <v>97</v>
      </c>
      <c r="AY15" s="135" t="n">
        <v>154</v>
      </c>
      <c r="AZ15" s="135" t="n">
        <v>272</v>
      </c>
      <c r="BA15" s="135" t="n">
        <v>265</v>
      </c>
      <c r="BB15" s="135" t="n">
        <v>0</v>
      </c>
      <c r="BC15" s="135" t="n">
        <v>51</v>
      </c>
      <c r="BD15" s="135" t="n">
        <v>88</v>
      </c>
      <c r="BE15" s="135" t="n">
        <v>143</v>
      </c>
      <c r="BF15" s="135" t="n">
        <v>210</v>
      </c>
      <c r="BG15" s="135" t="n">
        <v>150</v>
      </c>
      <c r="BH15" s="135" t="n">
        <v>678</v>
      </c>
      <c r="BI15" s="135" t="n">
        <v>394</v>
      </c>
      <c r="BJ15" s="135" t="n">
        <v>284</v>
      </c>
      <c r="BK15" s="135" t="n">
        <v>597</v>
      </c>
      <c r="BL15" s="135" t="n">
        <v>347</v>
      </c>
      <c r="BM15" s="135" t="n">
        <v>251</v>
      </c>
      <c r="BN15" s="135" t="n">
        <v>81</v>
      </c>
      <c r="BO15" s="135" t="n">
        <v>48</v>
      </c>
      <c r="BP15" s="135" t="n">
        <v>33</v>
      </c>
      <c r="BQ15" s="135" t="n">
        <v>142</v>
      </c>
      <c r="BR15" s="135" t="n">
        <v>128</v>
      </c>
      <c r="BS15" s="135" t="n">
        <v>43</v>
      </c>
      <c r="BT15" s="135" t="n">
        <v>85</v>
      </c>
      <c r="BU15" s="135" t="n">
        <v>14</v>
      </c>
      <c r="BV15" s="135" t="n">
        <v>449</v>
      </c>
      <c r="BW15" s="135" t="n">
        <v>226</v>
      </c>
      <c r="BX15" s="135" t="n">
        <v>452</v>
      </c>
      <c r="BY15" s="135" t="n">
        <v>408</v>
      </c>
      <c r="BZ15" s="135" t="n">
        <v>7</v>
      </c>
      <c r="CA15" s="135" t="n">
        <v>4</v>
      </c>
      <c r="CB15" s="135" t="n">
        <v>32</v>
      </c>
      <c r="CC15" s="135" t="n">
        <v>30</v>
      </c>
      <c r="CD15" s="135" t="n">
        <v>81</v>
      </c>
      <c r="CE15" s="135" t="n">
        <v>13</v>
      </c>
      <c r="CF15" s="135" t="n">
        <v>5</v>
      </c>
      <c r="CG15" s="135" t="n">
        <v>360</v>
      </c>
      <c r="CH15" s="135" t="n">
        <v>188</v>
      </c>
      <c r="CI15" s="136" t="n">
        <v>0.2</v>
      </c>
      <c r="CJ15" s="135" t="n">
        <v>2457</v>
      </c>
      <c r="CK15" s="137" t="n">
        <v>63.6</v>
      </c>
      <c r="CL15" s="137" t="n">
        <v>61.7</v>
      </c>
      <c r="CM15" s="137" t="n">
        <v>41.6</v>
      </c>
      <c r="CN15" s="137" t="n">
        <v>42.3</v>
      </c>
      <c r="CO15" s="137" t="n">
        <v>22.8</v>
      </c>
      <c r="CP15" s="137" t="n">
        <v>31.6</v>
      </c>
      <c r="CQ15" s="137" t="n">
        <v>45.3</v>
      </c>
      <c r="CR15" s="137" t="n">
        <v>88.09999999999999</v>
      </c>
      <c r="CS15" s="137" t="n">
        <v>42</v>
      </c>
      <c r="CT15" s="137" t="n">
        <v>75.09999999999999</v>
      </c>
      <c r="CU15" s="138" t="n">
        <v>33.4</v>
      </c>
    </row>
    <row r="16" ht="30" customHeight="1">
      <c r="A16" s="3" t="inlineStr">
        <is>
          <t>OUEST</t>
        </is>
      </c>
      <c r="B16" s="3" t="inlineStr">
        <is>
          <t>EPEULE</t>
        </is>
      </c>
      <c r="C16" s="3" t="inlineStr">
        <is>
          <t>Épeule Sud</t>
        </is>
      </c>
      <c r="D16" s="135" t="n">
        <v>1433</v>
      </c>
      <c r="E16" s="135" t="n">
        <v>448</v>
      </c>
      <c r="F16" s="135" t="n">
        <v>764</v>
      </c>
      <c r="G16" s="135" t="n">
        <v>221</v>
      </c>
      <c r="H16" s="135" t="n">
        <v>752</v>
      </c>
      <c r="I16" s="135" t="n">
        <v>246</v>
      </c>
      <c r="J16" s="135" t="n">
        <v>394</v>
      </c>
      <c r="K16" s="135" t="n">
        <v>112</v>
      </c>
      <c r="L16" s="135" t="n">
        <v>682</v>
      </c>
      <c r="M16" s="135" t="n">
        <v>201</v>
      </c>
      <c r="N16" s="135" t="n">
        <v>371</v>
      </c>
      <c r="O16" s="135" t="n">
        <v>109</v>
      </c>
      <c r="P16" s="135" t="n">
        <v>892</v>
      </c>
      <c r="Q16" s="135" t="n">
        <v>192</v>
      </c>
      <c r="R16" s="135" t="n">
        <v>575</v>
      </c>
      <c r="S16" s="135" t="n">
        <v>126</v>
      </c>
      <c r="T16" s="135" t="n">
        <v>521</v>
      </c>
      <c r="U16" s="135" t="n">
        <v>127</v>
      </c>
      <c r="V16" s="135" t="n">
        <v>317</v>
      </c>
      <c r="W16" s="135" t="n">
        <v>77</v>
      </c>
      <c r="X16" s="135" t="n">
        <v>371</v>
      </c>
      <c r="Y16" s="135" t="n">
        <v>65</v>
      </c>
      <c r="Z16" s="135" t="n">
        <v>258</v>
      </c>
      <c r="AA16" s="135" t="n">
        <v>49</v>
      </c>
      <c r="AB16" s="135" t="n">
        <v>675</v>
      </c>
      <c r="AC16" s="135" t="n">
        <v>144</v>
      </c>
      <c r="AD16" s="135" t="n">
        <v>438</v>
      </c>
      <c r="AE16" s="135" t="n">
        <v>93</v>
      </c>
      <c r="AF16" s="135" t="n">
        <v>384</v>
      </c>
      <c r="AG16" s="135" t="n">
        <v>98</v>
      </c>
      <c r="AH16" s="135" t="n">
        <v>226</v>
      </c>
      <c r="AI16" s="135" t="n">
        <v>60</v>
      </c>
      <c r="AJ16" s="135" t="n">
        <v>291</v>
      </c>
      <c r="AK16" s="135" t="n">
        <v>46</v>
      </c>
      <c r="AL16" s="135" t="n">
        <v>212</v>
      </c>
      <c r="AM16" s="135" t="n">
        <v>33</v>
      </c>
      <c r="AN16" s="135" t="n">
        <v>218</v>
      </c>
      <c r="AO16" s="135" t="n">
        <v>48</v>
      </c>
      <c r="AP16" s="135" t="n">
        <v>137</v>
      </c>
      <c r="AQ16" s="135" t="n">
        <v>33</v>
      </c>
      <c r="AR16" s="135" t="n">
        <v>541</v>
      </c>
      <c r="AS16" s="135" t="n">
        <v>230</v>
      </c>
      <c r="AT16" s="135" t="n">
        <v>31</v>
      </c>
      <c r="AU16" s="135" t="n">
        <v>280</v>
      </c>
      <c r="AV16" s="135" t="n">
        <v>0</v>
      </c>
      <c r="AW16" s="135" t="n">
        <v>53</v>
      </c>
      <c r="AX16" s="135" t="n">
        <v>150</v>
      </c>
      <c r="AY16" s="135" t="n">
        <v>164</v>
      </c>
      <c r="AZ16" s="135" t="n">
        <v>250</v>
      </c>
      <c r="BA16" s="135" t="n">
        <v>236</v>
      </c>
      <c r="BB16" s="135" t="n">
        <v>0</v>
      </c>
      <c r="BC16" s="135" t="n">
        <v>33</v>
      </c>
      <c r="BD16" s="135" t="n">
        <v>142</v>
      </c>
      <c r="BE16" s="135" t="n">
        <v>148</v>
      </c>
      <c r="BF16" s="135" t="n">
        <v>200</v>
      </c>
      <c r="BG16" s="135" t="n">
        <v>169</v>
      </c>
      <c r="BH16" s="135" t="n">
        <v>691</v>
      </c>
      <c r="BI16" s="135" t="n">
        <v>397</v>
      </c>
      <c r="BJ16" s="135" t="n">
        <v>294</v>
      </c>
      <c r="BK16" s="135" t="n">
        <v>624</v>
      </c>
      <c r="BL16" s="135" t="n">
        <v>349</v>
      </c>
      <c r="BM16" s="135" t="n">
        <v>275</v>
      </c>
      <c r="BN16" s="135" t="n">
        <v>67</v>
      </c>
      <c r="BO16" s="135" t="n">
        <v>48</v>
      </c>
      <c r="BP16" s="135" t="n">
        <v>19</v>
      </c>
      <c r="BQ16" s="135" t="n">
        <v>182</v>
      </c>
      <c r="BR16" s="135" t="n">
        <v>156</v>
      </c>
      <c r="BS16" s="135" t="n">
        <v>79</v>
      </c>
      <c r="BT16" s="135" t="n">
        <v>78</v>
      </c>
      <c r="BU16" s="135" t="n">
        <v>26</v>
      </c>
      <c r="BV16" s="135" t="n">
        <v>448</v>
      </c>
      <c r="BW16" s="135" t="n">
        <v>258</v>
      </c>
      <c r="BX16" s="135" t="n">
        <v>434</v>
      </c>
      <c r="BY16" s="135" t="n">
        <v>417</v>
      </c>
      <c r="BZ16" s="135" t="n">
        <v>7</v>
      </c>
      <c r="CA16" s="135" t="n">
        <v>0</v>
      </c>
      <c r="CB16" s="135" t="n">
        <v>10</v>
      </c>
      <c r="CC16" s="135" t="n">
        <v>39</v>
      </c>
      <c r="CD16" s="135" t="n">
        <v>70</v>
      </c>
      <c r="CE16" s="135" t="n">
        <v>3</v>
      </c>
      <c r="CF16" s="135" t="n">
        <v>0</v>
      </c>
      <c r="CG16" s="135" t="n">
        <v>318</v>
      </c>
      <c r="CH16" s="135" t="n">
        <v>261</v>
      </c>
      <c r="CI16" s="136" t="n">
        <v>0.15</v>
      </c>
      <c r="CJ16" s="135" t="n">
        <v>2009</v>
      </c>
      <c r="CK16" s="137" t="n">
        <v>71.3</v>
      </c>
      <c r="CL16" s="137" t="n">
        <v>62.3</v>
      </c>
      <c r="CM16" s="137" t="n">
        <v>42.8</v>
      </c>
      <c r="CN16" s="137" t="n">
        <v>47.1</v>
      </c>
      <c r="CO16" s="137" t="n">
        <v>32.2</v>
      </c>
      <c r="CP16" s="137" t="n">
        <v>24.4</v>
      </c>
      <c r="CQ16" s="137" t="n">
        <v>24.8</v>
      </c>
      <c r="CR16" s="137" t="n">
        <v>90.3</v>
      </c>
      <c r="CS16" s="137" t="n">
        <v>44</v>
      </c>
      <c r="CT16" s="137" t="n">
        <v>71.7</v>
      </c>
      <c r="CU16" s="138" t="n">
        <v>37.3</v>
      </c>
    </row>
    <row r="17" ht="30" customHeight="1">
      <c r="A17" s="3" t="inlineStr">
        <is>
          <t>OUEST</t>
        </is>
      </c>
      <c r="B17" s="3" t="inlineStr">
        <is>
          <t>TRICHON</t>
        </is>
      </c>
      <c r="C17" s="3" t="inlineStr">
        <is>
          <t>Trichon</t>
        </is>
      </c>
      <c r="D17" s="135" t="n">
        <v>1964</v>
      </c>
      <c r="E17" s="135" t="n">
        <v>566</v>
      </c>
      <c r="F17" s="135" t="n">
        <v>1151</v>
      </c>
      <c r="G17" s="135" t="n">
        <v>248</v>
      </c>
      <c r="H17" s="135" t="n">
        <v>995</v>
      </c>
      <c r="I17" s="135" t="n">
        <v>258</v>
      </c>
      <c r="J17" s="135" t="n">
        <v>598</v>
      </c>
      <c r="K17" s="135" t="n">
        <v>139</v>
      </c>
      <c r="L17" s="135" t="n">
        <v>970</v>
      </c>
      <c r="M17" s="135" t="n">
        <v>308</v>
      </c>
      <c r="N17" s="135" t="n">
        <v>553</v>
      </c>
      <c r="O17" s="135" t="n">
        <v>109</v>
      </c>
      <c r="P17" s="135" t="n">
        <v>1218</v>
      </c>
      <c r="Q17" s="135" t="n">
        <v>213</v>
      </c>
      <c r="R17" s="135" t="n">
        <v>842</v>
      </c>
      <c r="S17" s="135" t="n">
        <v>162</v>
      </c>
      <c r="T17" s="135" t="n">
        <v>673</v>
      </c>
      <c r="U17" s="135" t="n">
        <v>104</v>
      </c>
      <c r="V17" s="135" t="n">
        <v>479</v>
      </c>
      <c r="W17" s="135" t="n">
        <v>90</v>
      </c>
      <c r="X17" s="135" t="n">
        <v>545</v>
      </c>
      <c r="Y17" s="135" t="n">
        <v>110</v>
      </c>
      <c r="Z17" s="135" t="n">
        <v>364</v>
      </c>
      <c r="AA17" s="135" t="n">
        <v>71</v>
      </c>
      <c r="AB17" s="135" t="n">
        <v>898</v>
      </c>
      <c r="AC17" s="135" t="n">
        <v>114</v>
      </c>
      <c r="AD17" s="135" t="n">
        <v>654</v>
      </c>
      <c r="AE17" s="135" t="n">
        <v>130</v>
      </c>
      <c r="AF17" s="135" t="n">
        <v>487</v>
      </c>
      <c r="AG17" s="135" t="n">
        <v>54</v>
      </c>
      <c r="AH17" s="135" t="n">
        <v>362</v>
      </c>
      <c r="AI17" s="135" t="n">
        <v>71</v>
      </c>
      <c r="AJ17" s="135" t="n">
        <v>411</v>
      </c>
      <c r="AK17" s="135" t="n">
        <v>60</v>
      </c>
      <c r="AL17" s="135" t="n">
        <v>292</v>
      </c>
      <c r="AM17" s="135" t="n">
        <v>58</v>
      </c>
      <c r="AN17" s="135" t="n">
        <v>320</v>
      </c>
      <c r="AO17" s="135" t="n">
        <v>99</v>
      </c>
      <c r="AP17" s="135" t="n">
        <v>189</v>
      </c>
      <c r="AQ17" s="135" t="n">
        <v>32</v>
      </c>
      <c r="AR17" s="135" t="n">
        <v>747</v>
      </c>
      <c r="AS17" s="135" t="n">
        <v>319</v>
      </c>
      <c r="AT17" s="135" t="n">
        <v>40</v>
      </c>
      <c r="AU17" s="135" t="n">
        <v>388</v>
      </c>
      <c r="AV17" s="135" t="n">
        <v>0</v>
      </c>
      <c r="AW17" s="135" t="n">
        <v>108</v>
      </c>
      <c r="AX17" s="135" t="n">
        <v>166</v>
      </c>
      <c r="AY17" s="135" t="n">
        <v>225</v>
      </c>
      <c r="AZ17" s="135" t="n">
        <v>385</v>
      </c>
      <c r="BA17" s="135" t="n">
        <v>271</v>
      </c>
      <c r="BB17" s="135" t="n">
        <v>0</v>
      </c>
      <c r="BC17" s="135" t="n">
        <v>108</v>
      </c>
      <c r="BD17" s="135" t="n">
        <v>152</v>
      </c>
      <c r="BE17" s="135" t="n">
        <v>191</v>
      </c>
      <c r="BF17" s="135" t="n">
        <v>310</v>
      </c>
      <c r="BG17" s="135" t="n">
        <v>200</v>
      </c>
      <c r="BH17" s="135" t="n">
        <v>908</v>
      </c>
      <c r="BI17" s="135" t="n">
        <v>491</v>
      </c>
      <c r="BJ17" s="135" t="n">
        <v>417</v>
      </c>
      <c r="BK17" s="135" t="n">
        <v>781</v>
      </c>
      <c r="BL17" s="135" t="n">
        <v>409</v>
      </c>
      <c r="BM17" s="135" t="n">
        <v>372</v>
      </c>
      <c r="BN17" s="135" t="n">
        <v>126</v>
      </c>
      <c r="BO17" s="135" t="n">
        <v>82</v>
      </c>
      <c r="BP17" s="135" t="n">
        <v>45</v>
      </c>
      <c r="BQ17" s="135" t="n">
        <v>196</v>
      </c>
      <c r="BR17" s="135" t="n">
        <v>178</v>
      </c>
      <c r="BS17" s="135" t="n">
        <v>78</v>
      </c>
      <c r="BT17" s="135" t="n">
        <v>100</v>
      </c>
      <c r="BU17" s="135" t="n">
        <v>18</v>
      </c>
      <c r="BV17" s="135" t="n">
        <v>585</v>
      </c>
      <c r="BW17" s="135" t="n">
        <v>329</v>
      </c>
      <c r="BX17" s="135" t="n">
        <v>579</v>
      </c>
      <c r="BY17" s="135" t="n">
        <v>512</v>
      </c>
      <c r="BZ17" s="135" t="n">
        <v>19</v>
      </c>
      <c r="CA17" s="135" t="n">
        <v>24</v>
      </c>
      <c r="CB17" s="135" t="n">
        <v>24</v>
      </c>
      <c r="CC17" s="135" t="n">
        <v>20</v>
      </c>
      <c r="CD17" s="135" t="n">
        <v>116</v>
      </c>
      <c r="CE17" s="135" t="n">
        <v>21</v>
      </c>
      <c r="CF17" s="135" t="n">
        <v>6</v>
      </c>
      <c r="CG17" s="135" t="n">
        <v>482</v>
      </c>
      <c r="CH17" s="135" t="n">
        <v>264</v>
      </c>
      <c r="CI17" s="136" t="n">
        <v>0.33</v>
      </c>
      <c r="CJ17" s="135" t="n">
        <v>2886</v>
      </c>
      <c r="CK17" s="137" t="n">
        <v>68.09999999999999</v>
      </c>
      <c r="CL17" s="137" t="n">
        <v>62</v>
      </c>
      <c r="CM17" s="137" t="n">
        <v>37.7</v>
      </c>
      <c r="CN17" s="137" t="n">
        <v>45.7</v>
      </c>
      <c r="CO17" s="137" t="n">
        <v>20.2</v>
      </c>
      <c r="CP17" s="137" t="n">
        <v>26.3</v>
      </c>
      <c r="CQ17" s="137" t="n">
        <v>46.5</v>
      </c>
      <c r="CR17" s="137" t="n">
        <v>86.09999999999999</v>
      </c>
      <c r="CS17" s="137" t="n">
        <v>47.6</v>
      </c>
      <c r="CT17" s="137" t="n">
        <v>74.90000000000001</v>
      </c>
      <c r="CU17" s="138" t="n">
        <v>36.2</v>
      </c>
    </row>
    <row r="18" ht="30" customHeight="1">
      <c r="A18" s="3" t="inlineStr">
        <is>
          <t>CENTRE</t>
        </is>
      </c>
      <c r="B18" s="3" t="inlineStr">
        <is>
          <t>ESPERANCE/CROUY/CENTRE VILLE</t>
        </is>
      </c>
      <c r="C18" s="3" t="inlineStr">
        <is>
          <t>Espérance Centre</t>
        </is>
      </c>
      <c r="D18" s="135" t="n">
        <v>2652</v>
      </c>
      <c r="E18" s="135" t="n">
        <v>842</v>
      </c>
      <c r="F18" s="135" t="n">
        <v>1527</v>
      </c>
      <c r="G18" s="135" t="n">
        <v>283</v>
      </c>
      <c r="H18" s="135" t="n">
        <v>1394</v>
      </c>
      <c r="I18" s="135" t="n">
        <v>438</v>
      </c>
      <c r="J18" s="135" t="n">
        <v>806</v>
      </c>
      <c r="K18" s="135" t="n">
        <v>150</v>
      </c>
      <c r="L18" s="135" t="n">
        <v>1257</v>
      </c>
      <c r="M18" s="135" t="n">
        <v>404</v>
      </c>
      <c r="N18" s="135" t="n">
        <v>721</v>
      </c>
      <c r="O18" s="135" t="n">
        <v>133</v>
      </c>
      <c r="P18" s="135" t="n">
        <v>1558</v>
      </c>
      <c r="Q18" s="135" t="n">
        <v>309</v>
      </c>
      <c r="R18" s="135" t="n">
        <v>1095</v>
      </c>
      <c r="S18" s="135" t="n">
        <v>154</v>
      </c>
      <c r="T18" s="135" t="n">
        <v>907</v>
      </c>
      <c r="U18" s="135" t="n">
        <v>164</v>
      </c>
      <c r="V18" s="135" t="n">
        <v>655</v>
      </c>
      <c r="W18" s="135" t="n">
        <v>88</v>
      </c>
      <c r="X18" s="135" t="n">
        <v>652</v>
      </c>
      <c r="Y18" s="135" t="n">
        <v>145</v>
      </c>
      <c r="Z18" s="135" t="n">
        <v>440</v>
      </c>
      <c r="AA18" s="135" t="n">
        <v>66</v>
      </c>
      <c r="AB18" s="135" t="n">
        <v>1208</v>
      </c>
      <c r="AC18" s="135" t="n">
        <v>214</v>
      </c>
      <c r="AD18" s="135" t="n">
        <v>873</v>
      </c>
      <c r="AE18" s="135" t="n">
        <v>121</v>
      </c>
      <c r="AF18" s="135" t="n">
        <v>687</v>
      </c>
      <c r="AG18" s="135" t="n">
        <v>113</v>
      </c>
      <c r="AH18" s="135" t="n">
        <v>507</v>
      </c>
      <c r="AI18" s="135" t="n">
        <v>67</v>
      </c>
      <c r="AJ18" s="135" t="n">
        <v>521</v>
      </c>
      <c r="AK18" s="135" t="n">
        <v>101</v>
      </c>
      <c r="AL18" s="135" t="n">
        <v>366</v>
      </c>
      <c r="AM18" s="135" t="n">
        <v>54</v>
      </c>
      <c r="AN18" s="135" t="n">
        <v>351</v>
      </c>
      <c r="AO18" s="135" t="n">
        <v>96</v>
      </c>
      <c r="AP18" s="135" t="n">
        <v>222</v>
      </c>
      <c r="AQ18" s="135" t="n">
        <v>33</v>
      </c>
      <c r="AR18" s="135" t="n">
        <v>1093</v>
      </c>
      <c r="AS18" s="135" t="n">
        <v>497</v>
      </c>
      <c r="AT18" s="135" t="n">
        <v>69</v>
      </c>
      <c r="AU18" s="135" t="n">
        <v>527</v>
      </c>
      <c r="AV18" s="135" t="n">
        <v>0</v>
      </c>
      <c r="AW18" s="135" t="n">
        <v>110</v>
      </c>
      <c r="AX18" s="135" t="n">
        <v>230</v>
      </c>
      <c r="AY18" s="135" t="n">
        <v>364</v>
      </c>
      <c r="AZ18" s="135" t="n">
        <v>437</v>
      </c>
      <c r="BA18" s="135" t="n">
        <v>349</v>
      </c>
      <c r="BB18" s="135" t="n">
        <v>0</v>
      </c>
      <c r="BC18" s="135" t="n">
        <v>93</v>
      </c>
      <c r="BD18" s="135" t="n">
        <v>207</v>
      </c>
      <c r="BE18" s="135" t="n">
        <v>302</v>
      </c>
      <c r="BF18" s="135" t="n">
        <v>372</v>
      </c>
      <c r="BG18" s="135" t="n">
        <v>265</v>
      </c>
      <c r="BH18" s="135" t="n">
        <v>1213</v>
      </c>
      <c r="BI18" s="135" t="n">
        <v>692</v>
      </c>
      <c r="BJ18" s="135" t="n">
        <v>522</v>
      </c>
      <c r="BK18" s="135" t="n">
        <v>1075</v>
      </c>
      <c r="BL18" s="135" t="n">
        <v>608</v>
      </c>
      <c r="BM18" s="135" t="n">
        <v>467</v>
      </c>
      <c r="BN18" s="135" t="n">
        <v>139</v>
      </c>
      <c r="BO18" s="135" t="n">
        <v>84</v>
      </c>
      <c r="BP18" s="135" t="n">
        <v>55</v>
      </c>
      <c r="BQ18" s="135" t="n">
        <v>224</v>
      </c>
      <c r="BR18" s="135" t="n">
        <v>195</v>
      </c>
      <c r="BS18" s="135" t="n">
        <v>70</v>
      </c>
      <c r="BT18" s="135" t="n">
        <v>125</v>
      </c>
      <c r="BU18" s="135" t="n">
        <v>29</v>
      </c>
      <c r="BV18" s="135" t="n">
        <v>729</v>
      </c>
      <c r="BW18" s="135" t="n">
        <v>486</v>
      </c>
      <c r="BX18" s="135" t="n">
        <v>727</v>
      </c>
      <c r="BY18" s="135" t="n">
        <v>666</v>
      </c>
      <c r="BZ18" s="135" t="n">
        <v>13</v>
      </c>
      <c r="CA18" s="135" t="n">
        <v>25</v>
      </c>
      <c r="CB18" s="135" t="n">
        <v>23</v>
      </c>
      <c r="CC18" s="135" t="n">
        <v>43</v>
      </c>
      <c r="CD18" s="135" t="n">
        <v>126</v>
      </c>
      <c r="CE18" s="135" t="n">
        <v>10</v>
      </c>
      <c r="CF18" s="135" t="n">
        <v>18</v>
      </c>
      <c r="CG18" s="135" t="n">
        <v>620</v>
      </c>
      <c r="CH18" s="135" t="n">
        <v>397</v>
      </c>
      <c r="CI18" s="136" t="n">
        <v>0.45</v>
      </c>
      <c r="CJ18" s="135" t="n">
        <v>3519</v>
      </c>
      <c r="CK18" s="137" t="n">
        <v>75.40000000000001</v>
      </c>
      <c r="CL18" s="137" t="n">
        <v>58.8</v>
      </c>
      <c r="CM18" s="137" t="n">
        <v>36.7</v>
      </c>
      <c r="CN18" s="137" t="n">
        <v>45.5</v>
      </c>
      <c r="CO18" s="137" t="n">
        <v>25.4</v>
      </c>
      <c r="CP18" s="137" t="n">
        <v>22.5</v>
      </c>
      <c r="CQ18" s="137" t="n">
        <v>31</v>
      </c>
      <c r="CR18" s="137" t="n">
        <v>88.59999999999999</v>
      </c>
      <c r="CS18" s="137" t="n">
        <v>43.5</v>
      </c>
      <c r="CT18" s="137" t="n">
        <v>67.90000000000001</v>
      </c>
      <c r="CU18" s="138" t="n">
        <v>40.1</v>
      </c>
    </row>
    <row r="19" ht="30" customHeight="1">
      <c r="A19" s="3" t="inlineStr">
        <is>
          <t>CENTRE</t>
        </is>
      </c>
      <c r="B19" s="3" t="inlineStr">
        <is>
          <t>NATIONS UNIES</t>
        </is>
      </c>
      <c r="C19" s="3" t="inlineStr">
        <is>
          <t>Nations Unies</t>
        </is>
      </c>
      <c r="D19" s="135" t="n">
        <v>2001</v>
      </c>
      <c r="E19" s="135" t="n">
        <v>522</v>
      </c>
      <c r="F19" s="135" t="n">
        <v>1211</v>
      </c>
      <c r="G19" s="135" t="n">
        <v>268</v>
      </c>
      <c r="H19" s="135" t="n">
        <v>1028</v>
      </c>
      <c r="I19" s="135" t="n">
        <v>263</v>
      </c>
      <c r="J19" s="135" t="n">
        <v>618</v>
      </c>
      <c r="K19" s="135" t="n">
        <v>148</v>
      </c>
      <c r="L19" s="135" t="n">
        <v>973</v>
      </c>
      <c r="M19" s="135" t="n">
        <v>260</v>
      </c>
      <c r="N19" s="135" t="n">
        <v>593</v>
      </c>
      <c r="O19" s="135" t="n">
        <v>120</v>
      </c>
      <c r="P19" s="135" t="n">
        <v>1449</v>
      </c>
      <c r="Q19" s="135" t="n">
        <v>294</v>
      </c>
      <c r="R19" s="135" t="n">
        <v>991</v>
      </c>
      <c r="S19" s="135" t="n">
        <v>163</v>
      </c>
      <c r="T19" s="135" t="n">
        <v>803</v>
      </c>
      <c r="U19" s="135" t="n">
        <v>152</v>
      </c>
      <c r="V19" s="135" t="n">
        <v>554</v>
      </c>
      <c r="W19" s="135" t="n">
        <v>97</v>
      </c>
      <c r="X19" s="135" t="n">
        <v>645</v>
      </c>
      <c r="Y19" s="135" t="n">
        <v>142</v>
      </c>
      <c r="Z19" s="135" t="n">
        <v>437</v>
      </c>
      <c r="AA19" s="135" t="n">
        <v>66</v>
      </c>
      <c r="AB19" s="135" t="n">
        <v>1144</v>
      </c>
      <c r="AC19" s="135" t="n">
        <v>225</v>
      </c>
      <c r="AD19" s="135" t="n">
        <v>796</v>
      </c>
      <c r="AE19" s="135" t="n">
        <v>122</v>
      </c>
      <c r="AF19" s="135" t="n">
        <v>656</v>
      </c>
      <c r="AG19" s="135" t="n">
        <v>124</v>
      </c>
      <c r="AH19" s="135" t="n">
        <v>454</v>
      </c>
      <c r="AI19" s="135" t="n">
        <v>79</v>
      </c>
      <c r="AJ19" s="135" t="n">
        <v>487</v>
      </c>
      <c r="AK19" s="135" t="n">
        <v>101</v>
      </c>
      <c r="AL19" s="135" t="n">
        <v>342</v>
      </c>
      <c r="AM19" s="135" t="n">
        <v>44</v>
      </c>
      <c r="AN19" s="135" t="n">
        <v>305</v>
      </c>
      <c r="AO19" s="135" t="n">
        <v>69</v>
      </c>
      <c r="AP19" s="135" t="n">
        <v>195</v>
      </c>
      <c r="AQ19" s="135" t="n">
        <v>40</v>
      </c>
      <c r="AR19" s="135" t="n">
        <v>553</v>
      </c>
      <c r="AS19" s="135" t="n">
        <v>181</v>
      </c>
      <c r="AT19" s="135" t="n">
        <v>49</v>
      </c>
      <c r="AU19" s="135" t="n">
        <v>323</v>
      </c>
      <c r="AV19" s="135" t="n">
        <v>0</v>
      </c>
      <c r="AW19" s="135" t="n">
        <v>53</v>
      </c>
      <c r="AX19" s="135" t="n">
        <v>132</v>
      </c>
      <c r="AY19" s="135" t="n">
        <v>349</v>
      </c>
      <c r="AZ19" s="135" t="n">
        <v>459</v>
      </c>
      <c r="BA19" s="135" t="n">
        <v>452</v>
      </c>
      <c r="BB19" s="135" t="n">
        <v>0</v>
      </c>
      <c r="BC19" s="135" t="n">
        <v>45</v>
      </c>
      <c r="BD19" s="135" t="n">
        <v>130</v>
      </c>
      <c r="BE19" s="135" t="n">
        <v>311</v>
      </c>
      <c r="BF19" s="135" t="n">
        <v>358</v>
      </c>
      <c r="BG19" s="135" t="n">
        <v>354</v>
      </c>
      <c r="BH19" s="135" t="n">
        <v>1163</v>
      </c>
      <c r="BI19" s="135" t="n">
        <v>667</v>
      </c>
      <c r="BJ19" s="135" t="n">
        <v>497</v>
      </c>
      <c r="BK19" s="135" t="n">
        <v>1046</v>
      </c>
      <c r="BL19" s="135" t="n">
        <v>586</v>
      </c>
      <c r="BM19" s="135" t="n">
        <v>460</v>
      </c>
      <c r="BN19" s="135" t="n">
        <v>118</v>
      </c>
      <c r="BO19" s="135" t="n">
        <v>80</v>
      </c>
      <c r="BP19" s="135" t="n">
        <v>37</v>
      </c>
      <c r="BQ19" s="135" t="n">
        <v>253</v>
      </c>
      <c r="BR19" s="135" t="n">
        <v>234</v>
      </c>
      <c r="BS19" s="135" t="n">
        <v>82</v>
      </c>
      <c r="BT19" s="135" t="n">
        <v>151</v>
      </c>
      <c r="BU19" s="135" t="n">
        <v>19</v>
      </c>
      <c r="BV19" s="135" t="n">
        <v>723</v>
      </c>
      <c r="BW19" s="135" t="n">
        <v>465</v>
      </c>
      <c r="BX19" s="135" t="n">
        <v>699</v>
      </c>
      <c r="BY19" s="135" t="n">
        <v>602</v>
      </c>
      <c r="BZ19" s="135" t="n">
        <v>5</v>
      </c>
      <c r="CA19" s="135" t="n">
        <v>23</v>
      </c>
      <c r="CB19" s="135" t="n">
        <v>68</v>
      </c>
      <c r="CC19" s="135" t="n">
        <v>15</v>
      </c>
      <c r="CD19" s="135" t="n">
        <v>144</v>
      </c>
      <c r="CE19" s="135" t="n">
        <v>32</v>
      </c>
      <c r="CF19" s="135" t="n">
        <v>0</v>
      </c>
      <c r="CG19" s="135" t="n">
        <v>565</v>
      </c>
      <c r="CH19" s="135" t="n">
        <v>408</v>
      </c>
      <c r="CI19" s="136" t="n">
        <v>0.32</v>
      </c>
      <c r="CJ19" s="135" t="n">
        <v>2916</v>
      </c>
      <c r="CK19" s="137" t="n">
        <v>68.59999999999999</v>
      </c>
      <c r="CL19" s="137" t="n">
        <v>72.40000000000001</v>
      </c>
      <c r="CM19" s="137" t="n">
        <v>56.3</v>
      </c>
      <c r="CN19" s="137" t="n">
        <v>57.2</v>
      </c>
      <c r="CO19" s="137" t="n">
        <v>43.1</v>
      </c>
      <c r="CP19" s="137" t="n">
        <v>21</v>
      </c>
      <c r="CQ19" s="137" t="n">
        <v>23.5</v>
      </c>
      <c r="CR19" s="137" t="n">
        <v>89.90000000000001</v>
      </c>
      <c r="CS19" s="137" t="n">
        <v>43.9</v>
      </c>
      <c r="CT19" s="137" t="n">
        <v>69.09999999999999</v>
      </c>
      <c r="CU19" s="138" t="n">
        <v>40</v>
      </c>
    </row>
    <row r="20" ht="30" customHeight="1">
      <c r="A20" s="3" t="inlineStr">
        <is>
          <t>CENTRE</t>
        </is>
      </c>
      <c r="B20" s="3" t="inlineStr">
        <is>
          <t>ANSEELE MOTTE BOSSUT</t>
        </is>
      </c>
      <c r="C20" s="3" t="inlineStr">
        <is>
          <t>Anseele</t>
        </is>
      </c>
      <c r="D20" s="135" t="n">
        <v>2567</v>
      </c>
      <c r="E20" s="135" t="n">
        <v>626</v>
      </c>
      <c r="F20" s="135" t="n">
        <v>1589</v>
      </c>
      <c r="G20" s="135" t="n">
        <v>351</v>
      </c>
      <c r="H20" s="135" t="n">
        <v>1254</v>
      </c>
      <c r="I20" s="135" t="n">
        <v>297</v>
      </c>
      <c r="J20" s="135" t="n">
        <v>802</v>
      </c>
      <c r="K20" s="135" t="n">
        <v>154</v>
      </c>
      <c r="L20" s="135" t="n">
        <v>1313</v>
      </c>
      <c r="M20" s="135" t="n">
        <v>329</v>
      </c>
      <c r="N20" s="135" t="n">
        <v>787</v>
      </c>
      <c r="O20" s="135" t="n">
        <v>197</v>
      </c>
      <c r="P20" s="135" t="n">
        <v>1654</v>
      </c>
      <c r="Q20" s="135" t="n">
        <v>231</v>
      </c>
      <c r="R20" s="135" t="n">
        <v>1251</v>
      </c>
      <c r="S20" s="135" t="n">
        <v>172</v>
      </c>
      <c r="T20" s="135" t="n">
        <v>926</v>
      </c>
      <c r="U20" s="135" t="n">
        <v>130</v>
      </c>
      <c r="V20" s="135" t="n">
        <v>712</v>
      </c>
      <c r="W20" s="135" t="n">
        <v>85</v>
      </c>
      <c r="X20" s="135" t="n">
        <v>728</v>
      </c>
      <c r="Y20" s="135" t="n">
        <v>102</v>
      </c>
      <c r="Z20" s="135" t="n">
        <v>539</v>
      </c>
      <c r="AA20" s="135" t="n">
        <v>88</v>
      </c>
      <c r="AB20" s="135" t="n">
        <v>1194</v>
      </c>
      <c r="AC20" s="135" t="n">
        <v>144</v>
      </c>
      <c r="AD20" s="135" t="n">
        <v>919</v>
      </c>
      <c r="AE20" s="135" t="n">
        <v>130</v>
      </c>
      <c r="AF20" s="135" t="n">
        <v>668</v>
      </c>
      <c r="AG20" s="135" t="n">
        <v>79</v>
      </c>
      <c r="AH20" s="135" t="n">
        <v>525</v>
      </c>
      <c r="AI20" s="135" t="n">
        <v>64</v>
      </c>
      <c r="AJ20" s="135" t="n">
        <v>525</v>
      </c>
      <c r="AK20" s="135" t="n">
        <v>65</v>
      </c>
      <c r="AL20" s="135" t="n">
        <v>394</v>
      </c>
      <c r="AM20" s="135" t="n">
        <v>67</v>
      </c>
      <c r="AN20" s="135" t="n">
        <v>461</v>
      </c>
      <c r="AO20" s="135" t="n">
        <v>87</v>
      </c>
      <c r="AP20" s="135" t="n">
        <v>331</v>
      </c>
      <c r="AQ20" s="135" t="n">
        <v>42</v>
      </c>
      <c r="AR20" s="135" t="n">
        <v>912</v>
      </c>
      <c r="AS20" s="135" t="n">
        <v>344</v>
      </c>
      <c r="AT20" s="135" t="n">
        <v>99</v>
      </c>
      <c r="AU20" s="135" t="n">
        <v>469</v>
      </c>
      <c r="AV20" s="135" t="n">
        <v>0</v>
      </c>
      <c r="AW20" s="135" t="n">
        <v>37</v>
      </c>
      <c r="AX20" s="135" t="n">
        <v>102</v>
      </c>
      <c r="AY20" s="135" t="n">
        <v>216</v>
      </c>
      <c r="AZ20" s="135" t="n">
        <v>500</v>
      </c>
      <c r="BA20" s="135" t="n">
        <v>476</v>
      </c>
      <c r="BB20" s="135" t="n">
        <v>0</v>
      </c>
      <c r="BC20" s="135" t="n">
        <v>31</v>
      </c>
      <c r="BD20" s="135" t="n">
        <v>97</v>
      </c>
      <c r="BE20" s="135" t="n">
        <v>183</v>
      </c>
      <c r="BF20" s="135" t="n">
        <v>386</v>
      </c>
      <c r="BG20" s="135" t="n">
        <v>336</v>
      </c>
      <c r="BH20" s="135" t="n">
        <v>1214</v>
      </c>
      <c r="BI20" s="135" t="n">
        <v>677</v>
      </c>
      <c r="BJ20" s="135" t="n">
        <v>537</v>
      </c>
      <c r="BK20" s="135" t="n">
        <v>1131</v>
      </c>
      <c r="BL20" s="135" t="n">
        <v>618</v>
      </c>
      <c r="BM20" s="135" t="n">
        <v>513</v>
      </c>
      <c r="BN20" s="135" t="n">
        <v>83</v>
      </c>
      <c r="BO20" s="135" t="n">
        <v>59</v>
      </c>
      <c r="BP20" s="135" t="n">
        <v>24</v>
      </c>
      <c r="BQ20" s="135" t="n">
        <v>340</v>
      </c>
      <c r="BR20" s="135" t="n">
        <v>321</v>
      </c>
      <c r="BS20" s="135" t="n">
        <v>100</v>
      </c>
      <c r="BT20" s="135" t="n">
        <v>221</v>
      </c>
      <c r="BU20" s="135" t="n">
        <v>19</v>
      </c>
      <c r="BV20" s="135" t="n">
        <v>727</v>
      </c>
      <c r="BW20" s="135" t="n">
        <v>467</v>
      </c>
      <c r="BX20" s="135" t="n">
        <v>747</v>
      </c>
      <c r="BY20" s="135" t="n">
        <v>675</v>
      </c>
      <c r="BZ20" s="135" t="n">
        <v>7</v>
      </c>
      <c r="CA20" s="135" t="n">
        <v>25</v>
      </c>
      <c r="CB20" s="135" t="n">
        <v>40</v>
      </c>
      <c r="CC20" s="135" t="n">
        <v>21</v>
      </c>
      <c r="CD20" s="135" t="n">
        <v>161</v>
      </c>
      <c r="CE20" s="135" t="n">
        <v>21</v>
      </c>
      <c r="CF20" s="135" t="n">
        <v>3</v>
      </c>
      <c r="CG20" s="135" t="n">
        <v>640</v>
      </c>
      <c r="CH20" s="135" t="n">
        <v>367</v>
      </c>
      <c r="CI20" s="136" t="n">
        <v>0.29</v>
      </c>
      <c r="CJ20" s="135" t="n">
        <v>3982</v>
      </c>
      <c r="CK20" s="137" t="n">
        <v>64.5</v>
      </c>
      <c r="CL20" s="137" t="n">
        <v>64.5</v>
      </c>
      <c r="CM20" s="137" t="n">
        <v>36.9</v>
      </c>
      <c r="CN20" s="137" t="n">
        <v>46.5</v>
      </c>
      <c r="CO20" s="137" t="n">
        <v>23</v>
      </c>
      <c r="CP20" s="137" t="n">
        <v>27.8</v>
      </c>
      <c r="CQ20" s="137" t="n">
        <v>37.7</v>
      </c>
      <c r="CR20" s="137" t="n">
        <v>93.09999999999999</v>
      </c>
      <c r="CS20" s="137" t="n">
        <v>45.3</v>
      </c>
      <c r="CT20" s="137" t="n">
        <v>64.3</v>
      </c>
      <c r="CU20" s="138" t="n">
        <v>38.5</v>
      </c>
    </row>
    <row r="21" ht="30" customHeight="1">
      <c r="A21" s="3" t="inlineStr">
        <is>
          <t>CENTRE</t>
        </is>
      </c>
      <c r="B21" s="3" t="inlineStr">
        <is>
          <t>VAUBAN</t>
        </is>
      </c>
      <c r="C21" s="3" t="inlineStr">
        <is>
          <t>Barbieux-Vauban</t>
        </is>
      </c>
      <c r="D21" s="135" t="n">
        <v>2248</v>
      </c>
      <c r="E21" s="135" t="n">
        <v>615</v>
      </c>
      <c r="F21" s="135" t="n">
        <v>1222</v>
      </c>
      <c r="G21" s="135" t="n">
        <v>410</v>
      </c>
      <c r="H21" s="135" t="n">
        <v>1139</v>
      </c>
      <c r="I21" s="135" t="n">
        <v>321</v>
      </c>
      <c r="J21" s="135" t="n">
        <v>619</v>
      </c>
      <c r="K21" s="135" t="n">
        <v>199</v>
      </c>
      <c r="L21" s="135" t="n">
        <v>1109</v>
      </c>
      <c r="M21" s="135" t="n">
        <v>294</v>
      </c>
      <c r="N21" s="135" t="n">
        <v>603</v>
      </c>
      <c r="O21" s="135" t="n">
        <v>212</v>
      </c>
      <c r="P21" s="135" t="n">
        <v>1588</v>
      </c>
      <c r="Q21" s="135" t="n">
        <v>200</v>
      </c>
      <c r="R21" s="135" t="n">
        <v>1114</v>
      </c>
      <c r="S21" s="135" t="n">
        <v>275</v>
      </c>
      <c r="T21" s="135" t="n">
        <v>834</v>
      </c>
      <c r="U21" s="135" t="n">
        <v>104</v>
      </c>
      <c r="V21" s="135" t="n">
        <v>588</v>
      </c>
      <c r="W21" s="135" t="n">
        <v>143</v>
      </c>
      <c r="X21" s="135" t="n">
        <v>754</v>
      </c>
      <c r="Y21" s="135" t="n">
        <v>96</v>
      </c>
      <c r="Z21" s="135" t="n">
        <v>526</v>
      </c>
      <c r="AA21" s="135" t="n">
        <v>132</v>
      </c>
      <c r="AB21" s="135" t="n">
        <v>1394</v>
      </c>
      <c r="AC21" s="135" t="n">
        <v>142</v>
      </c>
      <c r="AD21" s="135" t="n">
        <v>1004</v>
      </c>
      <c r="AE21" s="135" t="n">
        <v>249</v>
      </c>
      <c r="AF21" s="135" t="n">
        <v>722</v>
      </c>
      <c r="AG21" s="135" t="n">
        <v>71</v>
      </c>
      <c r="AH21" s="135" t="n">
        <v>524</v>
      </c>
      <c r="AI21" s="135" t="n">
        <v>126</v>
      </c>
      <c r="AJ21" s="135" t="n">
        <v>672</v>
      </c>
      <c r="AK21" s="135" t="n">
        <v>71</v>
      </c>
      <c r="AL21" s="135" t="n">
        <v>480</v>
      </c>
      <c r="AM21" s="135" t="n">
        <v>122</v>
      </c>
      <c r="AN21" s="135" t="n">
        <v>194</v>
      </c>
      <c r="AO21" s="135" t="n">
        <v>58</v>
      </c>
      <c r="AP21" s="135" t="n">
        <v>110</v>
      </c>
      <c r="AQ21" s="135" t="n">
        <v>26</v>
      </c>
      <c r="AR21" s="135" t="n">
        <v>660</v>
      </c>
      <c r="AS21" s="135" t="n">
        <v>397</v>
      </c>
      <c r="AT21" s="135" t="n">
        <v>76</v>
      </c>
      <c r="AU21" s="135" t="n">
        <v>187</v>
      </c>
      <c r="AV21" s="135" t="n">
        <v>0</v>
      </c>
      <c r="AW21" s="135" t="n">
        <v>78</v>
      </c>
      <c r="AX21" s="135" t="n">
        <v>672</v>
      </c>
      <c r="AY21" s="135" t="n">
        <v>415</v>
      </c>
      <c r="AZ21" s="135" t="n">
        <v>286</v>
      </c>
      <c r="BA21" s="135" t="n">
        <v>196</v>
      </c>
      <c r="BB21" s="135" t="n">
        <v>0</v>
      </c>
      <c r="BC21" s="135" t="n">
        <v>78</v>
      </c>
      <c r="BD21" s="135" t="n">
        <v>629</v>
      </c>
      <c r="BE21" s="135" t="n">
        <v>376</v>
      </c>
      <c r="BF21" s="135" t="n">
        <v>259</v>
      </c>
      <c r="BG21" s="135" t="n">
        <v>153</v>
      </c>
      <c r="BH21" s="135" t="n">
        <v>1407</v>
      </c>
      <c r="BI21" s="135" t="n">
        <v>729</v>
      </c>
      <c r="BJ21" s="135" t="n">
        <v>678</v>
      </c>
      <c r="BK21" s="135" t="n">
        <v>1137</v>
      </c>
      <c r="BL21" s="135" t="n">
        <v>583</v>
      </c>
      <c r="BM21" s="135" t="n">
        <v>553</v>
      </c>
      <c r="BN21" s="135" t="n">
        <v>270</v>
      </c>
      <c r="BO21" s="135" t="n">
        <v>145</v>
      </c>
      <c r="BP21" s="135" t="n">
        <v>125</v>
      </c>
      <c r="BQ21" s="135" t="n">
        <v>205</v>
      </c>
      <c r="BR21" s="135" t="n">
        <v>154</v>
      </c>
      <c r="BS21" s="135" t="n">
        <v>42</v>
      </c>
      <c r="BT21" s="135" t="n">
        <v>112</v>
      </c>
      <c r="BU21" s="135" t="n">
        <v>52</v>
      </c>
      <c r="BV21" s="135" t="n">
        <v>960</v>
      </c>
      <c r="BW21" s="135" t="n">
        <v>397</v>
      </c>
      <c r="BX21" s="135" t="n">
        <v>1010</v>
      </c>
      <c r="BY21" s="135" t="n">
        <v>899</v>
      </c>
      <c r="BZ21" s="135" t="n">
        <v>6</v>
      </c>
      <c r="CA21" s="135" t="n">
        <v>74</v>
      </c>
      <c r="CB21" s="135" t="n">
        <v>31</v>
      </c>
      <c r="CC21" s="135" t="n">
        <v>65</v>
      </c>
      <c r="CD21" s="135" t="n">
        <v>66</v>
      </c>
      <c r="CE21" s="135" t="n">
        <v>33</v>
      </c>
      <c r="CF21" s="135" t="n">
        <v>11</v>
      </c>
      <c r="CG21" s="135" t="n">
        <v>793</v>
      </c>
      <c r="CH21" s="135" t="n">
        <v>439</v>
      </c>
      <c r="CI21" s="136" t="n">
        <v>0.91</v>
      </c>
      <c r="CJ21" s="135" t="n">
        <v>3690</v>
      </c>
      <c r="CK21" s="137" t="n">
        <v>60.9</v>
      </c>
      <c r="CL21" s="137" t="n">
        <v>70.7</v>
      </c>
      <c r="CM21" s="137" t="n">
        <v>32.5</v>
      </c>
      <c r="CN21" s="137" t="n">
        <v>62</v>
      </c>
      <c r="CO21" s="137" t="n">
        <v>23.1</v>
      </c>
      <c r="CP21" s="137" t="n">
        <v>12.2</v>
      </c>
      <c r="CQ21" s="137" t="n">
        <v>29</v>
      </c>
      <c r="CR21" s="137" t="n">
        <v>80.8</v>
      </c>
      <c r="CS21" s="137" t="n">
        <v>48.7</v>
      </c>
      <c r="CT21" s="137" t="n">
        <v>84.40000000000001</v>
      </c>
      <c r="CU21" s="138" t="n">
        <v>28.2</v>
      </c>
    </row>
    <row r="22" ht="30" customHeight="1">
      <c r="A22" s="3" t="inlineStr">
        <is>
          <t>SUD</t>
        </is>
      </c>
      <c r="B22" s="3" t="inlineStr">
        <is>
          <t>BARBIEUX</t>
        </is>
      </c>
      <c r="C22" s="3" t="inlineStr">
        <is>
          <t>Barbieux Sud</t>
        </is>
      </c>
      <c r="D22" s="135" t="n">
        <v>1384</v>
      </c>
      <c r="E22" s="135" t="n">
        <v>337</v>
      </c>
      <c r="F22" s="135" t="n">
        <v>718</v>
      </c>
      <c r="G22" s="135" t="n">
        <v>329</v>
      </c>
      <c r="H22" s="135" t="n">
        <v>625</v>
      </c>
      <c r="I22" s="135" t="n">
        <v>153</v>
      </c>
      <c r="J22" s="135" t="n">
        <v>313</v>
      </c>
      <c r="K22" s="135" t="n">
        <v>158</v>
      </c>
      <c r="L22" s="135" t="n">
        <v>760</v>
      </c>
      <c r="M22" s="135" t="n">
        <v>184</v>
      </c>
      <c r="N22" s="135" t="n">
        <v>405</v>
      </c>
      <c r="O22" s="135" t="n">
        <v>171</v>
      </c>
      <c r="P22" s="135" t="n">
        <v>987</v>
      </c>
      <c r="Q22" s="135" t="n">
        <v>104</v>
      </c>
      <c r="R22" s="135" t="n">
        <v>662</v>
      </c>
      <c r="S22" s="135" t="n">
        <v>220</v>
      </c>
      <c r="T22" s="135" t="n">
        <v>487</v>
      </c>
      <c r="U22" s="135" t="n">
        <v>59</v>
      </c>
      <c r="V22" s="135" t="n">
        <v>294</v>
      </c>
      <c r="W22" s="135" t="n">
        <v>134</v>
      </c>
      <c r="X22" s="135" t="n">
        <v>500</v>
      </c>
      <c r="Y22" s="135" t="n">
        <v>45</v>
      </c>
      <c r="Z22" s="135" t="n">
        <v>369</v>
      </c>
      <c r="AA22" s="135" t="n">
        <v>86</v>
      </c>
      <c r="AB22" s="135" t="n">
        <v>930</v>
      </c>
      <c r="AC22" s="135" t="n">
        <v>88</v>
      </c>
      <c r="AD22" s="135" t="n">
        <v>631</v>
      </c>
      <c r="AE22" s="135" t="n">
        <v>211</v>
      </c>
      <c r="AF22" s="135" t="n">
        <v>456</v>
      </c>
      <c r="AG22" s="135" t="n">
        <v>47</v>
      </c>
      <c r="AH22" s="135" t="n">
        <v>283</v>
      </c>
      <c r="AI22" s="135" t="n">
        <v>126</v>
      </c>
      <c r="AJ22" s="135" t="n">
        <v>474</v>
      </c>
      <c r="AK22" s="135" t="n">
        <v>41</v>
      </c>
      <c r="AL22" s="135" t="n">
        <v>348</v>
      </c>
      <c r="AM22" s="135" t="n">
        <v>85</v>
      </c>
      <c r="AN22" s="135" t="n">
        <v>57</v>
      </c>
      <c r="AO22" s="135" t="n">
        <v>16</v>
      </c>
      <c r="AP22" s="135" t="n">
        <v>32</v>
      </c>
      <c r="AQ22" s="135" t="n">
        <v>9</v>
      </c>
      <c r="AR22" s="135" t="n">
        <v>397</v>
      </c>
      <c r="AS22" s="135" t="n">
        <v>226</v>
      </c>
      <c r="AT22" s="135" t="n">
        <v>86</v>
      </c>
      <c r="AU22" s="135" t="n">
        <v>85</v>
      </c>
      <c r="AV22" s="135" t="n">
        <v>0</v>
      </c>
      <c r="AW22" s="135" t="n">
        <v>57</v>
      </c>
      <c r="AX22" s="135" t="n">
        <v>333</v>
      </c>
      <c r="AY22" s="135" t="n">
        <v>336</v>
      </c>
      <c r="AZ22" s="135" t="n">
        <v>212</v>
      </c>
      <c r="BA22" s="135" t="n">
        <v>89</v>
      </c>
      <c r="BB22" s="135" t="n">
        <v>0</v>
      </c>
      <c r="BC22" s="135" t="n">
        <v>56</v>
      </c>
      <c r="BD22" s="135" t="n">
        <v>326</v>
      </c>
      <c r="BE22" s="135" t="n">
        <v>328</v>
      </c>
      <c r="BF22" s="135" t="n">
        <v>188</v>
      </c>
      <c r="BG22" s="135" t="n">
        <v>78</v>
      </c>
      <c r="BH22" s="135" t="n">
        <v>947</v>
      </c>
      <c r="BI22" s="135" t="n">
        <v>469</v>
      </c>
      <c r="BJ22" s="135" t="n">
        <v>478</v>
      </c>
      <c r="BK22" s="135" t="n">
        <v>786</v>
      </c>
      <c r="BL22" s="135" t="n">
        <v>358</v>
      </c>
      <c r="BM22" s="135" t="n">
        <v>428</v>
      </c>
      <c r="BN22" s="135" t="n">
        <v>160</v>
      </c>
      <c r="BO22" s="135" t="n">
        <v>111</v>
      </c>
      <c r="BP22" s="135" t="n">
        <v>50</v>
      </c>
      <c r="BQ22" s="135" t="n">
        <v>173</v>
      </c>
      <c r="BR22" s="135" t="n">
        <v>153</v>
      </c>
      <c r="BS22" s="135" t="n">
        <v>19</v>
      </c>
      <c r="BT22" s="135" t="n">
        <v>134</v>
      </c>
      <c r="BU22" s="135" t="n">
        <v>20</v>
      </c>
      <c r="BV22" s="135" t="n">
        <v>687</v>
      </c>
      <c r="BW22" s="135" t="n">
        <v>320</v>
      </c>
      <c r="BX22" s="135" t="n">
        <v>627</v>
      </c>
      <c r="BY22" s="135" t="n">
        <v>531</v>
      </c>
      <c r="BZ22" s="135" t="n">
        <v>5</v>
      </c>
      <c r="CA22" s="135" t="n">
        <v>56</v>
      </c>
      <c r="CB22" s="135" t="n">
        <v>35</v>
      </c>
      <c r="CC22" s="135" t="n">
        <v>54</v>
      </c>
      <c r="CD22" s="135" t="n">
        <v>95</v>
      </c>
      <c r="CE22" s="135" t="n">
        <v>41</v>
      </c>
      <c r="CF22" s="135" t="n">
        <v>10</v>
      </c>
      <c r="CG22" s="135" t="n">
        <v>609</v>
      </c>
      <c r="CH22" s="135" t="n">
        <v>138</v>
      </c>
      <c r="CI22" s="136" t="n">
        <v>0.5600000000000001</v>
      </c>
      <c r="CJ22" s="135" t="n">
        <v>2463</v>
      </c>
      <c r="CK22" s="137" t="n">
        <v>56.2</v>
      </c>
      <c r="CL22" s="137" t="n">
        <v>71.3</v>
      </c>
      <c r="CM22" s="137" t="n">
        <v>30.9</v>
      </c>
      <c r="CN22" s="137" t="n">
        <v>67.2</v>
      </c>
      <c r="CO22" s="137" t="n">
        <v>26.2</v>
      </c>
      <c r="CP22" s="137" t="n">
        <v>5.7</v>
      </c>
      <c r="CQ22" s="137" t="n">
        <v>15.2</v>
      </c>
      <c r="CR22" s="137" t="n">
        <v>83.09999999999999</v>
      </c>
      <c r="CS22" s="137" t="n">
        <v>54.4</v>
      </c>
      <c r="CT22" s="137" t="n">
        <v>87.40000000000001</v>
      </c>
      <c r="CU22" s="138" t="n">
        <v>33.8</v>
      </c>
    </row>
    <row r="23" ht="30" customHeight="1">
      <c r="A23" s="3" t="inlineStr">
        <is>
          <t>SUD</t>
        </is>
      </c>
      <c r="B23" s="3" t="inlineStr">
        <is>
          <t>EDOUARD VAILLANT</t>
        </is>
      </c>
      <c r="C23" s="3" t="inlineStr">
        <is>
          <t>Édouard Vaillant</t>
        </is>
      </c>
      <c r="D23" s="135" t="n">
        <v>2729</v>
      </c>
      <c r="E23" s="135" t="n">
        <v>762</v>
      </c>
      <c r="F23" s="135" t="n">
        <v>1584</v>
      </c>
      <c r="G23" s="135" t="n">
        <v>383</v>
      </c>
      <c r="H23" s="135" t="n">
        <v>1289</v>
      </c>
      <c r="I23" s="135" t="n">
        <v>374</v>
      </c>
      <c r="J23" s="135" t="n">
        <v>759</v>
      </c>
      <c r="K23" s="135" t="n">
        <v>156</v>
      </c>
      <c r="L23" s="135" t="n">
        <v>1440</v>
      </c>
      <c r="M23" s="135" t="n">
        <v>388</v>
      </c>
      <c r="N23" s="135" t="n">
        <v>826</v>
      </c>
      <c r="O23" s="135" t="n">
        <v>227</v>
      </c>
      <c r="P23" s="135" t="n">
        <v>1831</v>
      </c>
      <c r="Q23" s="135" t="n">
        <v>218</v>
      </c>
      <c r="R23" s="135" t="n">
        <v>1379</v>
      </c>
      <c r="S23" s="135" t="n">
        <v>234</v>
      </c>
      <c r="T23" s="135" t="n">
        <v>924</v>
      </c>
      <c r="U23" s="135" t="n">
        <v>118</v>
      </c>
      <c r="V23" s="135" t="n">
        <v>700</v>
      </c>
      <c r="W23" s="135" t="n">
        <v>105</v>
      </c>
      <c r="X23" s="135" t="n">
        <v>907</v>
      </c>
      <c r="Y23" s="135" t="n">
        <v>100</v>
      </c>
      <c r="Z23" s="135" t="n">
        <v>678</v>
      </c>
      <c r="AA23" s="135" t="n">
        <v>129</v>
      </c>
      <c r="AB23" s="135" t="n">
        <v>1541</v>
      </c>
      <c r="AC23" s="135" t="n">
        <v>150</v>
      </c>
      <c r="AD23" s="135" t="n">
        <v>1189</v>
      </c>
      <c r="AE23" s="135" t="n">
        <v>202</v>
      </c>
      <c r="AF23" s="135" t="n">
        <v>769</v>
      </c>
      <c r="AG23" s="135" t="n">
        <v>79</v>
      </c>
      <c r="AH23" s="135" t="n">
        <v>608</v>
      </c>
      <c r="AI23" s="135" t="n">
        <v>82</v>
      </c>
      <c r="AJ23" s="135" t="n">
        <v>772</v>
      </c>
      <c r="AK23" s="135" t="n">
        <v>71</v>
      </c>
      <c r="AL23" s="135" t="n">
        <v>581</v>
      </c>
      <c r="AM23" s="135" t="n">
        <v>120</v>
      </c>
      <c r="AN23" s="135" t="n">
        <v>290</v>
      </c>
      <c r="AO23" s="135" t="n">
        <v>68</v>
      </c>
      <c r="AP23" s="135" t="n">
        <v>190</v>
      </c>
      <c r="AQ23" s="135" t="n">
        <v>32</v>
      </c>
      <c r="AR23" s="135" t="n">
        <v>898</v>
      </c>
      <c r="AS23" s="135" t="n">
        <v>532</v>
      </c>
      <c r="AT23" s="135" t="n">
        <v>87</v>
      </c>
      <c r="AU23" s="135" t="n">
        <v>280</v>
      </c>
      <c r="AV23" s="135" t="n">
        <v>0</v>
      </c>
      <c r="AW23" s="135" t="n">
        <v>85</v>
      </c>
      <c r="AX23" s="135" t="n">
        <v>405</v>
      </c>
      <c r="AY23" s="135" t="n">
        <v>580</v>
      </c>
      <c r="AZ23" s="135" t="n">
        <v>458</v>
      </c>
      <c r="BA23" s="135" t="n">
        <v>358</v>
      </c>
      <c r="BB23" s="135" t="n">
        <v>0</v>
      </c>
      <c r="BC23" s="135" t="n">
        <v>79</v>
      </c>
      <c r="BD23" s="135" t="n">
        <v>387</v>
      </c>
      <c r="BE23" s="135" t="n">
        <v>523</v>
      </c>
      <c r="BF23" s="135" t="n">
        <v>373</v>
      </c>
      <c r="BG23" s="135" t="n">
        <v>292</v>
      </c>
      <c r="BH23" s="135" t="n">
        <v>1552</v>
      </c>
      <c r="BI23" s="135" t="n">
        <v>776</v>
      </c>
      <c r="BJ23" s="135" t="n">
        <v>776</v>
      </c>
      <c r="BK23" s="135" t="n">
        <v>1391</v>
      </c>
      <c r="BL23" s="135" t="n">
        <v>692</v>
      </c>
      <c r="BM23" s="135" t="n">
        <v>700</v>
      </c>
      <c r="BN23" s="135" t="n">
        <v>160</v>
      </c>
      <c r="BO23" s="135" t="n">
        <v>84</v>
      </c>
      <c r="BP23" s="135" t="n">
        <v>76</v>
      </c>
      <c r="BQ23" s="135" t="n">
        <v>221</v>
      </c>
      <c r="BR23" s="135" t="n">
        <v>193</v>
      </c>
      <c r="BS23" s="135" t="n">
        <v>32</v>
      </c>
      <c r="BT23" s="135" t="n">
        <v>161</v>
      </c>
      <c r="BU23" s="135" t="n">
        <v>28</v>
      </c>
      <c r="BV23" s="135" t="n">
        <v>1219</v>
      </c>
      <c r="BW23" s="135" t="n">
        <v>480</v>
      </c>
      <c r="BX23" s="135" t="n">
        <v>1072</v>
      </c>
      <c r="BY23" s="135" t="n">
        <v>965</v>
      </c>
      <c r="BZ23" s="135" t="n">
        <v>11</v>
      </c>
      <c r="CA23" s="135" t="n">
        <v>17</v>
      </c>
      <c r="CB23" s="135" t="n">
        <v>79</v>
      </c>
      <c r="CC23" s="135" t="n">
        <v>69</v>
      </c>
      <c r="CD23" s="135" t="n">
        <v>99</v>
      </c>
      <c r="CE23" s="135" t="n">
        <v>58</v>
      </c>
      <c r="CF23" s="135" t="n">
        <v>3</v>
      </c>
      <c r="CG23" s="135" t="n">
        <v>1110</v>
      </c>
      <c r="CH23" s="135" t="n">
        <v>214</v>
      </c>
      <c r="CI23" s="136" t="n">
        <v>0.53</v>
      </c>
      <c r="CJ23" s="135" t="n">
        <v>4214</v>
      </c>
      <c r="CK23" s="137" t="n">
        <v>64.8</v>
      </c>
      <c r="CL23" s="137" t="n">
        <v>67.09999999999999</v>
      </c>
      <c r="CM23" s="137" t="n">
        <v>28.6</v>
      </c>
      <c r="CN23" s="137" t="n">
        <v>56.5</v>
      </c>
      <c r="CO23" s="137" t="n">
        <v>19.7</v>
      </c>
      <c r="CP23" s="137" t="n">
        <v>15.8</v>
      </c>
      <c r="CQ23" s="137" t="n">
        <v>31.2</v>
      </c>
      <c r="CR23" s="137" t="n">
        <v>89.7</v>
      </c>
      <c r="CS23" s="137" t="n">
        <v>50.3</v>
      </c>
      <c r="CT23" s="137" t="n">
        <v>87.59999999999999</v>
      </c>
      <c r="CU23" s="138" t="n">
        <v>30.9</v>
      </c>
    </row>
    <row r="24" ht="30" customHeight="1">
      <c r="A24" s="3" t="inlineStr">
        <is>
          <t>SUD</t>
        </is>
      </c>
      <c r="B24" s="3" t="inlineStr">
        <is>
          <t>MOULIN</t>
        </is>
      </c>
      <c r="C24" s="3" t="inlineStr">
        <is>
          <t>Moulin Nord</t>
        </is>
      </c>
      <c r="D24" s="135" t="n">
        <v>1509</v>
      </c>
      <c r="E24" s="135" t="n">
        <v>478</v>
      </c>
      <c r="F24" s="135" t="n">
        <v>785</v>
      </c>
      <c r="G24" s="135" t="n">
        <v>245</v>
      </c>
      <c r="H24" s="135" t="n">
        <v>746</v>
      </c>
      <c r="I24" s="135" t="n">
        <v>223</v>
      </c>
      <c r="J24" s="135" t="n">
        <v>398</v>
      </c>
      <c r="K24" s="135" t="n">
        <v>124</v>
      </c>
      <c r="L24" s="135" t="n">
        <v>764</v>
      </c>
      <c r="M24" s="135" t="n">
        <v>255</v>
      </c>
      <c r="N24" s="135" t="n">
        <v>387</v>
      </c>
      <c r="O24" s="135" t="n">
        <v>121</v>
      </c>
      <c r="P24" s="135" t="n">
        <v>929</v>
      </c>
      <c r="Q24" s="135" t="n">
        <v>180</v>
      </c>
      <c r="R24" s="135" t="n">
        <v>603</v>
      </c>
      <c r="S24" s="135" t="n">
        <v>145</v>
      </c>
      <c r="T24" s="135" t="n">
        <v>520</v>
      </c>
      <c r="U24" s="135" t="n">
        <v>86</v>
      </c>
      <c r="V24" s="135" t="n">
        <v>360</v>
      </c>
      <c r="W24" s="135" t="n">
        <v>74</v>
      </c>
      <c r="X24" s="135" t="n">
        <v>409</v>
      </c>
      <c r="Y24" s="135" t="n">
        <v>94</v>
      </c>
      <c r="Z24" s="135" t="n">
        <v>243</v>
      </c>
      <c r="AA24" s="135" t="n">
        <v>71</v>
      </c>
      <c r="AB24" s="135" t="n">
        <v>655</v>
      </c>
      <c r="AC24" s="135" t="n">
        <v>93</v>
      </c>
      <c r="AD24" s="135" t="n">
        <v>454</v>
      </c>
      <c r="AE24" s="135" t="n">
        <v>108</v>
      </c>
      <c r="AF24" s="135" t="n">
        <v>378</v>
      </c>
      <c r="AG24" s="135" t="n">
        <v>49</v>
      </c>
      <c r="AH24" s="135" t="n">
        <v>273</v>
      </c>
      <c r="AI24" s="135" t="n">
        <v>55</v>
      </c>
      <c r="AJ24" s="135" t="n">
        <v>277</v>
      </c>
      <c r="AK24" s="135" t="n">
        <v>44</v>
      </c>
      <c r="AL24" s="135" t="n">
        <v>181</v>
      </c>
      <c r="AM24" s="135" t="n">
        <v>52</v>
      </c>
      <c r="AN24" s="135" t="n">
        <v>274</v>
      </c>
      <c r="AO24" s="135" t="n">
        <v>87</v>
      </c>
      <c r="AP24" s="135" t="n">
        <v>149</v>
      </c>
      <c r="AQ24" s="135" t="n">
        <v>38</v>
      </c>
      <c r="AR24" s="135" t="n">
        <v>581</v>
      </c>
      <c r="AS24" s="135" t="n">
        <v>264</v>
      </c>
      <c r="AT24" s="135" t="n">
        <v>50</v>
      </c>
      <c r="AU24" s="135" t="n">
        <v>267</v>
      </c>
      <c r="AV24" s="135" t="n">
        <v>0</v>
      </c>
      <c r="AW24" s="135" t="n">
        <v>43</v>
      </c>
      <c r="AX24" s="135" t="n">
        <v>105</v>
      </c>
      <c r="AY24" s="135" t="n">
        <v>190</v>
      </c>
      <c r="AZ24" s="135" t="n">
        <v>261</v>
      </c>
      <c r="BA24" s="135" t="n">
        <v>315</v>
      </c>
      <c r="BB24" s="135" t="n">
        <v>0</v>
      </c>
      <c r="BC24" s="135" t="n">
        <v>25</v>
      </c>
      <c r="BD24" s="135" t="n">
        <v>101</v>
      </c>
      <c r="BE24" s="135" t="n">
        <v>171</v>
      </c>
      <c r="BF24" s="135" t="n">
        <v>180</v>
      </c>
      <c r="BG24" s="135" t="n">
        <v>191</v>
      </c>
      <c r="BH24" s="135" t="n">
        <v>668</v>
      </c>
      <c r="BI24" s="135" t="n">
        <v>388</v>
      </c>
      <c r="BJ24" s="135" t="n">
        <v>280</v>
      </c>
      <c r="BK24" s="135" t="n">
        <v>618</v>
      </c>
      <c r="BL24" s="135" t="n">
        <v>363</v>
      </c>
      <c r="BM24" s="135" t="n">
        <v>255</v>
      </c>
      <c r="BN24" s="135" t="n">
        <v>50</v>
      </c>
      <c r="BO24" s="135" t="n">
        <v>25</v>
      </c>
      <c r="BP24" s="135" t="n">
        <v>25</v>
      </c>
      <c r="BQ24" s="135" t="n">
        <v>139</v>
      </c>
      <c r="BR24" s="135" t="n">
        <v>130</v>
      </c>
      <c r="BS24" s="135" t="n">
        <v>43</v>
      </c>
      <c r="BT24" s="135" t="n">
        <v>87</v>
      </c>
      <c r="BU24" s="135" t="n">
        <v>10</v>
      </c>
      <c r="BV24" s="135" t="n">
        <v>459</v>
      </c>
      <c r="BW24" s="135" t="n">
        <v>240</v>
      </c>
      <c r="BX24" s="135" t="n">
        <v>428</v>
      </c>
      <c r="BY24" s="135" t="n">
        <v>355</v>
      </c>
      <c r="BZ24" s="135" t="n">
        <v>16</v>
      </c>
      <c r="CA24" s="135" t="n">
        <v>29</v>
      </c>
      <c r="CB24" s="135" t="n">
        <v>28</v>
      </c>
      <c r="CC24" s="135" t="n">
        <v>35</v>
      </c>
      <c r="CD24" s="135" t="n">
        <v>74</v>
      </c>
      <c r="CE24" s="135" t="n">
        <v>14</v>
      </c>
      <c r="CF24" s="135" t="n">
        <v>4</v>
      </c>
      <c r="CG24" s="135" t="n">
        <v>374</v>
      </c>
      <c r="CH24" s="135" t="n">
        <v>167</v>
      </c>
      <c r="CI24" s="136" t="n">
        <v>0.16</v>
      </c>
      <c r="CJ24" s="135" t="n">
        <v>2319</v>
      </c>
      <c r="CK24" s="137" t="n">
        <v>65.09999999999999</v>
      </c>
      <c r="CL24" s="137" t="n">
        <v>61.5</v>
      </c>
      <c r="CM24" s="137" t="n">
        <v>37.7</v>
      </c>
      <c r="CN24" s="137" t="n">
        <v>43.4</v>
      </c>
      <c r="CO24" s="137" t="n">
        <v>19.5</v>
      </c>
      <c r="CP24" s="137" t="n">
        <v>29.5</v>
      </c>
      <c r="CQ24" s="137" t="n">
        <v>48.3</v>
      </c>
      <c r="CR24" s="137" t="n">
        <v>92.5</v>
      </c>
      <c r="CS24" s="137" t="n">
        <v>41.3</v>
      </c>
      <c r="CT24" s="137" t="n">
        <v>74.2</v>
      </c>
      <c r="CU24" s="138" t="n">
        <v>35.9</v>
      </c>
    </row>
    <row r="25" ht="30" customHeight="1">
      <c r="A25" s="3" t="inlineStr">
        <is>
          <t>SUD</t>
        </is>
      </c>
      <c r="B25" s="3" t="inlineStr">
        <is>
          <t>MOULIN</t>
        </is>
      </c>
      <c r="C25" s="3" t="inlineStr">
        <is>
          <t>Moulin Sud</t>
        </is>
      </c>
      <c r="D25" s="135" t="n">
        <v>1273</v>
      </c>
      <c r="E25" s="135" t="n">
        <v>358</v>
      </c>
      <c r="F25" s="135" t="n">
        <v>738</v>
      </c>
      <c r="G25" s="135" t="n">
        <v>177</v>
      </c>
      <c r="H25" s="135" t="n">
        <v>648</v>
      </c>
      <c r="I25" s="135" t="n">
        <v>211</v>
      </c>
      <c r="J25" s="135" t="n">
        <v>348</v>
      </c>
      <c r="K25" s="135" t="n">
        <v>89</v>
      </c>
      <c r="L25" s="135" t="n">
        <v>625</v>
      </c>
      <c r="M25" s="135" t="n">
        <v>147</v>
      </c>
      <c r="N25" s="135" t="n">
        <v>390</v>
      </c>
      <c r="O25" s="135" t="n">
        <v>89</v>
      </c>
      <c r="P25" s="135" t="n">
        <v>806</v>
      </c>
      <c r="Q25" s="135" t="n">
        <v>109</v>
      </c>
      <c r="R25" s="135" t="n">
        <v>609</v>
      </c>
      <c r="S25" s="135" t="n">
        <v>88</v>
      </c>
      <c r="T25" s="135" t="n">
        <v>440</v>
      </c>
      <c r="U25" s="135" t="n">
        <v>67</v>
      </c>
      <c r="V25" s="135" t="n">
        <v>320</v>
      </c>
      <c r="W25" s="135" t="n">
        <v>53</v>
      </c>
      <c r="X25" s="135" t="n">
        <v>367</v>
      </c>
      <c r="Y25" s="135" t="n">
        <v>42</v>
      </c>
      <c r="Z25" s="135" t="n">
        <v>290</v>
      </c>
      <c r="AA25" s="135" t="n">
        <v>35</v>
      </c>
      <c r="AB25" s="135" t="n">
        <v>586</v>
      </c>
      <c r="AC25" s="135" t="n">
        <v>53</v>
      </c>
      <c r="AD25" s="135" t="n">
        <v>468</v>
      </c>
      <c r="AE25" s="135" t="n">
        <v>64</v>
      </c>
      <c r="AF25" s="135" t="n">
        <v>305</v>
      </c>
      <c r="AG25" s="135" t="n">
        <v>39</v>
      </c>
      <c r="AH25" s="135" t="n">
        <v>237</v>
      </c>
      <c r="AI25" s="135" t="n">
        <v>29</v>
      </c>
      <c r="AJ25" s="135" t="n">
        <v>280</v>
      </c>
      <c r="AK25" s="135" t="n">
        <v>14</v>
      </c>
      <c r="AL25" s="135" t="n">
        <v>231</v>
      </c>
      <c r="AM25" s="135" t="n">
        <v>35</v>
      </c>
      <c r="AN25" s="135" t="n">
        <v>220</v>
      </c>
      <c r="AO25" s="135" t="n">
        <v>55</v>
      </c>
      <c r="AP25" s="135" t="n">
        <v>141</v>
      </c>
      <c r="AQ25" s="135" t="n">
        <v>24</v>
      </c>
      <c r="AR25" s="135" t="n">
        <v>467</v>
      </c>
      <c r="AS25" s="135" t="n">
        <v>213</v>
      </c>
      <c r="AT25" s="135" t="n">
        <v>61</v>
      </c>
      <c r="AU25" s="135" t="n">
        <v>193</v>
      </c>
      <c r="AV25" s="135" t="n">
        <v>0</v>
      </c>
      <c r="AW25" s="135" t="n">
        <v>40</v>
      </c>
      <c r="AX25" s="135" t="n">
        <v>34</v>
      </c>
      <c r="AY25" s="135" t="n">
        <v>189</v>
      </c>
      <c r="AZ25" s="135" t="n">
        <v>270</v>
      </c>
      <c r="BA25" s="135" t="n">
        <v>188</v>
      </c>
      <c r="BB25" s="135" t="n">
        <v>0</v>
      </c>
      <c r="BC25" s="135" t="n">
        <v>31</v>
      </c>
      <c r="BD25" s="135" t="n">
        <v>25</v>
      </c>
      <c r="BE25" s="135" t="n">
        <v>175</v>
      </c>
      <c r="BF25" s="135" t="n">
        <v>231</v>
      </c>
      <c r="BG25" s="135" t="n">
        <v>129</v>
      </c>
      <c r="BH25" s="135" t="n">
        <v>589</v>
      </c>
      <c r="BI25" s="135" t="n">
        <v>305</v>
      </c>
      <c r="BJ25" s="135" t="n">
        <v>284</v>
      </c>
      <c r="BK25" s="135" t="n">
        <v>532</v>
      </c>
      <c r="BL25" s="135" t="n">
        <v>267</v>
      </c>
      <c r="BM25" s="135" t="n">
        <v>265</v>
      </c>
      <c r="BN25" s="135" t="n">
        <v>57</v>
      </c>
      <c r="BO25" s="135" t="n">
        <v>38</v>
      </c>
      <c r="BP25" s="135" t="n">
        <v>19</v>
      </c>
      <c r="BQ25" s="135" t="n">
        <v>116</v>
      </c>
      <c r="BR25" s="135" t="n">
        <v>99</v>
      </c>
      <c r="BS25" s="135" t="n">
        <v>29</v>
      </c>
      <c r="BT25" s="135" t="n">
        <v>70</v>
      </c>
      <c r="BU25" s="135" t="n">
        <v>17</v>
      </c>
      <c r="BV25" s="135" t="n">
        <v>433</v>
      </c>
      <c r="BW25" s="135" t="n">
        <v>208</v>
      </c>
      <c r="BX25" s="135" t="n">
        <v>381</v>
      </c>
      <c r="BY25" s="135" t="n">
        <v>357</v>
      </c>
      <c r="BZ25" s="135" t="n">
        <v>0</v>
      </c>
      <c r="CA25" s="135" t="n">
        <v>11</v>
      </c>
      <c r="CB25" s="135" t="n">
        <v>13</v>
      </c>
      <c r="CC25" s="135" t="n">
        <v>15</v>
      </c>
      <c r="CD25" s="135" t="n">
        <v>51</v>
      </c>
      <c r="CE25" s="135" t="n">
        <v>13</v>
      </c>
      <c r="CF25" s="135" t="n">
        <v>10</v>
      </c>
      <c r="CG25" s="135" t="n">
        <v>372</v>
      </c>
      <c r="CH25" s="135" t="n">
        <v>128</v>
      </c>
      <c r="CI25" s="136" t="n">
        <v>0.17</v>
      </c>
      <c r="CJ25" s="135" t="n">
        <v>2164</v>
      </c>
      <c r="CK25" s="137" t="n">
        <v>58.8</v>
      </c>
      <c r="CL25" s="137" t="n">
        <v>63.3</v>
      </c>
      <c r="CM25" s="137" t="n">
        <v>30.4</v>
      </c>
      <c r="CN25" s="137" t="n">
        <v>46</v>
      </c>
      <c r="CO25" s="137" t="n">
        <v>15</v>
      </c>
      <c r="CP25" s="137" t="n">
        <v>27.4</v>
      </c>
      <c r="CQ25" s="137" t="n">
        <v>50.8</v>
      </c>
      <c r="CR25" s="137" t="n">
        <v>90.3</v>
      </c>
      <c r="CS25" s="137" t="n">
        <v>49.9</v>
      </c>
      <c r="CT25" s="137" t="n">
        <v>81.40000000000001</v>
      </c>
      <c r="CU25" s="138" t="n">
        <v>35.4</v>
      </c>
    </row>
    <row r="26" ht="30" customHeight="1">
      <c r="A26" s="3" t="inlineStr">
        <is>
          <t>SUD</t>
        </is>
      </c>
      <c r="B26" s="3" t="inlineStr">
        <is>
          <t>POTENNERIE</t>
        </is>
      </c>
      <c r="C26" s="3" t="inlineStr">
        <is>
          <t>Potennerie</t>
        </is>
      </c>
      <c r="D26" s="135" t="n">
        <v>2147</v>
      </c>
      <c r="E26" s="135" t="n">
        <v>498</v>
      </c>
      <c r="F26" s="135" t="n">
        <v>1323</v>
      </c>
      <c r="G26" s="135" t="n">
        <v>326</v>
      </c>
      <c r="H26" s="135" t="n">
        <v>1010</v>
      </c>
      <c r="I26" s="135" t="n">
        <v>239</v>
      </c>
      <c r="J26" s="135" t="n">
        <v>619</v>
      </c>
      <c r="K26" s="135" t="n">
        <v>152</v>
      </c>
      <c r="L26" s="135" t="n">
        <v>1137</v>
      </c>
      <c r="M26" s="135" t="n">
        <v>259</v>
      </c>
      <c r="N26" s="135" t="n">
        <v>704</v>
      </c>
      <c r="O26" s="135" t="n">
        <v>174</v>
      </c>
      <c r="P26" s="135" t="n">
        <v>1532</v>
      </c>
      <c r="Q26" s="135" t="n">
        <v>198</v>
      </c>
      <c r="R26" s="135" t="n">
        <v>1089</v>
      </c>
      <c r="S26" s="135" t="n">
        <v>245</v>
      </c>
      <c r="T26" s="135" t="n">
        <v>793</v>
      </c>
      <c r="U26" s="135" t="n">
        <v>97</v>
      </c>
      <c r="V26" s="135" t="n">
        <v>574</v>
      </c>
      <c r="W26" s="135" t="n">
        <v>121</v>
      </c>
      <c r="X26" s="135" t="n">
        <v>739</v>
      </c>
      <c r="Y26" s="135" t="n">
        <v>101</v>
      </c>
      <c r="Z26" s="135" t="n">
        <v>515</v>
      </c>
      <c r="AA26" s="135" t="n">
        <v>124</v>
      </c>
      <c r="AB26" s="135" t="n">
        <v>1272</v>
      </c>
      <c r="AC26" s="135" t="n">
        <v>150</v>
      </c>
      <c r="AD26" s="135" t="n">
        <v>901</v>
      </c>
      <c r="AE26" s="135" t="n">
        <v>220</v>
      </c>
      <c r="AF26" s="135" t="n">
        <v>674</v>
      </c>
      <c r="AG26" s="135" t="n">
        <v>78</v>
      </c>
      <c r="AH26" s="135" t="n">
        <v>487</v>
      </c>
      <c r="AI26" s="135" t="n">
        <v>109</v>
      </c>
      <c r="AJ26" s="135" t="n">
        <v>598</v>
      </c>
      <c r="AK26" s="135" t="n">
        <v>72</v>
      </c>
      <c r="AL26" s="135" t="n">
        <v>414</v>
      </c>
      <c r="AM26" s="135" t="n">
        <v>112</v>
      </c>
      <c r="AN26" s="135" t="n">
        <v>260</v>
      </c>
      <c r="AO26" s="135" t="n">
        <v>48</v>
      </c>
      <c r="AP26" s="135" t="n">
        <v>188</v>
      </c>
      <c r="AQ26" s="135" t="n">
        <v>25</v>
      </c>
      <c r="AR26" s="135" t="n">
        <v>615</v>
      </c>
      <c r="AS26" s="135" t="n">
        <v>280</v>
      </c>
      <c r="AT26" s="135" t="n">
        <v>55</v>
      </c>
      <c r="AU26" s="135" t="n">
        <v>279</v>
      </c>
      <c r="AV26" s="135" t="n">
        <v>0</v>
      </c>
      <c r="AW26" s="135" t="n">
        <v>74</v>
      </c>
      <c r="AX26" s="135" t="n">
        <v>355</v>
      </c>
      <c r="AY26" s="135" t="n">
        <v>396</v>
      </c>
      <c r="AZ26" s="135" t="n">
        <v>400</v>
      </c>
      <c r="BA26" s="135" t="n">
        <v>393</v>
      </c>
      <c r="BB26" s="135" t="n">
        <v>0</v>
      </c>
      <c r="BC26" s="135" t="n">
        <v>59</v>
      </c>
      <c r="BD26" s="135" t="n">
        <v>346</v>
      </c>
      <c r="BE26" s="135" t="n">
        <v>358</v>
      </c>
      <c r="BF26" s="135" t="n">
        <v>306</v>
      </c>
      <c r="BG26" s="135" t="n">
        <v>307</v>
      </c>
      <c r="BH26" s="135" t="n">
        <v>1279</v>
      </c>
      <c r="BI26" s="135" t="n">
        <v>681</v>
      </c>
      <c r="BJ26" s="135" t="n">
        <v>598</v>
      </c>
      <c r="BK26" s="135" t="n">
        <v>1166</v>
      </c>
      <c r="BL26" s="135" t="n">
        <v>608</v>
      </c>
      <c r="BM26" s="135" t="n">
        <v>558</v>
      </c>
      <c r="BN26" s="135" t="n">
        <v>113</v>
      </c>
      <c r="BO26" s="135" t="n">
        <v>73</v>
      </c>
      <c r="BP26" s="135" t="n">
        <v>40</v>
      </c>
      <c r="BQ26" s="135" t="n">
        <v>159</v>
      </c>
      <c r="BR26" s="135" t="n">
        <v>144</v>
      </c>
      <c r="BS26" s="135" t="n">
        <v>40</v>
      </c>
      <c r="BT26" s="135" t="n">
        <v>105</v>
      </c>
      <c r="BU26" s="135" t="n">
        <v>14</v>
      </c>
      <c r="BV26" s="135" t="n">
        <v>986</v>
      </c>
      <c r="BW26" s="135" t="n">
        <v>426</v>
      </c>
      <c r="BX26" s="135" t="n">
        <v>852</v>
      </c>
      <c r="BY26" s="135" t="n">
        <v>806</v>
      </c>
      <c r="BZ26" s="135" t="n">
        <v>6</v>
      </c>
      <c r="CA26" s="135" t="n">
        <v>15</v>
      </c>
      <c r="CB26" s="135" t="n">
        <v>26</v>
      </c>
      <c r="CC26" s="135" t="n">
        <v>36</v>
      </c>
      <c r="CD26" s="135" t="n">
        <v>94</v>
      </c>
      <c r="CE26" s="135" t="n">
        <v>33</v>
      </c>
      <c r="CF26" s="135" t="n">
        <v>26</v>
      </c>
      <c r="CG26" s="135" t="n">
        <v>855</v>
      </c>
      <c r="CH26" s="135" t="n">
        <v>234</v>
      </c>
      <c r="CI26" s="136" t="n">
        <v>0.37</v>
      </c>
      <c r="CJ26" s="135" t="n">
        <v>3230</v>
      </c>
      <c r="CK26" s="137" t="n">
        <v>66.5</v>
      </c>
      <c r="CL26" s="137" t="n">
        <v>71.40000000000001</v>
      </c>
      <c r="CM26" s="137" t="n">
        <v>39.8</v>
      </c>
      <c r="CN26" s="137" t="n">
        <v>59.3</v>
      </c>
      <c r="CO26" s="137" t="n">
        <v>30.2</v>
      </c>
      <c r="CP26" s="137" t="n">
        <v>17</v>
      </c>
      <c r="CQ26" s="137" t="n">
        <v>24.1</v>
      </c>
      <c r="CR26" s="137" t="n">
        <v>91.2</v>
      </c>
      <c r="CS26" s="137" t="n">
        <v>47.9</v>
      </c>
      <c r="CT26" s="137" t="n">
        <v>84.5</v>
      </c>
      <c r="CU26" s="138" t="n">
        <v>33.4</v>
      </c>
    </row>
    <row r="27" ht="30" customHeight="1">
      <c r="A27" s="3" t="inlineStr">
        <is>
          <t>EST</t>
        </is>
      </c>
      <c r="B27" s="3" t="inlineStr">
        <is>
          <t>STE ELISABETH</t>
        </is>
      </c>
      <c r="C27" s="3" t="inlineStr">
        <is>
          <t>Sainte-Élisabeth Centre</t>
        </is>
      </c>
      <c r="D27" s="135" t="n">
        <v>1426</v>
      </c>
      <c r="E27" s="135" t="n">
        <v>432</v>
      </c>
      <c r="F27" s="135" t="n">
        <v>825</v>
      </c>
      <c r="G27" s="135" t="n">
        <v>169</v>
      </c>
      <c r="H27" s="135" t="n">
        <v>638</v>
      </c>
      <c r="I27" s="135" t="n">
        <v>176</v>
      </c>
      <c r="J27" s="135" t="n">
        <v>376</v>
      </c>
      <c r="K27" s="135" t="n">
        <v>85</v>
      </c>
      <c r="L27" s="135" t="n">
        <v>787</v>
      </c>
      <c r="M27" s="135" t="n">
        <v>255</v>
      </c>
      <c r="N27" s="135" t="n">
        <v>448</v>
      </c>
      <c r="O27" s="135" t="n">
        <v>84</v>
      </c>
      <c r="P27" s="135" t="n">
        <v>791</v>
      </c>
      <c r="Q27" s="135" t="n">
        <v>157</v>
      </c>
      <c r="R27" s="135" t="n">
        <v>565</v>
      </c>
      <c r="S27" s="135" t="n">
        <v>70</v>
      </c>
      <c r="T27" s="135" t="n">
        <v>416</v>
      </c>
      <c r="U27" s="135" t="n">
        <v>72</v>
      </c>
      <c r="V27" s="135" t="n">
        <v>304</v>
      </c>
      <c r="W27" s="135" t="n">
        <v>40</v>
      </c>
      <c r="X27" s="135" t="n">
        <v>375</v>
      </c>
      <c r="Y27" s="135" t="n">
        <v>84</v>
      </c>
      <c r="Z27" s="135" t="n">
        <v>261</v>
      </c>
      <c r="AA27" s="135" t="n">
        <v>30</v>
      </c>
      <c r="AB27" s="135" t="n">
        <v>538</v>
      </c>
      <c r="AC27" s="135" t="n">
        <v>75</v>
      </c>
      <c r="AD27" s="135" t="n">
        <v>413</v>
      </c>
      <c r="AE27" s="135" t="n">
        <v>50</v>
      </c>
      <c r="AF27" s="135" t="n">
        <v>279</v>
      </c>
      <c r="AG27" s="135" t="n">
        <v>29</v>
      </c>
      <c r="AH27" s="135" t="n">
        <v>222</v>
      </c>
      <c r="AI27" s="135" t="n">
        <v>27</v>
      </c>
      <c r="AJ27" s="135" t="n">
        <v>260</v>
      </c>
      <c r="AK27" s="135" t="n">
        <v>46</v>
      </c>
      <c r="AL27" s="135" t="n">
        <v>191</v>
      </c>
      <c r="AM27" s="135" t="n">
        <v>23</v>
      </c>
      <c r="AN27" s="135" t="n">
        <v>253</v>
      </c>
      <c r="AO27" s="135" t="n">
        <v>81</v>
      </c>
      <c r="AP27" s="135" t="n">
        <v>152</v>
      </c>
      <c r="AQ27" s="135" t="n">
        <v>20</v>
      </c>
      <c r="AR27" s="135" t="n">
        <v>634</v>
      </c>
      <c r="AS27" s="135" t="n">
        <v>239</v>
      </c>
      <c r="AT27" s="135" t="n">
        <v>39</v>
      </c>
      <c r="AU27" s="135" t="n">
        <v>356</v>
      </c>
      <c r="AV27" s="135" t="n">
        <v>0</v>
      </c>
      <c r="AW27" s="135" t="n">
        <v>22</v>
      </c>
      <c r="AX27" s="135" t="n">
        <v>42</v>
      </c>
      <c r="AY27" s="135" t="n">
        <v>148</v>
      </c>
      <c r="AZ27" s="135" t="n">
        <v>259</v>
      </c>
      <c r="BA27" s="135" t="n">
        <v>287</v>
      </c>
      <c r="BB27" s="135" t="n">
        <v>0</v>
      </c>
      <c r="BC27" s="135" t="n">
        <v>18</v>
      </c>
      <c r="BD27" s="135" t="n">
        <v>38</v>
      </c>
      <c r="BE27" s="135" t="n">
        <v>121</v>
      </c>
      <c r="BF27" s="135" t="n">
        <v>187</v>
      </c>
      <c r="BG27" s="135" t="n">
        <v>205</v>
      </c>
      <c r="BH27" s="135" t="n">
        <v>540</v>
      </c>
      <c r="BI27" s="135" t="n">
        <v>280</v>
      </c>
      <c r="BJ27" s="135" t="n">
        <v>261</v>
      </c>
      <c r="BK27" s="135" t="n">
        <v>492</v>
      </c>
      <c r="BL27" s="135" t="n">
        <v>251</v>
      </c>
      <c r="BM27" s="135" t="n">
        <v>241</v>
      </c>
      <c r="BN27" s="135" t="n">
        <v>48</v>
      </c>
      <c r="BO27" s="135" t="n">
        <v>29</v>
      </c>
      <c r="BP27" s="135" t="n">
        <v>19</v>
      </c>
      <c r="BQ27" s="135" t="n">
        <v>105</v>
      </c>
      <c r="BR27" s="135" t="n">
        <v>97</v>
      </c>
      <c r="BS27" s="135" t="n">
        <v>23</v>
      </c>
      <c r="BT27" s="135" t="n">
        <v>74</v>
      </c>
      <c r="BU27" s="135" t="n">
        <v>8</v>
      </c>
      <c r="BV27" s="135" t="n">
        <v>376</v>
      </c>
      <c r="BW27" s="135" t="n">
        <v>190</v>
      </c>
      <c r="BX27" s="135" t="n">
        <v>350</v>
      </c>
      <c r="BY27" s="135" t="n">
        <v>303</v>
      </c>
      <c r="BZ27" s="135" t="n">
        <v>7</v>
      </c>
      <c r="CA27" s="135" t="n">
        <v>8</v>
      </c>
      <c r="CB27" s="135" t="n">
        <v>33</v>
      </c>
      <c r="CC27" s="135" t="n">
        <v>22</v>
      </c>
      <c r="CD27" s="135" t="n">
        <v>42</v>
      </c>
      <c r="CE27" s="135" t="n">
        <v>35</v>
      </c>
      <c r="CF27" s="135" t="n">
        <v>6</v>
      </c>
      <c r="CG27" s="135" t="n">
        <v>313</v>
      </c>
      <c r="CH27" s="135" t="n">
        <v>122</v>
      </c>
      <c r="CI27" s="136" t="n">
        <v>0.16</v>
      </c>
      <c r="CJ27" s="135" t="n">
        <v>2310</v>
      </c>
      <c r="CK27" s="137" t="n">
        <v>61.7</v>
      </c>
      <c r="CL27" s="137" t="n">
        <v>55.5</v>
      </c>
      <c r="CM27" s="137" t="n">
        <v>36.2</v>
      </c>
      <c r="CN27" s="137" t="n">
        <v>37.8</v>
      </c>
      <c r="CO27" s="137" t="n">
        <v>17.4</v>
      </c>
      <c r="CP27" s="137" t="n">
        <v>32</v>
      </c>
      <c r="CQ27" s="137" t="n">
        <v>52</v>
      </c>
      <c r="CR27" s="137" t="n">
        <v>91.09999999999999</v>
      </c>
      <c r="CS27" s="137" t="n">
        <v>49</v>
      </c>
      <c r="CT27" s="137" t="n">
        <v>76.40000000000001</v>
      </c>
      <c r="CU27" s="138" t="n">
        <v>35.2</v>
      </c>
    </row>
    <row r="28" ht="30" customHeight="1">
      <c r="A28" s="3" t="inlineStr">
        <is>
          <t>EST</t>
        </is>
      </c>
      <c r="B28" s="3" t="inlineStr">
        <is>
          <t>STE ELISABETH</t>
        </is>
      </c>
      <c r="C28" s="3" t="inlineStr">
        <is>
          <t>Sainte-Élisabeth Sud</t>
        </is>
      </c>
      <c r="D28" s="135" t="n">
        <v>1293</v>
      </c>
      <c r="E28" s="135" t="n">
        <v>324</v>
      </c>
      <c r="F28" s="135" t="n">
        <v>769</v>
      </c>
      <c r="G28" s="135" t="n">
        <v>200</v>
      </c>
      <c r="H28" s="135" t="n">
        <v>625</v>
      </c>
      <c r="I28" s="135" t="n">
        <v>164</v>
      </c>
      <c r="J28" s="135" t="n">
        <v>361</v>
      </c>
      <c r="K28" s="135" t="n">
        <v>100</v>
      </c>
      <c r="L28" s="135" t="n">
        <v>668</v>
      </c>
      <c r="M28" s="135" t="n">
        <v>160</v>
      </c>
      <c r="N28" s="135" t="n">
        <v>409</v>
      </c>
      <c r="O28" s="135" t="n">
        <v>100</v>
      </c>
      <c r="P28" s="135" t="n">
        <v>813</v>
      </c>
      <c r="Q28" s="135" t="n">
        <v>113</v>
      </c>
      <c r="R28" s="135" t="n">
        <v>574</v>
      </c>
      <c r="S28" s="135" t="n">
        <v>126</v>
      </c>
      <c r="T28" s="135" t="n">
        <v>464</v>
      </c>
      <c r="U28" s="135" t="n">
        <v>61</v>
      </c>
      <c r="V28" s="135" t="n">
        <v>325</v>
      </c>
      <c r="W28" s="135" t="n">
        <v>78</v>
      </c>
      <c r="X28" s="135" t="n">
        <v>350</v>
      </c>
      <c r="Y28" s="135" t="n">
        <v>52</v>
      </c>
      <c r="Z28" s="135" t="n">
        <v>249</v>
      </c>
      <c r="AA28" s="135" t="n">
        <v>48</v>
      </c>
      <c r="AB28" s="135" t="n">
        <v>586</v>
      </c>
      <c r="AC28" s="135" t="n">
        <v>57</v>
      </c>
      <c r="AD28" s="135" t="n">
        <v>439</v>
      </c>
      <c r="AE28" s="135" t="n">
        <v>90</v>
      </c>
      <c r="AF28" s="135" t="n">
        <v>351</v>
      </c>
      <c r="AG28" s="135" t="n">
        <v>26</v>
      </c>
      <c r="AH28" s="135" t="n">
        <v>266</v>
      </c>
      <c r="AI28" s="135" t="n">
        <v>59</v>
      </c>
      <c r="AJ28" s="135" t="n">
        <v>235</v>
      </c>
      <c r="AK28" s="135" t="n">
        <v>31</v>
      </c>
      <c r="AL28" s="135" t="n">
        <v>173</v>
      </c>
      <c r="AM28" s="135" t="n">
        <v>31</v>
      </c>
      <c r="AN28" s="135" t="n">
        <v>228</v>
      </c>
      <c r="AO28" s="135" t="n">
        <v>56</v>
      </c>
      <c r="AP28" s="135" t="n">
        <v>135</v>
      </c>
      <c r="AQ28" s="135" t="n">
        <v>36</v>
      </c>
      <c r="AR28" s="135" t="n">
        <v>480</v>
      </c>
      <c r="AS28" s="135" t="n">
        <v>184</v>
      </c>
      <c r="AT28" s="135" t="n">
        <v>26</v>
      </c>
      <c r="AU28" s="135" t="n">
        <v>270</v>
      </c>
      <c r="AV28" s="135" t="n">
        <v>0</v>
      </c>
      <c r="AW28" s="135" t="n">
        <v>64</v>
      </c>
      <c r="AX28" s="135" t="n">
        <v>52</v>
      </c>
      <c r="AY28" s="135" t="n">
        <v>141</v>
      </c>
      <c r="AZ28" s="135" t="n">
        <v>260</v>
      </c>
      <c r="BA28" s="135" t="n">
        <v>317</v>
      </c>
      <c r="BB28" s="135" t="n">
        <v>0</v>
      </c>
      <c r="BC28" s="135" t="n">
        <v>60</v>
      </c>
      <c r="BD28" s="135" t="n">
        <v>52</v>
      </c>
      <c r="BE28" s="135" t="n">
        <v>122</v>
      </c>
      <c r="BF28" s="135" t="n">
        <v>174</v>
      </c>
      <c r="BG28" s="135" t="n">
        <v>217</v>
      </c>
      <c r="BH28" s="135" t="n">
        <v>592</v>
      </c>
      <c r="BI28" s="135" t="n">
        <v>358</v>
      </c>
      <c r="BJ28" s="135" t="n">
        <v>235</v>
      </c>
      <c r="BK28" s="135" t="n">
        <v>517</v>
      </c>
      <c r="BL28" s="135" t="n">
        <v>304</v>
      </c>
      <c r="BM28" s="135" t="n">
        <v>213</v>
      </c>
      <c r="BN28" s="135" t="n">
        <v>75</v>
      </c>
      <c r="BO28" s="135" t="n">
        <v>54</v>
      </c>
      <c r="BP28" s="135" t="n">
        <v>21</v>
      </c>
      <c r="BQ28" s="135" t="n">
        <v>119</v>
      </c>
      <c r="BR28" s="135" t="n">
        <v>105</v>
      </c>
      <c r="BS28" s="135" t="n">
        <v>39</v>
      </c>
      <c r="BT28" s="135" t="n">
        <v>65</v>
      </c>
      <c r="BU28" s="135" t="n">
        <v>14</v>
      </c>
      <c r="BV28" s="135" t="n">
        <v>398</v>
      </c>
      <c r="BW28" s="135" t="n">
        <v>239</v>
      </c>
      <c r="BX28" s="135" t="n">
        <v>353</v>
      </c>
      <c r="BY28" s="135" t="n">
        <v>296</v>
      </c>
      <c r="BZ28" s="135" t="n">
        <v>3</v>
      </c>
      <c r="CA28" s="135" t="n">
        <v>7</v>
      </c>
      <c r="CB28" s="135" t="n">
        <v>46</v>
      </c>
      <c r="CC28" s="135" t="n">
        <v>3</v>
      </c>
      <c r="CD28" s="135" t="n">
        <v>40</v>
      </c>
      <c r="CE28" s="135" t="n">
        <v>14</v>
      </c>
      <c r="CF28" s="135" t="n">
        <v>0</v>
      </c>
      <c r="CG28" s="135" t="n">
        <v>398</v>
      </c>
      <c r="CH28" s="135" t="n">
        <v>137</v>
      </c>
      <c r="CI28" s="136" t="n">
        <v>0.14</v>
      </c>
      <c r="CJ28" s="135" t="n">
        <v>2145</v>
      </c>
      <c r="CK28" s="137" t="n">
        <v>60.3</v>
      </c>
      <c r="CL28" s="137" t="n">
        <v>62.9</v>
      </c>
      <c r="CM28" s="137" t="n">
        <v>34.9</v>
      </c>
      <c r="CN28" s="137" t="n">
        <v>45.3</v>
      </c>
      <c r="CO28" s="137" t="n">
        <v>17.6</v>
      </c>
      <c r="CP28" s="137" t="n">
        <v>28</v>
      </c>
      <c r="CQ28" s="137" t="n">
        <v>49.6</v>
      </c>
      <c r="CR28" s="137" t="n">
        <v>87.3</v>
      </c>
      <c r="CS28" s="137" t="n">
        <v>41.2</v>
      </c>
      <c r="CT28" s="137" t="n">
        <v>76.90000000000001</v>
      </c>
      <c r="CU28" s="138" t="n">
        <v>40.4</v>
      </c>
    </row>
    <row r="29" ht="30" customHeight="1">
      <c r="A29" s="3" t="inlineStr">
        <is>
          <t>EST</t>
        </is>
      </c>
      <c r="B29" s="3" t="inlineStr">
        <is>
          <t>STE ELISABETH</t>
        </is>
      </c>
      <c r="C29" s="3" t="inlineStr">
        <is>
          <t>Sainte-Élisabeth Nord</t>
        </is>
      </c>
      <c r="D29" s="135" t="n">
        <v>1770</v>
      </c>
      <c r="E29" s="135" t="n">
        <v>432</v>
      </c>
      <c r="F29" s="135" t="n">
        <v>1039</v>
      </c>
      <c r="G29" s="135" t="n">
        <v>300</v>
      </c>
      <c r="H29" s="135" t="n">
        <v>840</v>
      </c>
      <c r="I29" s="135" t="n">
        <v>201</v>
      </c>
      <c r="J29" s="135" t="n">
        <v>465</v>
      </c>
      <c r="K29" s="135" t="n">
        <v>174</v>
      </c>
      <c r="L29" s="135" t="n">
        <v>930</v>
      </c>
      <c r="M29" s="135" t="n">
        <v>231</v>
      </c>
      <c r="N29" s="135" t="n">
        <v>573</v>
      </c>
      <c r="O29" s="135" t="n">
        <v>126</v>
      </c>
      <c r="P29" s="135" t="n">
        <v>1044</v>
      </c>
      <c r="Q29" s="135" t="n">
        <v>169</v>
      </c>
      <c r="R29" s="135" t="n">
        <v>733</v>
      </c>
      <c r="S29" s="135" t="n">
        <v>141</v>
      </c>
      <c r="T29" s="135" t="n">
        <v>566</v>
      </c>
      <c r="U29" s="135" t="n">
        <v>79</v>
      </c>
      <c r="V29" s="135" t="n">
        <v>394</v>
      </c>
      <c r="W29" s="135" t="n">
        <v>94</v>
      </c>
      <c r="X29" s="135" t="n">
        <v>477</v>
      </c>
      <c r="Y29" s="135" t="n">
        <v>91</v>
      </c>
      <c r="Z29" s="135" t="n">
        <v>340</v>
      </c>
      <c r="AA29" s="135" t="n">
        <v>47</v>
      </c>
      <c r="AB29" s="135" t="n">
        <v>808</v>
      </c>
      <c r="AC29" s="135" t="n">
        <v>112</v>
      </c>
      <c r="AD29" s="135" t="n">
        <v>577</v>
      </c>
      <c r="AE29" s="135" t="n">
        <v>119</v>
      </c>
      <c r="AF29" s="135" t="n">
        <v>422</v>
      </c>
      <c r="AG29" s="135" t="n">
        <v>48</v>
      </c>
      <c r="AH29" s="135" t="n">
        <v>301</v>
      </c>
      <c r="AI29" s="135" t="n">
        <v>73</v>
      </c>
      <c r="AJ29" s="135" t="n">
        <v>386</v>
      </c>
      <c r="AK29" s="135" t="n">
        <v>64</v>
      </c>
      <c r="AL29" s="135" t="n">
        <v>276</v>
      </c>
      <c r="AM29" s="135" t="n">
        <v>46</v>
      </c>
      <c r="AN29" s="135" t="n">
        <v>235</v>
      </c>
      <c r="AO29" s="135" t="n">
        <v>57</v>
      </c>
      <c r="AP29" s="135" t="n">
        <v>156</v>
      </c>
      <c r="AQ29" s="135" t="n">
        <v>22</v>
      </c>
      <c r="AR29" s="135" t="n">
        <v>726</v>
      </c>
      <c r="AS29" s="135" t="n">
        <v>205</v>
      </c>
      <c r="AT29" s="135" t="n">
        <v>80</v>
      </c>
      <c r="AU29" s="135" t="n">
        <v>441</v>
      </c>
      <c r="AV29" s="135" t="n">
        <v>0</v>
      </c>
      <c r="AW29" s="135" t="n">
        <v>106</v>
      </c>
      <c r="AX29" s="135" t="n">
        <v>128</v>
      </c>
      <c r="AY29" s="135" t="n">
        <v>212</v>
      </c>
      <c r="AZ29" s="135" t="n">
        <v>303</v>
      </c>
      <c r="BA29" s="135" t="n">
        <v>289</v>
      </c>
      <c r="BB29" s="135" t="n">
        <v>0</v>
      </c>
      <c r="BC29" s="135" t="n">
        <v>90</v>
      </c>
      <c r="BD29" s="135" t="n">
        <v>119</v>
      </c>
      <c r="BE29" s="135" t="n">
        <v>178</v>
      </c>
      <c r="BF29" s="135" t="n">
        <v>246</v>
      </c>
      <c r="BG29" s="135" t="n">
        <v>201</v>
      </c>
      <c r="BH29" s="135" t="n">
        <v>816</v>
      </c>
      <c r="BI29" s="135" t="n">
        <v>429</v>
      </c>
      <c r="BJ29" s="135" t="n">
        <v>387</v>
      </c>
      <c r="BK29" s="135" t="n">
        <v>693</v>
      </c>
      <c r="BL29" s="135" t="n">
        <v>347</v>
      </c>
      <c r="BM29" s="135" t="n">
        <v>346</v>
      </c>
      <c r="BN29" s="135" t="n">
        <v>123</v>
      </c>
      <c r="BO29" s="135" t="n">
        <v>82</v>
      </c>
      <c r="BP29" s="135" t="n">
        <v>41</v>
      </c>
      <c r="BQ29" s="135" t="n">
        <v>185</v>
      </c>
      <c r="BR29" s="135" t="n">
        <v>160</v>
      </c>
      <c r="BS29" s="135" t="n">
        <v>58</v>
      </c>
      <c r="BT29" s="135" t="n">
        <v>103</v>
      </c>
      <c r="BU29" s="135" t="n">
        <v>24</v>
      </c>
      <c r="BV29" s="135" t="n">
        <v>502</v>
      </c>
      <c r="BW29" s="135" t="n">
        <v>268</v>
      </c>
      <c r="BX29" s="135" t="n">
        <v>548</v>
      </c>
      <c r="BY29" s="135" t="n">
        <v>478</v>
      </c>
      <c r="BZ29" s="135" t="n">
        <v>4</v>
      </c>
      <c r="CA29" s="135" t="n">
        <v>26</v>
      </c>
      <c r="CB29" s="135" t="n">
        <v>39</v>
      </c>
      <c r="CC29" s="135" t="n">
        <v>26</v>
      </c>
      <c r="CD29" s="135" t="n">
        <v>81</v>
      </c>
      <c r="CE29" s="135" t="n">
        <v>25</v>
      </c>
      <c r="CF29" s="135" t="n">
        <v>8</v>
      </c>
      <c r="CG29" s="135" t="n">
        <v>435</v>
      </c>
      <c r="CH29" s="135" t="n">
        <v>241</v>
      </c>
      <c r="CI29" s="136" t="n">
        <v>0.22</v>
      </c>
      <c r="CJ29" s="135" t="n">
        <v>2832</v>
      </c>
      <c r="CK29" s="137" t="n">
        <v>62.5</v>
      </c>
      <c r="CL29" s="137" t="n">
        <v>59</v>
      </c>
      <c r="CM29" s="137" t="n">
        <v>39.3</v>
      </c>
      <c r="CN29" s="137" t="n">
        <v>45.7</v>
      </c>
      <c r="CO29" s="137" t="n">
        <v>26</v>
      </c>
      <c r="CP29" s="137" t="n">
        <v>22.6</v>
      </c>
      <c r="CQ29" s="137" t="n">
        <v>33.7</v>
      </c>
      <c r="CR29" s="137" t="n">
        <v>85</v>
      </c>
      <c r="CS29" s="137" t="n">
        <v>49.9</v>
      </c>
      <c r="CT29" s="137" t="n">
        <v>72.40000000000001</v>
      </c>
      <c r="CU29" s="138" t="n">
        <v>32.9</v>
      </c>
    </row>
    <row r="30" ht="30" customHeight="1">
      <c r="A30" s="3" t="inlineStr">
        <is>
          <t>EST</t>
        </is>
      </c>
      <c r="B30" s="3" t="inlineStr">
        <is>
          <t>PILE</t>
        </is>
      </c>
      <c r="C30" s="3" t="inlineStr">
        <is>
          <t>Pile Est</t>
        </is>
      </c>
      <c r="D30" s="135" t="n">
        <v>1284</v>
      </c>
      <c r="E30" s="135" t="n">
        <v>369</v>
      </c>
      <c r="F30" s="135" t="n">
        <v>712</v>
      </c>
      <c r="G30" s="135" t="n">
        <v>203</v>
      </c>
      <c r="H30" s="135" t="n">
        <v>641</v>
      </c>
      <c r="I30" s="135" t="n">
        <v>184</v>
      </c>
      <c r="J30" s="135" t="n">
        <v>355</v>
      </c>
      <c r="K30" s="135" t="n">
        <v>101</v>
      </c>
      <c r="L30" s="135" t="n">
        <v>643</v>
      </c>
      <c r="M30" s="135" t="n">
        <v>184</v>
      </c>
      <c r="N30" s="135" t="n">
        <v>356</v>
      </c>
      <c r="O30" s="135" t="n">
        <v>102</v>
      </c>
      <c r="P30" s="135" t="n">
        <v>736</v>
      </c>
      <c r="Q30" s="135" t="n">
        <v>133</v>
      </c>
      <c r="R30" s="135" t="n">
        <v>505</v>
      </c>
      <c r="S30" s="135" t="n">
        <v>98</v>
      </c>
      <c r="T30" s="135" t="n">
        <v>430</v>
      </c>
      <c r="U30" s="135" t="n">
        <v>73</v>
      </c>
      <c r="V30" s="135" t="n">
        <v>306</v>
      </c>
      <c r="W30" s="135" t="n">
        <v>50</v>
      </c>
      <c r="X30" s="135" t="n">
        <v>307</v>
      </c>
      <c r="Y30" s="135" t="n">
        <v>59</v>
      </c>
      <c r="Z30" s="135" t="n">
        <v>198</v>
      </c>
      <c r="AA30" s="135" t="n">
        <v>49</v>
      </c>
      <c r="AB30" s="135" t="n">
        <v>524</v>
      </c>
      <c r="AC30" s="135" t="n">
        <v>80</v>
      </c>
      <c r="AD30" s="135" t="n">
        <v>371</v>
      </c>
      <c r="AE30" s="135" t="n">
        <v>73</v>
      </c>
      <c r="AF30" s="135" t="n">
        <v>306</v>
      </c>
      <c r="AG30" s="135" t="n">
        <v>43</v>
      </c>
      <c r="AH30" s="135" t="n">
        <v>227</v>
      </c>
      <c r="AI30" s="135" t="n">
        <v>36</v>
      </c>
      <c r="AJ30" s="135" t="n">
        <v>218</v>
      </c>
      <c r="AK30" s="135" t="n">
        <v>37</v>
      </c>
      <c r="AL30" s="135" t="n">
        <v>144</v>
      </c>
      <c r="AM30" s="135" t="n">
        <v>37</v>
      </c>
      <c r="AN30" s="135" t="n">
        <v>212</v>
      </c>
      <c r="AO30" s="135" t="n">
        <v>53</v>
      </c>
      <c r="AP30" s="135" t="n">
        <v>134</v>
      </c>
      <c r="AQ30" s="135" t="n">
        <v>25</v>
      </c>
      <c r="AR30" s="135" t="n">
        <v>548</v>
      </c>
      <c r="AS30" s="135" t="n">
        <v>177</v>
      </c>
      <c r="AT30" s="135" t="n">
        <v>48</v>
      </c>
      <c r="AU30" s="135" t="n">
        <v>323</v>
      </c>
      <c r="AV30" s="135" t="n">
        <v>0</v>
      </c>
      <c r="AW30" s="135" t="n">
        <v>42</v>
      </c>
      <c r="AX30" s="135" t="n">
        <v>19</v>
      </c>
      <c r="AY30" s="135" t="n">
        <v>153</v>
      </c>
      <c r="AZ30" s="135" t="n">
        <v>255</v>
      </c>
      <c r="BA30" s="135" t="n">
        <v>235</v>
      </c>
      <c r="BB30" s="135" t="n">
        <v>0</v>
      </c>
      <c r="BC30" s="135" t="n">
        <v>34</v>
      </c>
      <c r="BD30" s="135" t="n">
        <v>13</v>
      </c>
      <c r="BE30" s="135" t="n">
        <v>134</v>
      </c>
      <c r="BF30" s="135" t="n">
        <v>193</v>
      </c>
      <c r="BG30" s="135" t="n">
        <v>160</v>
      </c>
      <c r="BH30" s="135" t="n">
        <v>531</v>
      </c>
      <c r="BI30" s="135" t="n">
        <v>310</v>
      </c>
      <c r="BJ30" s="135" t="n">
        <v>221</v>
      </c>
      <c r="BK30" s="135" t="n">
        <v>473</v>
      </c>
      <c r="BL30" s="135" t="n">
        <v>280</v>
      </c>
      <c r="BM30" s="135" t="n">
        <v>193</v>
      </c>
      <c r="BN30" s="135" t="n">
        <v>58</v>
      </c>
      <c r="BO30" s="135" t="n">
        <v>30</v>
      </c>
      <c r="BP30" s="135" t="n">
        <v>28</v>
      </c>
      <c r="BQ30" s="135" t="n">
        <v>125</v>
      </c>
      <c r="BR30" s="135" t="n">
        <v>109</v>
      </c>
      <c r="BS30" s="135" t="n">
        <v>53</v>
      </c>
      <c r="BT30" s="135" t="n">
        <v>56</v>
      </c>
      <c r="BU30" s="135" t="n">
        <v>16</v>
      </c>
      <c r="BV30" s="135" t="n">
        <v>344</v>
      </c>
      <c r="BW30" s="135" t="n">
        <v>194</v>
      </c>
      <c r="BX30" s="135" t="n">
        <v>337</v>
      </c>
      <c r="BY30" s="135" t="n">
        <v>306</v>
      </c>
      <c r="BZ30" s="135" t="n">
        <v>1</v>
      </c>
      <c r="CA30" s="135" t="n">
        <v>8</v>
      </c>
      <c r="CB30" s="135" t="n">
        <v>22</v>
      </c>
      <c r="CC30" s="135" t="n">
        <v>9</v>
      </c>
      <c r="CD30" s="135" t="n">
        <v>20</v>
      </c>
      <c r="CE30" s="135" t="n">
        <v>6</v>
      </c>
      <c r="CF30" s="135" t="n">
        <v>3</v>
      </c>
      <c r="CG30" s="135" t="n">
        <v>360</v>
      </c>
      <c r="CH30" s="135" t="n">
        <v>132</v>
      </c>
      <c r="CI30" s="136" t="n">
        <v>0.2</v>
      </c>
      <c r="CJ30" s="135" t="n">
        <v>2137</v>
      </c>
      <c r="CK30" s="137" t="n">
        <v>60.1</v>
      </c>
      <c r="CL30" s="137" t="n">
        <v>57.3</v>
      </c>
      <c r="CM30" s="137" t="n">
        <v>36</v>
      </c>
      <c r="CN30" s="137" t="n">
        <v>40.8</v>
      </c>
      <c r="CO30" s="137" t="n">
        <v>21.6</v>
      </c>
      <c r="CP30" s="137" t="n">
        <v>28.8</v>
      </c>
      <c r="CQ30" s="137" t="n">
        <v>40</v>
      </c>
      <c r="CR30" s="137" t="n">
        <v>89.09999999999999</v>
      </c>
      <c r="CS30" s="137" t="n">
        <v>40.8</v>
      </c>
      <c r="CT30" s="137" t="n">
        <v>72.7</v>
      </c>
      <c r="CU30" s="138" t="n">
        <v>36.5</v>
      </c>
    </row>
    <row r="31" ht="30" customHeight="1">
      <c r="A31" s="3" t="inlineStr">
        <is>
          <t>EST</t>
        </is>
      </c>
      <c r="B31" s="3" t="inlineStr">
        <is>
          <t>PILE</t>
        </is>
      </c>
      <c r="C31" s="3" t="inlineStr">
        <is>
          <t>Pile Centre</t>
        </is>
      </c>
      <c r="D31" s="135" t="n">
        <v>1557</v>
      </c>
      <c r="E31" s="135" t="n">
        <v>424</v>
      </c>
      <c r="F31" s="135" t="n">
        <v>957</v>
      </c>
      <c r="G31" s="135" t="n">
        <v>175</v>
      </c>
      <c r="H31" s="135" t="n">
        <v>767</v>
      </c>
      <c r="I31" s="135" t="n">
        <v>233</v>
      </c>
      <c r="J31" s="135" t="n">
        <v>470</v>
      </c>
      <c r="K31" s="135" t="n">
        <v>65</v>
      </c>
      <c r="L31" s="135" t="n">
        <v>790</v>
      </c>
      <c r="M31" s="135" t="n">
        <v>192</v>
      </c>
      <c r="N31" s="135" t="n">
        <v>487</v>
      </c>
      <c r="O31" s="135" t="n">
        <v>110</v>
      </c>
      <c r="P31" s="135" t="n">
        <v>944</v>
      </c>
      <c r="Q31" s="135" t="n">
        <v>151</v>
      </c>
      <c r="R31" s="135" t="n">
        <v>690</v>
      </c>
      <c r="S31" s="135" t="n">
        <v>103</v>
      </c>
      <c r="T31" s="135" t="n">
        <v>520</v>
      </c>
      <c r="U31" s="135" t="n">
        <v>81</v>
      </c>
      <c r="V31" s="135" t="n">
        <v>397</v>
      </c>
      <c r="W31" s="135" t="n">
        <v>42</v>
      </c>
      <c r="X31" s="135" t="n">
        <v>424</v>
      </c>
      <c r="Y31" s="135" t="n">
        <v>70</v>
      </c>
      <c r="Z31" s="135" t="n">
        <v>293</v>
      </c>
      <c r="AA31" s="135" t="n">
        <v>61</v>
      </c>
      <c r="AB31" s="135" t="n">
        <v>662</v>
      </c>
      <c r="AC31" s="135" t="n">
        <v>90</v>
      </c>
      <c r="AD31" s="135" t="n">
        <v>497</v>
      </c>
      <c r="AE31" s="135" t="n">
        <v>75</v>
      </c>
      <c r="AF31" s="135" t="n">
        <v>379</v>
      </c>
      <c r="AG31" s="135" t="n">
        <v>47</v>
      </c>
      <c r="AH31" s="135" t="n">
        <v>300</v>
      </c>
      <c r="AI31" s="135" t="n">
        <v>33</v>
      </c>
      <c r="AJ31" s="135" t="n">
        <v>283</v>
      </c>
      <c r="AK31" s="135" t="n">
        <v>43</v>
      </c>
      <c r="AL31" s="135" t="n">
        <v>198</v>
      </c>
      <c r="AM31" s="135" t="n">
        <v>42</v>
      </c>
      <c r="AN31" s="135" t="n">
        <v>282</v>
      </c>
      <c r="AO31" s="135" t="n">
        <v>61</v>
      </c>
      <c r="AP31" s="135" t="n">
        <v>193</v>
      </c>
      <c r="AQ31" s="135" t="n">
        <v>28</v>
      </c>
      <c r="AR31" s="135" t="n">
        <v>613</v>
      </c>
      <c r="AS31" s="135" t="n">
        <v>168</v>
      </c>
      <c r="AT31" s="135" t="n">
        <v>40</v>
      </c>
      <c r="AU31" s="135" t="n">
        <v>405</v>
      </c>
      <c r="AV31" s="135" t="n">
        <v>0</v>
      </c>
      <c r="AW31" s="135" t="n">
        <v>14</v>
      </c>
      <c r="AX31" s="135" t="n">
        <v>12</v>
      </c>
      <c r="AY31" s="135" t="n">
        <v>115</v>
      </c>
      <c r="AZ31" s="135" t="n">
        <v>243</v>
      </c>
      <c r="BA31" s="135" t="n">
        <v>329</v>
      </c>
      <c r="BB31" s="135" t="n">
        <v>0</v>
      </c>
      <c r="BC31" s="135" t="n">
        <v>13</v>
      </c>
      <c r="BD31" s="135" t="n">
        <v>11</v>
      </c>
      <c r="BE31" s="135" t="n">
        <v>78</v>
      </c>
      <c r="BF31" s="135" t="n">
        <v>178</v>
      </c>
      <c r="BG31" s="135" t="n">
        <v>244</v>
      </c>
      <c r="BH31" s="135" t="n">
        <v>668</v>
      </c>
      <c r="BI31" s="135" t="n">
        <v>385</v>
      </c>
      <c r="BJ31" s="135" t="n">
        <v>283</v>
      </c>
      <c r="BK31" s="135" t="n">
        <v>611</v>
      </c>
      <c r="BL31" s="135" t="n">
        <v>346</v>
      </c>
      <c r="BM31" s="135" t="n">
        <v>266</v>
      </c>
      <c r="BN31" s="135" t="n">
        <v>56</v>
      </c>
      <c r="BO31" s="135" t="n">
        <v>39</v>
      </c>
      <c r="BP31" s="135" t="n">
        <v>17</v>
      </c>
      <c r="BQ31" s="135" t="n">
        <v>152</v>
      </c>
      <c r="BR31" s="135" t="n">
        <v>145</v>
      </c>
      <c r="BS31" s="135" t="n">
        <v>51</v>
      </c>
      <c r="BT31" s="135" t="n">
        <v>94</v>
      </c>
      <c r="BU31" s="135" t="n">
        <v>7</v>
      </c>
      <c r="BV31" s="135" t="n">
        <v>473</v>
      </c>
      <c r="BW31" s="135" t="n">
        <v>270</v>
      </c>
      <c r="BX31" s="135" t="n">
        <v>398</v>
      </c>
      <c r="BY31" s="135" t="n">
        <v>328</v>
      </c>
      <c r="BZ31" s="135" t="n">
        <v>19</v>
      </c>
      <c r="CA31" s="135" t="n">
        <v>10</v>
      </c>
      <c r="CB31" s="135" t="n">
        <v>40</v>
      </c>
      <c r="CC31" s="135" t="n">
        <v>9</v>
      </c>
      <c r="CD31" s="135" t="n">
        <v>60</v>
      </c>
      <c r="CE31" s="135" t="n">
        <v>23</v>
      </c>
      <c r="CF31" s="135" t="n">
        <v>3</v>
      </c>
      <c r="CG31" s="135" t="n">
        <v>429</v>
      </c>
      <c r="CH31" s="135" t="n">
        <v>144</v>
      </c>
      <c r="CI31" s="136" t="n">
        <v>0.17</v>
      </c>
      <c r="CJ31" s="135" t="n">
        <v>2553</v>
      </c>
      <c r="CK31" s="137" t="n">
        <v>61</v>
      </c>
      <c r="CL31" s="137" t="n">
        <v>60.6</v>
      </c>
      <c r="CM31" s="137" t="n">
        <v>35.5</v>
      </c>
      <c r="CN31" s="137" t="n">
        <v>42.5</v>
      </c>
      <c r="CO31" s="137" t="n">
        <v>21.1</v>
      </c>
      <c r="CP31" s="137" t="n">
        <v>29.9</v>
      </c>
      <c r="CQ31" s="137" t="n">
        <v>40.4</v>
      </c>
      <c r="CR31" s="137" t="n">
        <v>91.59999999999999</v>
      </c>
      <c r="CS31" s="137" t="n">
        <v>43.5</v>
      </c>
      <c r="CT31" s="137" t="n">
        <v>77.40000000000001</v>
      </c>
      <c r="CU31" s="138" t="n">
        <v>40.4</v>
      </c>
    </row>
    <row r="32" ht="30" customHeight="1">
      <c r="A32" s="3" t="inlineStr">
        <is>
          <t>EST</t>
        </is>
      </c>
      <c r="B32" s="3" t="inlineStr">
        <is>
          <t>PILE</t>
        </is>
      </c>
      <c r="C32" s="3" t="inlineStr">
        <is>
          <t>Pile Nord</t>
        </is>
      </c>
      <c r="D32" s="135" t="n">
        <v>1408</v>
      </c>
      <c r="E32" s="135" t="n">
        <v>418</v>
      </c>
      <c r="F32" s="135" t="n">
        <v>773</v>
      </c>
      <c r="G32" s="135" t="n">
        <v>218</v>
      </c>
      <c r="H32" s="135" t="n">
        <v>739</v>
      </c>
      <c r="I32" s="135" t="n">
        <v>238</v>
      </c>
      <c r="J32" s="135" t="n">
        <v>388</v>
      </c>
      <c r="K32" s="135" t="n">
        <v>114</v>
      </c>
      <c r="L32" s="135" t="n">
        <v>669</v>
      </c>
      <c r="M32" s="135" t="n">
        <v>180</v>
      </c>
      <c r="N32" s="135" t="n">
        <v>385</v>
      </c>
      <c r="O32" s="135" t="n">
        <v>104</v>
      </c>
      <c r="P32" s="135" t="n">
        <v>738</v>
      </c>
      <c r="Q32" s="135" t="n">
        <v>122</v>
      </c>
      <c r="R32" s="135" t="n">
        <v>517</v>
      </c>
      <c r="S32" s="135" t="n">
        <v>99</v>
      </c>
      <c r="T32" s="135" t="n">
        <v>451</v>
      </c>
      <c r="U32" s="135" t="n">
        <v>73</v>
      </c>
      <c r="V32" s="135" t="n">
        <v>319</v>
      </c>
      <c r="W32" s="135" t="n">
        <v>59</v>
      </c>
      <c r="X32" s="135" t="n">
        <v>286</v>
      </c>
      <c r="Y32" s="135" t="n">
        <v>48</v>
      </c>
      <c r="Z32" s="135" t="n">
        <v>198</v>
      </c>
      <c r="AA32" s="135" t="n">
        <v>40</v>
      </c>
      <c r="AB32" s="135" t="n">
        <v>486</v>
      </c>
      <c r="AC32" s="135" t="n">
        <v>68</v>
      </c>
      <c r="AD32" s="135" t="n">
        <v>350</v>
      </c>
      <c r="AE32" s="135" t="n">
        <v>68</v>
      </c>
      <c r="AF32" s="135" t="n">
        <v>286</v>
      </c>
      <c r="AG32" s="135" t="n">
        <v>41</v>
      </c>
      <c r="AH32" s="135" t="n">
        <v>209</v>
      </c>
      <c r="AI32" s="135" t="n">
        <v>37</v>
      </c>
      <c r="AJ32" s="135" t="n">
        <v>200</v>
      </c>
      <c r="AK32" s="135" t="n">
        <v>27</v>
      </c>
      <c r="AL32" s="135" t="n">
        <v>141</v>
      </c>
      <c r="AM32" s="135" t="n">
        <v>32</v>
      </c>
      <c r="AN32" s="135" t="n">
        <v>251</v>
      </c>
      <c r="AO32" s="135" t="n">
        <v>54</v>
      </c>
      <c r="AP32" s="135" t="n">
        <v>167</v>
      </c>
      <c r="AQ32" s="135" t="n">
        <v>31</v>
      </c>
      <c r="AR32" s="135" t="n">
        <v>671</v>
      </c>
      <c r="AS32" s="135" t="n">
        <v>242</v>
      </c>
      <c r="AT32" s="135" t="n">
        <v>55</v>
      </c>
      <c r="AU32" s="135" t="n">
        <v>374</v>
      </c>
      <c r="AV32" s="135" t="n">
        <v>0</v>
      </c>
      <c r="AW32" s="135" t="n">
        <v>31</v>
      </c>
      <c r="AX32" s="135" t="n">
        <v>58</v>
      </c>
      <c r="AY32" s="135" t="n">
        <v>89</v>
      </c>
      <c r="AZ32" s="135" t="n">
        <v>221</v>
      </c>
      <c r="BA32" s="135" t="n">
        <v>255</v>
      </c>
      <c r="BB32" s="135" t="n">
        <v>0</v>
      </c>
      <c r="BC32" s="135" t="n">
        <v>21</v>
      </c>
      <c r="BD32" s="135" t="n">
        <v>53</v>
      </c>
      <c r="BE32" s="135" t="n">
        <v>79</v>
      </c>
      <c r="BF32" s="135" t="n">
        <v>147</v>
      </c>
      <c r="BG32" s="135" t="n">
        <v>171</v>
      </c>
      <c r="BH32" s="135" t="n">
        <v>491</v>
      </c>
      <c r="BI32" s="135" t="n">
        <v>287</v>
      </c>
      <c r="BJ32" s="135" t="n">
        <v>203</v>
      </c>
      <c r="BK32" s="135" t="n">
        <v>425</v>
      </c>
      <c r="BL32" s="135" t="n">
        <v>246</v>
      </c>
      <c r="BM32" s="135" t="n">
        <v>179</v>
      </c>
      <c r="BN32" s="135" t="n">
        <v>66</v>
      </c>
      <c r="BO32" s="135" t="n">
        <v>41</v>
      </c>
      <c r="BP32" s="135" t="n">
        <v>25</v>
      </c>
      <c r="BQ32" s="135" t="n">
        <v>105</v>
      </c>
      <c r="BR32" s="135" t="n">
        <v>97</v>
      </c>
      <c r="BS32" s="135" t="n">
        <v>32</v>
      </c>
      <c r="BT32" s="135" t="n">
        <v>65</v>
      </c>
      <c r="BU32" s="135" t="n">
        <v>9</v>
      </c>
      <c r="BV32" s="135" t="n">
        <v>293</v>
      </c>
      <c r="BW32" s="135" t="n">
        <v>201</v>
      </c>
      <c r="BX32" s="135" t="n">
        <v>290</v>
      </c>
      <c r="BY32" s="135" t="n">
        <v>226</v>
      </c>
      <c r="BZ32" s="135" t="n">
        <v>22</v>
      </c>
      <c r="CA32" s="135" t="n">
        <v>13</v>
      </c>
      <c r="CB32" s="135" t="n">
        <v>29</v>
      </c>
      <c r="CC32" s="135" t="n">
        <v>15</v>
      </c>
      <c r="CD32" s="135" t="n">
        <v>48</v>
      </c>
      <c r="CE32" s="135" t="n">
        <v>14</v>
      </c>
      <c r="CF32" s="135" t="n">
        <v>4</v>
      </c>
      <c r="CG32" s="135" t="n">
        <v>296</v>
      </c>
      <c r="CH32" s="135" t="n">
        <v>115</v>
      </c>
      <c r="CI32" s="136" t="n">
        <v>0.33</v>
      </c>
      <c r="CJ32" s="135" t="n">
        <v>2300</v>
      </c>
      <c r="CK32" s="137" t="n">
        <v>61.2</v>
      </c>
      <c r="CL32" s="137" t="n">
        <v>52.4</v>
      </c>
      <c r="CM32" s="137" t="n">
        <v>29.1</v>
      </c>
      <c r="CN32" s="137" t="n">
        <v>34.5</v>
      </c>
      <c r="CO32" s="137" t="n">
        <v>16.2</v>
      </c>
      <c r="CP32" s="137" t="n">
        <v>34.1</v>
      </c>
      <c r="CQ32" s="137" t="n">
        <v>44.2</v>
      </c>
      <c r="CR32" s="137" t="n">
        <v>86.59999999999999</v>
      </c>
      <c r="CS32" s="137" t="n">
        <v>42.1</v>
      </c>
      <c r="CT32" s="137" t="n">
        <v>69</v>
      </c>
      <c r="CU32" s="138" t="n">
        <v>40.9</v>
      </c>
    </row>
    <row r="33" ht="30" customHeight="1">
      <c r="A33" s="3" t="inlineStr">
        <is>
          <t>EST</t>
        </is>
      </c>
      <c r="B33" s="3" t="inlineStr">
        <is>
          <t>TROIS PONTS</t>
        </is>
      </c>
      <c r="C33" s="3" t="inlineStr">
        <is>
          <t>Trois Ponts Nord</t>
        </is>
      </c>
      <c r="D33" s="135" t="n">
        <v>363</v>
      </c>
      <c r="E33" s="135" t="n">
        <v>57</v>
      </c>
      <c r="F33" s="135" t="n">
        <v>235</v>
      </c>
      <c r="G33" s="135" t="n">
        <v>70</v>
      </c>
      <c r="H33" s="135" t="n">
        <v>239</v>
      </c>
      <c r="I33" s="135" t="n">
        <v>39</v>
      </c>
      <c r="J33" s="135" t="n">
        <v>146</v>
      </c>
      <c r="K33" s="135" t="n">
        <v>54</v>
      </c>
      <c r="L33" s="135" t="n">
        <v>124</v>
      </c>
      <c r="M33" s="135" t="n">
        <v>18</v>
      </c>
      <c r="N33" s="135" t="n">
        <v>89</v>
      </c>
      <c r="O33" s="135" t="n">
        <v>16</v>
      </c>
      <c r="P33" s="135" t="n">
        <v>216</v>
      </c>
      <c r="Q33" s="135" t="n">
        <v>14</v>
      </c>
      <c r="R33" s="135" t="n">
        <v>160</v>
      </c>
      <c r="S33" s="135" t="n">
        <v>42</v>
      </c>
      <c r="T33" s="135" t="n">
        <v>152</v>
      </c>
      <c r="U33" s="135" t="n">
        <v>10</v>
      </c>
      <c r="V33" s="135" t="n">
        <v>108</v>
      </c>
      <c r="W33" s="135" t="n">
        <v>34</v>
      </c>
      <c r="X33" s="135" t="n">
        <v>64</v>
      </c>
      <c r="Y33" s="135" t="n">
        <v>4</v>
      </c>
      <c r="Z33" s="135" t="n">
        <v>52</v>
      </c>
      <c r="AA33" s="135" t="n">
        <v>8</v>
      </c>
      <c r="AB33" s="135" t="n">
        <v>130</v>
      </c>
      <c r="AC33" s="135" t="n">
        <v>13</v>
      </c>
      <c r="AD33" s="135" t="n">
        <v>101</v>
      </c>
      <c r="AE33" s="135" t="n">
        <v>16</v>
      </c>
      <c r="AF33" s="135" t="n">
        <v>86</v>
      </c>
      <c r="AG33" s="135" t="n">
        <v>10</v>
      </c>
      <c r="AH33" s="135" t="n">
        <v>68</v>
      </c>
      <c r="AI33" s="135" t="n">
        <v>8</v>
      </c>
      <c r="AJ33" s="135" t="n">
        <v>44</v>
      </c>
      <c r="AK33" s="135" t="n">
        <v>3</v>
      </c>
      <c r="AL33" s="135" t="n">
        <v>33</v>
      </c>
      <c r="AM33" s="135" t="n">
        <v>8</v>
      </c>
      <c r="AN33" s="135" t="n">
        <v>86</v>
      </c>
      <c r="AO33" s="135" t="n">
        <v>1</v>
      </c>
      <c r="AP33" s="135" t="n">
        <v>58</v>
      </c>
      <c r="AQ33" s="135" t="n">
        <v>26</v>
      </c>
      <c r="AR33" s="135" t="n">
        <v>147</v>
      </c>
      <c r="AS33" s="135" t="n">
        <v>34</v>
      </c>
      <c r="AT33" s="135" t="n">
        <v>4</v>
      </c>
      <c r="AU33" s="135" t="n">
        <v>109</v>
      </c>
      <c r="AV33" s="135" t="n">
        <v>0</v>
      </c>
      <c r="AW33" s="135" t="n">
        <v>0</v>
      </c>
      <c r="AX33" s="135" t="n">
        <v>11</v>
      </c>
      <c r="AY33" s="135" t="n">
        <v>25</v>
      </c>
      <c r="AZ33" s="135" t="n">
        <v>80</v>
      </c>
      <c r="BA33" s="135" t="n">
        <v>109</v>
      </c>
      <c r="BB33" s="135" t="n">
        <v>0</v>
      </c>
      <c r="BC33" s="135" t="n">
        <v>0</v>
      </c>
      <c r="BD33" s="135" t="n">
        <v>11</v>
      </c>
      <c r="BE33" s="135" t="n">
        <v>18</v>
      </c>
      <c r="BF33" s="135" t="n">
        <v>64</v>
      </c>
      <c r="BG33" s="135" t="n">
        <v>56</v>
      </c>
      <c r="BH33" s="135" t="n">
        <v>136</v>
      </c>
      <c r="BI33" s="135" t="n">
        <v>87</v>
      </c>
      <c r="BJ33" s="135" t="n">
        <v>48</v>
      </c>
      <c r="BK33" s="135" t="n">
        <v>130</v>
      </c>
      <c r="BL33" s="135" t="n">
        <v>83</v>
      </c>
      <c r="BM33" s="135" t="n">
        <v>47</v>
      </c>
      <c r="BN33" s="135" t="n">
        <v>6</v>
      </c>
      <c r="BO33" s="135" t="n">
        <v>4</v>
      </c>
      <c r="BP33" s="135" t="n">
        <v>1</v>
      </c>
      <c r="BQ33" s="135" t="n">
        <v>27</v>
      </c>
      <c r="BR33" s="135" t="n">
        <v>26</v>
      </c>
      <c r="BS33" s="135" t="n">
        <v>16</v>
      </c>
      <c r="BT33" s="135" t="n">
        <v>10</v>
      </c>
      <c r="BU33" s="135" t="n">
        <v>1</v>
      </c>
      <c r="BV33" s="135" t="n">
        <v>69</v>
      </c>
      <c r="BW33" s="135" t="n">
        <v>64</v>
      </c>
      <c r="BX33" s="135" t="n">
        <v>72</v>
      </c>
      <c r="BY33" s="135" t="n">
        <v>64</v>
      </c>
      <c r="BZ33" s="135" t="n">
        <v>0</v>
      </c>
      <c r="CA33" s="135" t="n">
        <v>9</v>
      </c>
      <c r="CB33" s="135" t="n">
        <v>0</v>
      </c>
      <c r="CC33" s="135" t="n">
        <v>7</v>
      </c>
      <c r="CD33" s="135" t="n">
        <v>0</v>
      </c>
      <c r="CE33" s="135" t="n">
        <v>9</v>
      </c>
      <c r="CF33" s="135" t="n">
        <v>0</v>
      </c>
      <c r="CG33" s="135" t="n">
        <v>104</v>
      </c>
      <c r="CH33" s="135" t="n">
        <v>16</v>
      </c>
      <c r="CI33" s="136" t="n">
        <v>0.1</v>
      </c>
      <c r="CJ33" s="135" t="n">
        <v>554</v>
      </c>
      <c r="CK33" s="137" t="n">
        <v>65.5</v>
      </c>
      <c r="CL33" s="137" t="n">
        <v>59.5</v>
      </c>
      <c r="CM33" s="137" t="n">
        <v>24.9</v>
      </c>
      <c r="CN33" s="137" t="n">
        <v>35.8</v>
      </c>
      <c r="CO33" s="137" t="n">
        <v>22.5</v>
      </c>
      <c r="CP33" s="137" t="n">
        <v>39.8</v>
      </c>
      <c r="CQ33" s="137" t="n">
        <v>9.699999999999999</v>
      </c>
      <c r="CR33" s="137" t="n">
        <v>95.8</v>
      </c>
      <c r="CS33" s="137" t="n">
        <v>36.1</v>
      </c>
      <c r="CT33" s="137" t="n">
        <v>52.7</v>
      </c>
      <c r="CU33" s="138" t="n">
        <v>46.8</v>
      </c>
    </row>
    <row r="34" ht="30" customHeight="1">
      <c r="A34" s="3" t="inlineStr">
        <is>
          <t>EST</t>
        </is>
      </c>
      <c r="B34" s="3" t="inlineStr">
        <is>
          <t>TROIS PONTS</t>
        </is>
      </c>
      <c r="C34" s="3" t="inlineStr">
        <is>
          <t>Trois Ponts Sud</t>
        </is>
      </c>
      <c r="D34" s="135" t="n">
        <v>1449</v>
      </c>
      <c r="E34" s="135" t="n">
        <v>369</v>
      </c>
      <c r="F34" s="135" t="n">
        <v>893</v>
      </c>
      <c r="G34" s="135" t="n">
        <v>187</v>
      </c>
      <c r="H34" s="135" t="n">
        <v>635</v>
      </c>
      <c r="I34" s="135" t="n">
        <v>174</v>
      </c>
      <c r="J34" s="135" t="n">
        <v>383</v>
      </c>
      <c r="K34" s="135" t="n">
        <v>78</v>
      </c>
      <c r="L34" s="135" t="n">
        <v>814</v>
      </c>
      <c r="M34" s="135" t="n">
        <v>195</v>
      </c>
      <c r="N34" s="135" t="n">
        <v>510</v>
      </c>
      <c r="O34" s="135" t="n">
        <v>109</v>
      </c>
      <c r="P34" s="135" t="n">
        <v>772</v>
      </c>
      <c r="Q34" s="135" t="n">
        <v>92</v>
      </c>
      <c r="R34" s="135" t="n">
        <v>568</v>
      </c>
      <c r="S34" s="135" t="n">
        <v>112</v>
      </c>
      <c r="T34" s="135" t="n">
        <v>385</v>
      </c>
      <c r="U34" s="135" t="n">
        <v>41</v>
      </c>
      <c r="V34" s="135" t="n">
        <v>281</v>
      </c>
      <c r="W34" s="135" t="n">
        <v>62</v>
      </c>
      <c r="X34" s="135" t="n">
        <v>387</v>
      </c>
      <c r="Y34" s="135" t="n">
        <v>51</v>
      </c>
      <c r="Z34" s="135" t="n">
        <v>286</v>
      </c>
      <c r="AA34" s="135" t="n">
        <v>50</v>
      </c>
      <c r="AB34" s="135" t="n">
        <v>521</v>
      </c>
      <c r="AC34" s="135" t="n">
        <v>47</v>
      </c>
      <c r="AD34" s="135" t="n">
        <v>405</v>
      </c>
      <c r="AE34" s="135" t="n">
        <v>69</v>
      </c>
      <c r="AF34" s="135" t="n">
        <v>246</v>
      </c>
      <c r="AG34" s="135" t="n">
        <v>18</v>
      </c>
      <c r="AH34" s="135" t="n">
        <v>192</v>
      </c>
      <c r="AI34" s="135" t="n">
        <v>36</v>
      </c>
      <c r="AJ34" s="135" t="n">
        <v>275</v>
      </c>
      <c r="AK34" s="135" t="n">
        <v>29</v>
      </c>
      <c r="AL34" s="135" t="n">
        <v>213</v>
      </c>
      <c r="AM34" s="135" t="n">
        <v>33</v>
      </c>
      <c r="AN34" s="135" t="n">
        <v>250</v>
      </c>
      <c r="AO34" s="135" t="n">
        <v>44</v>
      </c>
      <c r="AP34" s="135" t="n">
        <v>163</v>
      </c>
      <c r="AQ34" s="135" t="n">
        <v>43</v>
      </c>
      <c r="AR34" s="135" t="n">
        <v>678</v>
      </c>
      <c r="AS34" s="135" t="n">
        <v>217</v>
      </c>
      <c r="AT34" s="135" t="n">
        <v>25</v>
      </c>
      <c r="AU34" s="135" t="n">
        <v>436</v>
      </c>
      <c r="AV34" s="135" t="n">
        <v>0</v>
      </c>
      <c r="AW34" s="135" t="n">
        <v>30</v>
      </c>
      <c r="AX34" s="135" t="n">
        <v>23</v>
      </c>
      <c r="AY34" s="135" t="n">
        <v>88</v>
      </c>
      <c r="AZ34" s="135" t="n">
        <v>273</v>
      </c>
      <c r="BA34" s="135" t="n">
        <v>291</v>
      </c>
      <c r="BB34" s="135" t="n">
        <v>0</v>
      </c>
      <c r="BC34" s="135" t="n">
        <v>23</v>
      </c>
      <c r="BD34" s="135" t="n">
        <v>20</v>
      </c>
      <c r="BE34" s="135" t="n">
        <v>68</v>
      </c>
      <c r="BF34" s="135" t="n">
        <v>221</v>
      </c>
      <c r="BG34" s="135" t="n">
        <v>179</v>
      </c>
      <c r="BH34" s="135" t="n">
        <v>530</v>
      </c>
      <c r="BI34" s="135" t="n">
        <v>254</v>
      </c>
      <c r="BJ34" s="135" t="n">
        <v>275</v>
      </c>
      <c r="BK34" s="135" t="n">
        <v>485</v>
      </c>
      <c r="BL34" s="135" t="n">
        <v>225</v>
      </c>
      <c r="BM34" s="135" t="n">
        <v>260</v>
      </c>
      <c r="BN34" s="135" t="n">
        <v>45</v>
      </c>
      <c r="BO34" s="135" t="n">
        <v>30</v>
      </c>
      <c r="BP34" s="135" t="n">
        <v>15</v>
      </c>
      <c r="BQ34" s="135" t="n">
        <v>142</v>
      </c>
      <c r="BR34" s="135" t="n">
        <v>128</v>
      </c>
      <c r="BS34" s="135" t="n">
        <v>13</v>
      </c>
      <c r="BT34" s="135" t="n">
        <v>115</v>
      </c>
      <c r="BU34" s="135" t="n">
        <v>14</v>
      </c>
      <c r="BV34" s="135" t="n">
        <v>346</v>
      </c>
      <c r="BW34" s="135" t="n">
        <v>256</v>
      </c>
      <c r="BX34" s="135" t="n">
        <v>274</v>
      </c>
      <c r="BY34" s="135" t="n">
        <v>247</v>
      </c>
      <c r="BZ34" s="135" t="n">
        <v>5</v>
      </c>
      <c r="CA34" s="135" t="n">
        <v>0</v>
      </c>
      <c r="CB34" s="135" t="n">
        <v>22</v>
      </c>
      <c r="CC34" s="135" t="n">
        <v>13</v>
      </c>
      <c r="CD34" s="135" t="n">
        <v>47</v>
      </c>
      <c r="CE34" s="135" t="n">
        <v>3</v>
      </c>
      <c r="CF34" s="135" t="n">
        <v>0</v>
      </c>
      <c r="CG34" s="135" t="n">
        <v>377</v>
      </c>
      <c r="CH34" s="135" t="n">
        <v>89</v>
      </c>
      <c r="CI34" s="136" t="n">
        <v>0.18</v>
      </c>
      <c r="CJ34" s="135" t="n">
        <v>2357</v>
      </c>
      <c r="CK34" s="137" t="n">
        <v>61.5</v>
      </c>
      <c r="CL34" s="137" t="n">
        <v>53.2</v>
      </c>
      <c r="CM34" s="137" t="n">
        <v>24.9</v>
      </c>
      <c r="CN34" s="137" t="n">
        <v>36</v>
      </c>
      <c r="CO34" s="137" t="n">
        <v>12.8</v>
      </c>
      <c r="CP34" s="137" t="n">
        <v>32.4</v>
      </c>
      <c r="CQ34" s="137" t="n">
        <v>48.5</v>
      </c>
      <c r="CR34" s="137" t="n">
        <v>91.5</v>
      </c>
      <c r="CS34" s="137" t="n">
        <v>53.6</v>
      </c>
      <c r="CT34" s="137" t="n">
        <v>71.40000000000001</v>
      </c>
      <c r="CU34" s="138" t="n">
        <v>48.3</v>
      </c>
    </row>
    <row r="35" ht="30" customHeight="1">
      <c r="A35" s="3" t="inlineStr">
        <is>
          <t>EST</t>
        </is>
      </c>
      <c r="B35" s="3" t="inlineStr">
        <is>
          <t>SARTEL CARIHEM</t>
        </is>
      </c>
      <c r="C35" s="3" t="inlineStr">
        <is>
          <t>Sartel</t>
        </is>
      </c>
      <c r="D35" s="135" t="n">
        <v>945</v>
      </c>
      <c r="E35" s="135" t="n">
        <v>178</v>
      </c>
      <c r="F35" s="135" t="n">
        <v>557</v>
      </c>
      <c r="G35" s="135" t="n">
        <v>211</v>
      </c>
      <c r="H35" s="135" t="n">
        <v>489</v>
      </c>
      <c r="I35" s="135" t="n">
        <v>96</v>
      </c>
      <c r="J35" s="135" t="n">
        <v>286</v>
      </c>
      <c r="K35" s="135" t="n">
        <v>107</v>
      </c>
      <c r="L35" s="135" t="n">
        <v>456</v>
      </c>
      <c r="M35" s="135" t="n">
        <v>82</v>
      </c>
      <c r="N35" s="135" t="n">
        <v>270</v>
      </c>
      <c r="O35" s="135" t="n">
        <v>104</v>
      </c>
      <c r="P35" s="135" t="n">
        <v>570</v>
      </c>
      <c r="Q35" s="135" t="n">
        <v>44</v>
      </c>
      <c r="R35" s="135" t="n">
        <v>426</v>
      </c>
      <c r="S35" s="135" t="n">
        <v>100</v>
      </c>
      <c r="T35" s="135" t="n">
        <v>312</v>
      </c>
      <c r="U35" s="135" t="n">
        <v>24</v>
      </c>
      <c r="V35" s="135" t="n">
        <v>237</v>
      </c>
      <c r="W35" s="135" t="n">
        <v>50</v>
      </c>
      <c r="X35" s="135" t="n">
        <v>258</v>
      </c>
      <c r="Y35" s="135" t="n">
        <v>21</v>
      </c>
      <c r="Z35" s="135" t="n">
        <v>188</v>
      </c>
      <c r="AA35" s="135" t="n">
        <v>50</v>
      </c>
      <c r="AB35" s="135" t="n">
        <v>449</v>
      </c>
      <c r="AC35" s="135" t="n">
        <v>33</v>
      </c>
      <c r="AD35" s="135" t="n">
        <v>343</v>
      </c>
      <c r="AE35" s="135" t="n">
        <v>73</v>
      </c>
      <c r="AF35" s="135" t="n">
        <v>236</v>
      </c>
      <c r="AG35" s="135" t="n">
        <v>17</v>
      </c>
      <c r="AH35" s="135" t="n">
        <v>186</v>
      </c>
      <c r="AI35" s="135" t="n">
        <v>33</v>
      </c>
      <c r="AJ35" s="135" t="n">
        <v>213</v>
      </c>
      <c r="AK35" s="135" t="n">
        <v>16</v>
      </c>
      <c r="AL35" s="135" t="n">
        <v>157</v>
      </c>
      <c r="AM35" s="135" t="n">
        <v>40</v>
      </c>
      <c r="AN35" s="135" t="n">
        <v>121</v>
      </c>
      <c r="AO35" s="135" t="n">
        <v>11</v>
      </c>
      <c r="AP35" s="135" t="n">
        <v>83</v>
      </c>
      <c r="AQ35" s="135" t="n">
        <v>27</v>
      </c>
      <c r="AR35" s="135" t="n">
        <v>375</v>
      </c>
      <c r="AS35" s="135" t="n">
        <v>114</v>
      </c>
      <c r="AT35" s="135" t="n">
        <v>49</v>
      </c>
      <c r="AU35" s="135" t="n">
        <v>212</v>
      </c>
      <c r="AV35" s="135" t="n">
        <v>0</v>
      </c>
      <c r="AW35" s="135" t="n">
        <v>40</v>
      </c>
      <c r="AX35" s="135" t="n">
        <v>45</v>
      </c>
      <c r="AY35" s="135" t="n">
        <v>101</v>
      </c>
      <c r="AZ35" s="135" t="n">
        <v>199</v>
      </c>
      <c r="BA35" s="135" t="n">
        <v>176</v>
      </c>
      <c r="BB35" s="135" t="n">
        <v>0</v>
      </c>
      <c r="BC35" s="135" t="n">
        <v>36</v>
      </c>
      <c r="BD35" s="135" t="n">
        <v>45</v>
      </c>
      <c r="BE35" s="135" t="n">
        <v>93</v>
      </c>
      <c r="BF35" s="135" t="n">
        <v>158</v>
      </c>
      <c r="BG35" s="135" t="n">
        <v>141</v>
      </c>
      <c r="BH35" s="135" t="n">
        <v>462</v>
      </c>
      <c r="BI35" s="135" t="n">
        <v>242</v>
      </c>
      <c r="BJ35" s="135" t="n">
        <v>219</v>
      </c>
      <c r="BK35" s="135" t="n">
        <v>419</v>
      </c>
      <c r="BL35" s="135" t="n">
        <v>208</v>
      </c>
      <c r="BM35" s="135" t="n">
        <v>211</v>
      </c>
      <c r="BN35" s="135" t="n">
        <v>42</v>
      </c>
      <c r="BO35" s="135" t="n">
        <v>34</v>
      </c>
      <c r="BP35" s="135" t="n">
        <v>8</v>
      </c>
      <c r="BQ35" s="135" t="n">
        <v>103</v>
      </c>
      <c r="BR35" s="135" t="n">
        <v>99</v>
      </c>
      <c r="BS35" s="135" t="n">
        <v>25</v>
      </c>
      <c r="BT35" s="135" t="n">
        <v>74</v>
      </c>
      <c r="BU35" s="135" t="n">
        <v>3</v>
      </c>
      <c r="BV35" s="135" t="n">
        <v>328</v>
      </c>
      <c r="BW35" s="135" t="n">
        <v>163</v>
      </c>
      <c r="BX35" s="135" t="n">
        <v>299</v>
      </c>
      <c r="BY35" s="135" t="n">
        <v>247</v>
      </c>
      <c r="BZ35" s="135" t="n">
        <v>15</v>
      </c>
      <c r="CA35" s="135" t="n">
        <v>11</v>
      </c>
      <c r="CB35" s="135" t="n">
        <v>26</v>
      </c>
      <c r="CC35" s="135" t="n">
        <v>7</v>
      </c>
      <c r="CD35" s="135" t="n">
        <v>34</v>
      </c>
      <c r="CE35" s="135" t="n">
        <v>14</v>
      </c>
      <c r="CF35" s="135" t="n">
        <v>0</v>
      </c>
      <c r="CG35" s="135" t="n">
        <v>356</v>
      </c>
      <c r="CH35" s="135" t="n">
        <v>50</v>
      </c>
      <c r="CI35" s="136" t="n">
        <v>1</v>
      </c>
      <c r="CJ35" s="135" t="n">
        <v>1702</v>
      </c>
      <c r="CK35" s="137" t="n">
        <v>55.5</v>
      </c>
      <c r="CL35" s="137" t="n">
        <v>60.3</v>
      </c>
      <c r="CM35" s="137" t="n">
        <v>24.9</v>
      </c>
      <c r="CN35" s="137" t="n">
        <v>47.5</v>
      </c>
      <c r="CO35" s="137" t="n">
        <v>18.8</v>
      </c>
      <c r="CP35" s="137" t="n">
        <v>21.3</v>
      </c>
      <c r="CQ35" s="137" t="n">
        <v>24.6</v>
      </c>
      <c r="CR35" s="137" t="n">
        <v>90.90000000000001</v>
      </c>
      <c r="CS35" s="137" t="n">
        <v>50.4</v>
      </c>
      <c r="CT35" s="137" t="n">
        <v>78.2</v>
      </c>
      <c r="CU35" s="138" t="n">
        <v>35.3</v>
      </c>
    </row>
    <row r="36" ht="30" customHeight="1">
      <c r="A36" s="3" t="inlineStr">
        <is>
          <t>SUD</t>
        </is>
      </c>
      <c r="B36" s="3" t="inlineStr">
        <is>
          <t>CHEMIN NEUF/LINNE</t>
        </is>
      </c>
      <c r="C36" s="3" t="inlineStr">
        <is>
          <t>Linné-Chemin Neuf</t>
        </is>
      </c>
      <c r="D36" s="135" t="n">
        <v>2271</v>
      </c>
      <c r="E36" s="135" t="n">
        <v>534</v>
      </c>
      <c r="F36" s="135" t="n">
        <v>1351</v>
      </c>
      <c r="G36" s="135" t="n">
        <v>385</v>
      </c>
      <c r="H36" s="135" t="n">
        <v>1070</v>
      </c>
      <c r="I36" s="135" t="n">
        <v>283</v>
      </c>
      <c r="J36" s="135" t="n">
        <v>615</v>
      </c>
      <c r="K36" s="135" t="n">
        <v>172</v>
      </c>
      <c r="L36" s="135" t="n">
        <v>1201</v>
      </c>
      <c r="M36" s="135" t="n">
        <v>251</v>
      </c>
      <c r="N36" s="135" t="n">
        <v>736</v>
      </c>
      <c r="O36" s="135" t="n">
        <v>213</v>
      </c>
      <c r="P36" s="135" t="n">
        <v>1605</v>
      </c>
      <c r="Q36" s="135" t="n">
        <v>191</v>
      </c>
      <c r="R36" s="135" t="n">
        <v>1183</v>
      </c>
      <c r="S36" s="135" t="n">
        <v>231</v>
      </c>
      <c r="T36" s="135" t="n">
        <v>771</v>
      </c>
      <c r="U36" s="135" t="n">
        <v>91</v>
      </c>
      <c r="V36" s="135" t="n">
        <v>571</v>
      </c>
      <c r="W36" s="135" t="n">
        <v>109</v>
      </c>
      <c r="X36" s="135" t="n">
        <v>834</v>
      </c>
      <c r="Y36" s="135" t="n">
        <v>100</v>
      </c>
      <c r="Z36" s="135" t="n">
        <v>613</v>
      </c>
      <c r="AA36" s="135" t="n">
        <v>122</v>
      </c>
      <c r="AB36" s="135" t="n">
        <v>1316</v>
      </c>
      <c r="AC36" s="135" t="n">
        <v>123</v>
      </c>
      <c r="AD36" s="135" t="n">
        <v>1011</v>
      </c>
      <c r="AE36" s="135" t="n">
        <v>182</v>
      </c>
      <c r="AF36" s="135" t="n">
        <v>611</v>
      </c>
      <c r="AG36" s="135" t="n">
        <v>48</v>
      </c>
      <c r="AH36" s="135" t="n">
        <v>482</v>
      </c>
      <c r="AI36" s="135" t="n">
        <v>82</v>
      </c>
      <c r="AJ36" s="135" t="n">
        <v>705</v>
      </c>
      <c r="AK36" s="135" t="n">
        <v>75</v>
      </c>
      <c r="AL36" s="135" t="n">
        <v>530</v>
      </c>
      <c r="AM36" s="135" t="n">
        <v>100</v>
      </c>
      <c r="AN36" s="135" t="n">
        <v>289</v>
      </c>
      <c r="AO36" s="135" t="n">
        <v>68</v>
      </c>
      <c r="AP36" s="135" t="n">
        <v>172</v>
      </c>
      <c r="AQ36" s="135" t="n">
        <v>49</v>
      </c>
      <c r="AR36" s="135" t="n">
        <v>666</v>
      </c>
      <c r="AS36" s="135" t="n">
        <v>297</v>
      </c>
      <c r="AT36" s="135" t="n">
        <v>110</v>
      </c>
      <c r="AU36" s="135" t="n">
        <v>259</v>
      </c>
      <c r="AV36" s="135" t="n">
        <v>0</v>
      </c>
      <c r="AW36" s="135" t="n">
        <v>75</v>
      </c>
      <c r="AX36" s="135" t="n">
        <v>292</v>
      </c>
      <c r="AY36" s="135" t="n">
        <v>523</v>
      </c>
      <c r="AZ36" s="135" t="n">
        <v>441</v>
      </c>
      <c r="BA36" s="135" t="n">
        <v>376</v>
      </c>
      <c r="BB36" s="135" t="n">
        <v>0</v>
      </c>
      <c r="BC36" s="135" t="n">
        <v>74</v>
      </c>
      <c r="BD36" s="135" t="n">
        <v>259</v>
      </c>
      <c r="BE36" s="135" t="n">
        <v>481</v>
      </c>
      <c r="BF36" s="135" t="n">
        <v>356</v>
      </c>
      <c r="BG36" s="135" t="n">
        <v>271</v>
      </c>
      <c r="BH36" s="135" t="n">
        <v>1321</v>
      </c>
      <c r="BI36" s="135" t="n">
        <v>611</v>
      </c>
      <c r="BJ36" s="135" t="n">
        <v>709</v>
      </c>
      <c r="BK36" s="135" t="n">
        <v>1202</v>
      </c>
      <c r="BL36" s="135" t="n">
        <v>554</v>
      </c>
      <c r="BM36" s="135" t="n">
        <v>647</v>
      </c>
      <c r="BN36" s="135" t="n">
        <v>119</v>
      </c>
      <c r="BO36" s="135" t="n">
        <v>57</v>
      </c>
      <c r="BP36" s="135" t="n">
        <v>62</v>
      </c>
      <c r="BQ36" s="135" t="n">
        <v>187</v>
      </c>
      <c r="BR36" s="135" t="n">
        <v>175</v>
      </c>
      <c r="BS36" s="135" t="n">
        <v>50</v>
      </c>
      <c r="BT36" s="135" t="n">
        <v>125</v>
      </c>
      <c r="BU36" s="135" t="n">
        <v>11</v>
      </c>
      <c r="BV36" s="135" t="n">
        <v>1026</v>
      </c>
      <c r="BW36" s="135" t="n">
        <v>512</v>
      </c>
      <c r="BX36" s="135" t="n">
        <v>809</v>
      </c>
      <c r="BY36" s="135" t="n">
        <v>706</v>
      </c>
      <c r="BZ36" s="135" t="n">
        <v>40</v>
      </c>
      <c r="CA36" s="135" t="n">
        <v>12</v>
      </c>
      <c r="CB36" s="135" t="n">
        <v>51</v>
      </c>
      <c r="CC36" s="135" t="n">
        <v>20</v>
      </c>
      <c r="CD36" s="135" t="n">
        <v>92</v>
      </c>
      <c r="CE36" s="135" t="n">
        <v>22</v>
      </c>
      <c r="CF36" s="135" t="n">
        <v>21</v>
      </c>
      <c r="CG36" s="135" t="n">
        <v>977</v>
      </c>
      <c r="CH36" s="135" t="n">
        <v>189</v>
      </c>
      <c r="CI36" s="136" t="n">
        <v>0.46</v>
      </c>
      <c r="CJ36" s="135" t="n">
        <v>3488</v>
      </c>
      <c r="CK36" s="137" t="n">
        <v>65.09999999999999</v>
      </c>
      <c r="CL36" s="137" t="n">
        <v>70.7</v>
      </c>
      <c r="CM36" s="137" t="n">
        <v>35.7</v>
      </c>
      <c r="CN36" s="137" t="n">
        <v>58</v>
      </c>
      <c r="CO36" s="137" t="n">
        <v>23</v>
      </c>
      <c r="CP36" s="137" t="n">
        <v>18</v>
      </c>
      <c r="CQ36" s="137" t="n">
        <v>35.6</v>
      </c>
      <c r="CR36" s="137" t="n">
        <v>91</v>
      </c>
      <c r="CS36" s="137" t="n">
        <v>53.9</v>
      </c>
      <c r="CT36" s="137" t="n">
        <v>85.40000000000001</v>
      </c>
      <c r="CU36" s="138" t="n">
        <v>38.8</v>
      </c>
    </row>
    <row r="37" ht="30" customHeight="1">
      <c r="A37" s="3" t="inlineStr">
        <is>
          <t>SUD</t>
        </is>
      </c>
      <c r="B37" s="3" t="inlineStr">
        <is>
          <t>JUSTICE</t>
        </is>
      </c>
      <c r="C37" s="3" t="inlineStr">
        <is>
          <t>Justice</t>
        </is>
      </c>
      <c r="D37" s="135" t="n">
        <v>1562</v>
      </c>
      <c r="E37" s="135" t="n">
        <v>316</v>
      </c>
      <c r="F37" s="135" t="n">
        <v>929</v>
      </c>
      <c r="G37" s="135" t="n">
        <v>317</v>
      </c>
      <c r="H37" s="135" t="n">
        <v>762</v>
      </c>
      <c r="I37" s="135" t="n">
        <v>151</v>
      </c>
      <c r="J37" s="135" t="n">
        <v>458</v>
      </c>
      <c r="K37" s="135" t="n">
        <v>153</v>
      </c>
      <c r="L37" s="135" t="n">
        <v>800</v>
      </c>
      <c r="M37" s="135" t="n">
        <v>165</v>
      </c>
      <c r="N37" s="135" t="n">
        <v>471</v>
      </c>
      <c r="O37" s="135" t="n">
        <v>163</v>
      </c>
      <c r="P37" s="135" t="n">
        <v>1111</v>
      </c>
      <c r="Q37" s="135" t="n">
        <v>125</v>
      </c>
      <c r="R37" s="135" t="n">
        <v>792</v>
      </c>
      <c r="S37" s="135" t="n">
        <v>194</v>
      </c>
      <c r="T37" s="135" t="n">
        <v>607</v>
      </c>
      <c r="U37" s="135" t="n">
        <v>80</v>
      </c>
      <c r="V37" s="135" t="n">
        <v>422</v>
      </c>
      <c r="W37" s="135" t="n">
        <v>104</v>
      </c>
      <c r="X37" s="135" t="n">
        <v>504</v>
      </c>
      <c r="Y37" s="135" t="n">
        <v>44</v>
      </c>
      <c r="Z37" s="135" t="n">
        <v>370</v>
      </c>
      <c r="AA37" s="135" t="n">
        <v>89</v>
      </c>
      <c r="AB37" s="135" t="n">
        <v>936</v>
      </c>
      <c r="AC37" s="135" t="n">
        <v>86</v>
      </c>
      <c r="AD37" s="135" t="n">
        <v>673</v>
      </c>
      <c r="AE37" s="135" t="n">
        <v>178</v>
      </c>
      <c r="AF37" s="135" t="n">
        <v>503</v>
      </c>
      <c r="AG37" s="135" t="n">
        <v>47</v>
      </c>
      <c r="AH37" s="135" t="n">
        <v>357</v>
      </c>
      <c r="AI37" s="135" t="n">
        <v>98</v>
      </c>
      <c r="AJ37" s="135" t="n">
        <v>434</v>
      </c>
      <c r="AK37" s="135" t="n">
        <v>38</v>
      </c>
      <c r="AL37" s="135" t="n">
        <v>315</v>
      </c>
      <c r="AM37" s="135" t="n">
        <v>80</v>
      </c>
      <c r="AN37" s="135" t="n">
        <v>175</v>
      </c>
      <c r="AO37" s="135" t="n">
        <v>39</v>
      </c>
      <c r="AP37" s="135" t="n">
        <v>120</v>
      </c>
      <c r="AQ37" s="135" t="n">
        <v>16</v>
      </c>
      <c r="AR37" s="135" t="n">
        <v>451</v>
      </c>
      <c r="AS37" s="135" t="n">
        <v>185</v>
      </c>
      <c r="AT37" s="135" t="n">
        <v>66</v>
      </c>
      <c r="AU37" s="135" t="n">
        <v>200</v>
      </c>
      <c r="AV37" s="135" t="n">
        <v>0</v>
      </c>
      <c r="AW37" s="135" t="n">
        <v>53</v>
      </c>
      <c r="AX37" s="135" t="n">
        <v>182</v>
      </c>
      <c r="AY37" s="135" t="n">
        <v>299</v>
      </c>
      <c r="AZ37" s="135" t="n">
        <v>249</v>
      </c>
      <c r="BA37" s="135" t="n">
        <v>298</v>
      </c>
      <c r="BB37" s="135" t="n">
        <v>0</v>
      </c>
      <c r="BC37" s="135" t="n">
        <v>53</v>
      </c>
      <c r="BD37" s="135" t="n">
        <v>178</v>
      </c>
      <c r="BE37" s="135" t="n">
        <v>291</v>
      </c>
      <c r="BF37" s="135" t="n">
        <v>191</v>
      </c>
      <c r="BG37" s="135" t="n">
        <v>225</v>
      </c>
      <c r="BH37" s="135" t="n">
        <v>940</v>
      </c>
      <c r="BI37" s="135" t="n">
        <v>503</v>
      </c>
      <c r="BJ37" s="135" t="n">
        <v>437</v>
      </c>
      <c r="BK37" s="135" t="n">
        <v>824</v>
      </c>
      <c r="BL37" s="135" t="n">
        <v>429</v>
      </c>
      <c r="BM37" s="135" t="n">
        <v>395</v>
      </c>
      <c r="BN37" s="135" t="n">
        <v>116</v>
      </c>
      <c r="BO37" s="135" t="n">
        <v>74</v>
      </c>
      <c r="BP37" s="135" t="n">
        <v>42</v>
      </c>
      <c r="BQ37" s="135" t="n">
        <v>174</v>
      </c>
      <c r="BR37" s="135" t="n">
        <v>162</v>
      </c>
      <c r="BS37" s="135" t="n">
        <v>38</v>
      </c>
      <c r="BT37" s="135" t="n">
        <v>124</v>
      </c>
      <c r="BU37" s="135" t="n">
        <v>12</v>
      </c>
      <c r="BV37" s="135" t="n">
        <v>702</v>
      </c>
      <c r="BW37" s="135" t="n">
        <v>246</v>
      </c>
      <c r="BX37" s="135" t="n">
        <v>693</v>
      </c>
      <c r="BY37" s="135" t="n">
        <v>588</v>
      </c>
      <c r="BZ37" s="135" t="n">
        <v>26</v>
      </c>
      <c r="CA37" s="135" t="n">
        <v>23</v>
      </c>
      <c r="CB37" s="135" t="n">
        <v>58</v>
      </c>
      <c r="CC37" s="135" t="n">
        <v>19</v>
      </c>
      <c r="CD37" s="135" t="n">
        <v>29</v>
      </c>
      <c r="CE37" s="135" t="n">
        <v>16</v>
      </c>
      <c r="CF37" s="135" t="n">
        <v>3</v>
      </c>
      <c r="CG37" s="135" t="n">
        <v>766</v>
      </c>
      <c r="CH37" s="135" t="n">
        <v>107</v>
      </c>
      <c r="CI37" s="136" t="n">
        <v>0.52</v>
      </c>
      <c r="CJ37" s="135" t="n">
        <v>2362</v>
      </c>
      <c r="CK37" s="137" t="n">
        <v>66.2</v>
      </c>
      <c r="CL37" s="137" t="n">
        <v>71.09999999999999</v>
      </c>
      <c r="CM37" s="137" t="n">
        <v>39.4</v>
      </c>
      <c r="CN37" s="137" t="n">
        <v>59.9</v>
      </c>
      <c r="CO37" s="137" t="n">
        <v>27.1</v>
      </c>
      <c r="CP37" s="137" t="n">
        <v>15.7</v>
      </c>
      <c r="CQ37" s="137" t="n">
        <v>31.3</v>
      </c>
      <c r="CR37" s="137" t="n">
        <v>87.7</v>
      </c>
      <c r="CS37" s="137" t="n">
        <v>47.9</v>
      </c>
      <c r="CT37" s="137" t="n">
        <v>85.3</v>
      </c>
      <c r="CU37" s="138" t="n">
        <v>26.2</v>
      </c>
    </row>
    <row r="38" ht="30" customHeight="1">
      <c r="A38" s="3" t="inlineStr">
        <is>
          <t>EST</t>
        </is>
      </c>
      <c r="B38" s="3" t="inlineStr">
        <is>
          <t>FRATERNITE</t>
        </is>
      </c>
      <c r="C38" s="3" t="inlineStr">
        <is>
          <t>Fraternité</t>
        </is>
      </c>
      <c r="D38" s="135" t="n">
        <v>1616</v>
      </c>
      <c r="E38" s="135" t="n">
        <v>413</v>
      </c>
      <c r="F38" s="135" t="n">
        <v>972</v>
      </c>
      <c r="G38" s="135" t="n">
        <v>232</v>
      </c>
      <c r="H38" s="135" t="n">
        <v>784</v>
      </c>
      <c r="I38" s="135" t="n">
        <v>202</v>
      </c>
      <c r="J38" s="135" t="n">
        <v>492</v>
      </c>
      <c r="K38" s="135" t="n">
        <v>90</v>
      </c>
      <c r="L38" s="135" t="n">
        <v>832</v>
      </c>
      <c r="M38" s="135" t="n">
        <v>211</v>
      </c>
      <c r="N38" s="135" t="n">
        <v>480</v>
      </c>
      <c r="O38" s="135" t="n">
        <v>141</v>
      </c>
      <c r="P38" s="135" t="n">
        <v>1094</v>
      </c>
      <c r="Q38" s="135" t="n">
        <v>154</v>
      </c>
      <c r="R38" s="135" t="n">
        <v>783</v>
      </c>
      <c r="S38" s="135" t="n">
        <v>157</v>
      </c>
      <c r="T38" s="135" t="n">
        <v>584</v>
      </c>
      <c r="U38" s="135" t="n">
        <v>88</v>
      </c>
      <c r="V38" s="135" t="n">
        <v>433</v>
      </c>
      <c r="W38" s="135" t="n">
        <v>63</v>
      </c>
      <c r="X38" s="135" t="n">
        <v>510</v>
      </c>
      <c r="Y38" s="135" t="n">
        <v>65</v>
      </c>
      <c r="Z38" s="135" t="n">
        <v>350</v>
      </c>
      <c r="AA38" s="135" t="n">
        <v>94</v>
      </c>
      <c r="AB38" s="135" t="n">
        <v>880</v>
      </c>
      <c r="AC38" s="135" t="n">
        <v>119</v>
      </c>
      <c r="AD38" s="135" t="n">
        <v>622</v>
      </c>
      <c r="AE38" s="135" t="n">
        <v>139</v>
      </c>
      <c r="AF38" s="135" t="n">
        <v>484</v>
      </c>
      <c r="AG38" s="135" t="n">
        <v>64</v>
      </c>
      <c r="AH38" s="135" t="n">
        <v>361</v>
      </c>
      <c r="AI38" s="135" t="n">
        <v>59</v>
      </c>
      <c r="AJ38" s="135" t="n">
        <v>395</v>
      </c>
      <c r="AK38" s="135" t="n">
        <v>55</v>
      </c>
      <c r="AL38" s="135" t="n">
        <v>260</v>
      </c>
      <c r="AM38" s="135" t="n">
        <v>80</v>
      </c>
      <c r="AN38" s="135" t="n">
        <v>214</v>
      </c>
      <c r="AO38" s="135" t="n">
        <v>35</v>
      </c>
      <c r="AP38" s="135" t="n">
        <v>161</v>
      </c>
      <c r="AQ38" s="135" t="n">
        <v>18</v>
      </c>
      <c r="AR38" s="135" t="n">
        <v>523</v>
      </c>
      <c r="AS38" s="135" t="n">
        <v>229</v>
      </c>
      <c r="AT38" s="135" t="n">
        <v>41</v>
      </c>
      <c r="AU38" s="135" t="n">
        <v>253</v>
      </c>
      <c r="AV38" s="135" t="n">
        <v>0</v>
      </c>
      <c r="AW38" s="135" t="n">
        <v>72</v>
      </c>
      <c r="AX38" s="135" t="n">
        <v>132</v>
      </c>
      <c r="AY38" s="135" t="n">
        <v>235</v>
      </c>
      <c r="AZ38" s="135" t="n">
        <v>328</v>
      </c>
      <c r="BA38" s="135" t="n">
        <v>293</v>
      </c>
      <c r="BB38" s="135" t="n">
        <v>0</v>
      </c>
      <c r="BC38" s="135" t="n">
        <v>66</v>
      </c>
      <c r="BD38" s="135" t="n">
        <v>130</v>
      </c>
      <c r="BE38" s="135" t="n">
        <v>206</v>
      </c>
      <c r="BF38" s="135" t="n">
        <v>259</v>
      </c>
      <c r="BG38" s="135" t="n">
        <v>209</v>
      </c>
      <c r="BH38" s="135" t="n">
        <v>891</v>
      </c>
      <c r="BI38" s="135" t="n">
        <v>496</v>
      </c>
      <c r="BJ38" s="135" t="n">
        <v>395</v>
      </c>
      <c r="BK38" s="135" t="n">
        <v>782</v>
      </c>
      <c r="BL38" s="135" t="n">
        <v>425</v>
      </c>
      <c r="BM38" s="135" t="n">
        <v>356</v>
      </c>
      <c r="BN38" s="135" t="n">
        <v>110</v>
      </c>
      <c r="BO38" s="135" t="n">
        <v>71</v>
      </c>
      <c r="BP38" s="135" t="n">
        <v>39</v>
      </c>
      <c r="BQ38" s="135" t="n">
        <v>141</v>
      </c>
      <c r="BR38" s="135" t="n">
        <v>126</v>
      </c>
      <c r="BS38" s="135" t="n">
        <v>47</v>
      </c>
      <c r="BT38" s="135" t="n">
        <v>79</v>
      </c>
      <c r="BU38" s="135" t="n">
        <v>15</v>
      </c>
      <c r="BV38" s="135" t="n">
        <v>578</v>
      </c>
      <c r="BW38" s="135" t="n">
        <v>415</v>
      </c>
      <c r="BX38" s="135" t="n">
        <v>476</v>
      </c>
      <c r="BY38" s="135" t="n">
        <v>406</v>
      </c>
      <c r="BZ38" s="135" t="n">
        <v>18</v>
      </c>
      <c r="CA38" s="135" t="n">
        <v>21</v>
      </c>
      <c r="CB38" s="135" t="n">
        <v>32</v>
      </c>
      <c r="CC38" s="135" t="n">
        <v>36</v>
      </c>
      <c r="CD38" s="135" t="n">
        <v>55</v>
      </c>
      <c r="CE38" s="135" t="n">
        <v>24</v>
      </c>
      <c r="CF38" s="135" t="n">
        <v>18</v>
      </c>
      <c r="CG38" s="135" t="n">
        <v>614</v>
      </c>
      <c r="CH38" s="135" t="n">
        <v>145</v>
      </c>
      <c r="CI38" s="136" t="n">
        <v>0.41</v>
      </c>
      <c r="CJ38" s="135" t="n">
        <v>2691</v>
      </c>
      <c r="CK38" s="137" t="n">
        <v>60.1</v>
      </c>
      <c r="CL38" s="137" t="n">
        <v>67.7</v>
      </c>
      <c r="CM38" s="137" t="n">
        <v>37.2</v>
      </c>
      <c r="CN38" s="137" t="n">
        <v>54.4</v>
      </c>
      <c r="CO38" s="137" t="n">
        <v>28.7</v>
      </c>
      <c r="CP38" s="137" t="n">
        <v>19.6</v>
      </c>
      <c r="CQ38" s="137" t="n">
        <v>22.7</v>
      </c>
      <c r="CR38" s="137" t="n">
        <v>87.7</v>
      </c>
      <c r="CS38" s="137" t="n">
        <v>45.6</v>
      </c>
      <c r="CT38" s="137" t="n">
        <v>74</v>
      </c>
      <c r="CU38" s="138" t="n">
        <v>46.6</v>
      </c>
    </row>
    <row r="39" ht="30" customHeight="1">
      <c r="A39" s="3" t="inlineStr">
        <is>
          <t>SUD</t>
        </is>
      </c>
      <c r="B39" s="3" t="inlineStr">
        <is>
          <t>NOUVEAU ROUBAIX</t>
        </is>
      </c>
      <c r="C39" s="3" t="inlineStr">
        <is>
          <t>Nouveau Roubaix</t>
        </is>
      </c>
      <c r="D39" s="135" t="n">
        <v>1623</v>
      </c>
      <c r="E39" s="135" t="n">
        <v>425</v>
      </c>
      <c r="F39" s="135" t="n">
        <v>914</v>
      </c>
      <c r="G39" s="135" t="n">
        <v>284</v>
      </c>
      <c r="H39" s="135" t="n">
        <v>757</v>
      </c>
      <c r="I39" s="135" t="n">
        <v>224</v>
      </c>
      <c r="J39" s="135" t="n">
        <v>411</v>
      </c>
      <c r="K39" s="135" t="n">
        <v>123</v>
      </c>
      <c r="L39" s="135" t="n">
        <v>866</v>
      </c>
      <c r="M39" s="135" t="n">
        <v>202</v>
      </c>
      <c r="N39" s="135" t="n">
        <v>503</v>
      </c>
      <c r="O39" s="135" t="n">
        <v>161</v>
      </c>
      <c r="P39" s="135" t="n">
        <v>850</v>
      </c>
      <c r="Q39" s="135" t="n">
        <v>106</v>
      </c>
      <c r="R39" s="135" t="n">
        <v>603</v>
      </c>
      <c r="S39" s="135" t="n">
        <v>141</v>
      </c>
      <c r="T39" s="135" t="n">
        <v>449</v>
      </c>
      <c r="U39" s="135" t="n">
        <v>58</v>
      </c>
      <c r="V39" s="135" t="n">
        <v>310</v>
      </c>
      <c r="W39" s="135" t="n">
        <v>80</v>
      </c>
      <c r="X39" s="135" t="n">
        <v>401</v>
      </c>
      <c r="Y39" s="135" t="n">
        <v>48</v>
      </c>
      <c r="Z39" s="135" t="n">
        <v>293</v>
      </c>
      <c r="AA39" s="135" t="n">
        <v>60</v>
      </c>
      <c r="AB39" s="135" t="n">
        <v>650</v>
      </c>
      <c r="AC39" s="135" t="n">
        <v>75</v>
      </c>
      <c r="AD39" s="135" t="n">
        <v>453</v>
      </c>
      <c r="AE39" s="135" t="n">
        <v>122</v>
      </c>
      <c r="AF39" s="135" t="n">
        <v>350</v>
      </c>
      <c r="AG39" s="135" t="n">
        <v>38</v>
      </c>
      <c r="AH39" s="135" t="n">
        <v>238</v>
      </c>
      <c r="AI39" s="135" t="n">
        <v>74</v>
      </c>
      <c r="AJ39" s="135" t="n">
        <v>299</v>
      </c>
      <c r="AK39" s="135" t="n">
        <v>36</v>
      </c>
      <c r="AL39" s="135" t="n">
        <v>215</v>
      </c>
      <c r="AM39" s="135" t="n">
        <v>49</v>
      </c>
      <c r="AN39" s="135" t="n">
        <v>200</v>
      </c>
      <c r="AO39" s="135" t="n">
        <v>32</v>
      </c>
      <c r="AP39" s="135" t="n">
        <v>150</v>
      </c>
      <c r="AQ39" s="135" t="n">
        <v>18</v>
      </c>
      <c r="AR39" s="135" t="n">
        <v>773</v>
      </c>
      <c r="AS39" s="135" t="n">
        <v>263</v>
      </c>
      <c r="AT39" s="135" t="n">
        <v>65</v>
      </c>
      <c r="AU39" s="135" t="n">
        <v>444</v>
      </c>
      <c r="AV39" s="135" t="n">
        <v>0</v>
      </c>
      <c r="AW39" s="135" t="n">
        <v>29</v>
      </c>
      <c r="AX39" s="135" t="n">
        <v>44</v>
      </c>
      <c r="AY39" s="135" t="n">
        <v>207</v>
      </c>
      <c r="AZ39" s="135" t="n">
        <v>249</v>
      </c>
      <c r="BA39" s="135" t="n">
        <v>267</v>
      </c>
      <c r="BB39" s="135" t="n">
        <v>0</v>
      </c>
      <c r="BC39" s="135" t="n">
        <v>19</v>
      </c>
      <c r="BD39" s="135" t="n">
        <v>44</v>
      </c>
      <c r="BE39" s="135" t="n">
        <v>168</v>
      </c>
      <c r="BF39" s="135" t="n">
        <v>197</v>
      </c>
      <c r="BG39" s="135" t="n">
        <v>198</v>
      </c>
      <c r="BH39" s="135" t="n">
        <v>659</v>
      </c>
      <c r="BI39" s="135" t="n">
        <v>358</v>
      </c>
      <c r="BJ39" s="135" t="n">
        <v>301</v>
      </c>
      <c r="BK39" s="135" t="n">
        <v>529</v>
      </c>
      <c r="BL39" s="135" t="n">
        <v>270</v>
      </c>
      <c r="BM39" s="135" t="n">
        <v>258</v>
      </c>
      <c r="BN39" s="135" t="n">
        <v>130</v>
      </c>
      <c r="BO39" s="135" t="n">
        <v>88</v>
      </c>
      <c r="BP39" s="135" t="n">
        <v>42</v>
      </c>
      <c r="BQ39" s="135" t="n">
        <v>136</v>
      </c>
      <c r="BR39" s="135" t="n">
        <v>106</v>
      </c>
      <c r="BS39" s="135" t="n">
        <v>30</v>
      </c>
      <c r="BT39" s="135" t="n">
        <v>76</v>
      </c>
      <c r="BU39" s="135" t="n">
        <v>30</v>
      </c>
      <c r="BV39" s="135" t="n">
        <v>400</v>
      </c>
      <c r="BW39" s="135" t="n">
        <v>292</v>
      </c>
      <c r="BX39" s="135" t="n">
        <v>367</v>
      </c>
      <c r="BY39" s="135" t="n">
        <v>340</v>
      </c>
      <c r="BZ39" s="135" t="n">
        <v>4</v>
      </c>
      <c r="CA39" s="135" t="n">
        <v>7</v>
      </c>
      <c r="CB39" s="135" t="n">
        <v>15</v>
      </c>
      <c r="CC39" s="135" t="n">
        <v>0</v>
      </c>
      <c r="CD39" s="135" t="n">
        <v>34</v>
      </c>
      <c r="CE39" s="135" t="n">
        <v>4</v>
      </c>
      <c r="CF39" s="135" t="n">
        <v>8</v>
      </c>
      <c r="CG39" s="135" t="n">
        <v>438</v>
      </c>
      <c r="CH39" s="135" t="n">
        <v>175</v>
      </c>
      <c r="CI39" s="136" t="n">
        <v>0.17</v>
      </c>
      <c r="CJ39" s="135" t="n">
        <v>2622</v>
      </c>
      <c r="CK39" s="137" t="n">
        <v>61.9</v>
      </c>
      <c r="CL39" s="137" t="n">
        <v>52.4</v>
      </c>
      <c r="CM39" s="137" t="n">
        <v>25</v>
      </c>
      <c r="CN39" s="137" t="n">
        <v>40</v>
      </c>
      <c r="CO39" s="137" t="n">
        <v>17.6</v>
      </c>
      <c r="CP39" s="137" t="n">
        <v>23.6</v>
      </c>
      <c r="CQ39" s="137" t="n">
        <v>29.8</v>
      </c>
      <c r="CR39" s="137" t="n">
        <v>80.3</v>
      </c>
      <c r="CS39" s="137" t="n">
        <v>48.9</v>
      </c>
      <c r="CT39" s="137" t="n">
        <v>75.59999999999999</v>
      </c>
      <c r="CU39" s="138" t="n">
        <v>44.4</v>
      </c>
    </row>
    <row r="40" ht="30" customHeight="1">
      <c r="A40" s="50" t="inlineStr">
        <is>
          <t>SUD</t>
        </is>
      </c>
      <c r="B40" s="50" t="inlineStr">
        <is>
          <t>HAUTS CHAMPS/PETITES HAIES</t>
        </is>
      </c>
      <c r="C40" s="50" t="inlineStr">
        <is>
          <t>Hauts Champs</t>
        </is>
      </c>
      <c r="D40" s="139" t="n">
        <v>1426</v>
      </c>
      <c r="E40" s="139" t="n">
        <v>368</v>
      </c>
      <c r="F40" s="139" t="n">
        <v>831</v>
      </c>
      <c r="G40" s="139" t="n">
        <v>227</v>
      </c>
      <c r="H40" s="139" t="n">
        <v>673</v>
      </c>
      <c r="I40" s="139" t="n">
        <v>195</v>
      </c>
      <c r="J40" s="139" t="n">
        <v>384</v>
      </c>
      <c r="K40" s="139" t="n">
        <v>94</v>
      </c>
      <c r="L40" s="139" t="n">
        <v>753</v>
      </c>
      <c r="M40" s="139" t="n">
        <v>173</v>
      </c>
      <c r="N40" s="139" t="n">
        <v>448</v>
      </c>
      <c r="O40" s="139" t="n">
        <v>133</v>
      </c>
      <c r="P40" s="139" t="n">
        <v>855</v>
      </c>
      <c r="Q40" s="139" t="n">
        <v>165</v>
      </c>
      <c r="R40" s="139" t="n">
        <v>595</v>
      </c>
      <c r="S40" s="139" t="n">
        <v>96</v>
      </c>
      <c r="T40" s="139" t="n">
        <v>493</v>
      </c>
      <c r="U40" s="139" t="n">
        <v>110</v>
      </c>
      <c r="V40" s="139" t="n">
        <v>338</v>
      </c>
      <c r="W40" s="139" t="n">
        <v>45</v>
      </c>
      <c r="X40" s="139" t="n">
        <v>362</v>
      </c>
      <c r="Y40" s="139" t="n">
        <v>55</v>
      </c>
      <c r="Z40" s="139" t="n">
        <v>257</v>
      </c>
      <c r="AA40" s="139" t="n">
        <v>50</v>
      </c>
      <c r="AB40" s="139" t="n">
        <v>557</v>
      </c>
      <c r="AC40" s="139" t="n">
        <v>118</v>
      </c>
      <c r="AD40" s="139" t="n">
        <v>372</v>
      </c>
      <c r="AE40" s="139" t="n">
        <v>67</v>
      </c>
      <c r="AF40" s="139" t="n">
        <v>308</v>
      </c>
      <c r="AG40" s="139" t="n">
        <v>71</v>
      </c>
      <c r="AH40" s="139" t="n">
        <v>211</v>
      </c>
      <c r="AI40" s="139" t="n">
        <v>26</v>
      </c>
      <c r="AJ40" s="139" t="n">
        <v>249</v>
      </c>
      <c r="AK40" s="139" t="n">
        <v>47</v>
      </c>
      <c r="AL40" s="139" t="n">
        <v>161</v>
      </c>
      <c r="AM40" s="139" t="n">
        <v>41</v>
      </c>
      <c r="AN40" s="139" t="n">
        <v>299</v>
      </c>
      <c r="AO40" s="139" t="n">
        <v>47</v>
      </c>
      <c r="AP40" s="139" t="n">
        <v>223</v>
      </c>
      <c r="AQ40" s="139" t="n">
        <v>29</v>
      </c>
      <c r="AR40" s="139" t="n">
        <v>571</v>
      </c>
      <c r="AS40" s="139" t="n">
        <v>149</v>
      </c>
      <c r="AT40" s="139" t="n">
        <v>46</v>
      </c>
      <c r="AU40" s="139" t="n">
        <v>376</v>
      </c>
      <c r="AV40" s="139" t="n">
        <v>0</v>
      </c>
      <c r="AW40" s="139" t="n">
        <v>49</v>
      </c>
      <c r="AX40" s="139" t="n">
        <v>21</v>
      </c>
      <c r="AY40" s="139" t="n">
        <v>108</v>
      </c>
      <c r="AZ40" s="139" t="n">
        <v>343</v>
      </c>
      <c r="BA40" s="139" t="n">
        <v>347</v>
      </c>
      <c r="BB40" s="139" t="n">
        <v>0</v>
      </c>
      <c r="BC40" s="139" t="n">
        <v>42</v>
      </c>
      <c r="BD40" s="139" t="n">
        <v>19</v>
      </c>
      <c r="BE40" s="139" t="n">
        <v>93</v>
      </c>
      <c r="BF40" s="139" t="n">
        <v>251</v>
      </c>
      <c r="BG40" s="139" t="n">
        <v>186</v>
      </c>
      <c r="BH40" s="139" t="n">
        <v>563</v>
      </c>
      <c r="BI40" s="139" t="n">
        <v>312</v>
      </c>
      <c r="BJ40" s="139" t="n">
        <v>252</v>
      </c>
      <c r="BK40" s="139" t="n">
        <v>502</v>
      </c>
      <c r="BL40" s="139" t="n">
        <v>270</v>
      </c>
      <c r="BM40" s="139" t="n">
        <v>232</v>
      </c>
      <c r="BN40" s="139" t="n">
        <v>61</v>
      </c>
      <c r="BO40" s="139" t="n">
        <v>42</v>
      </c>
      <c r="BP40" s="139" t="n">
        <v>20</v>
      </c>
      <c r="BQ40" s="139" t="n">
        <v>108</v>
      </c>
      <c r="BR40" s="139" t="n">
        <v>79</v>
      </c>
      <c r="BS40" s="139" t="n">
        <v>21</v>
      </c>
      <c r="BT40" s="139" t="n">
        <v>58</v>
      </c>
      <c r="BU40" s="139" t="n">
        <v>29</v>
      </c>
      <c r="BV40" s="139" t="n">
        <v>386</v>
      </c>
      <c r="BW40" s="139" t="n">
        <v>244</v>
      </c>
      <c r="BX40" s="139" t="n">
        <v>319</v>
      </c>
      <c r="BY40" s="139" t="n">
        <v>288</v>
      </c>
      <c r="BZ40" s="139" t="n">
        <v>8</v>
      </c>
      <c r="CA40" s="139" t="n">
        <v>12</v>
      </c>
      <c r="CB40" s="139" t="n">
        <v>11</v>
      </c>
      <c r="CC40" s="139" t="n">
        <v>6</v>
      </c>
      <c r="CD40" s="139" t="n">
        <v>38</v>
      </c>
      <c r="CE40" s="139" t="n">
        <v>11</v>
      </c>
      <c r="CF40" s="139" t="n">
        <v>2</v>
      </c>
      <c r="CG40" s="139" t="n">
        <v>370</v>
      </c>
      <c r="CH40" s="139" t="n">
        <v>136</v>
      </c>
      <c r="CI40" s="140" t="n">
        <v>0.31</v>
      </c>
      <c r="CJ40" s="139" t="n">
        <v>2227</v>
      </c>
      <c r="CK40" s="141" t="n">
        <v>64</v>
      </c>
      <c r="CL40" s="141" t="n">
        <v>60</v>
      </c>
      <c r="CM40" s="141" t="n">
        <v>44.7</v>
      </c>
      <c r="CN40" s="141" t="n">
        <v>39</v>
      </c>
      <c r="CO40" s="141" t="n">
        <v>32.1</v>
      </c>
      <c r="CP40" s="141" t="n">
        <v>34.9</v>
      </c>
      <c r="CQ40" s="141" t="n">
        <v>28.3</v>
      </c>
      <c r="CR40" s="141" t="n">
        <v>89.09999999999999</v>
      </c>
      <c r="CS40" s="141" t="n">
        <v>46.2</v>
      </c>
      <c r="CT40" s="141" t="n">
        <v>76.90000000000001</v>
      </c>
      <c r="CU40" s="142" t="n">
        <v>43.3</v>
      </c>
    </row>
  </sheetData>
  <mergeCells count="1">
    <mergeCell ref="A1:C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I40"/>
  <sheetViews>
    <sheetView topLeftCell="A1" workbookViewId="0">
      <pane xSplit="3" ySplit="2" topLeftCell="D3" activePane="bottomRight" state="frozen"/>
      <selection pane="topRight"/>
      <selection pane="bottomLeft"/>
      <selection pane="bottomRight" activeCell="H1" sqref="H1"/>
      <selection pane="bottomLeft" activeCell="A3" sqref="A3"/>
      <selection pane="bottomRight" activeCell="A1" sqref="A1"/>
    </sheetView>
  </sheetViews>
  <sheetFormatPr baseColWidth="10" defaultColWidth="9.140625" defaultRowHeight="15"/>
  <cols>
    <col width="13" customWidth="1" min="1" max="1"/>
    <col width="31" customWidth="1" min="2" max="2"/>
    <col width="26" customWidth="1" min="3" max="3"/>
    <col width="14" customWidth="1" min="4" max="4"/>
    <col width="14" customWidth="1" min="5" max="5"/>
    <col width="14" customWidth="1" min="6" max="6"/>
    <col width="14" customWidth="1" min="7" max="7"/>
    <col width="14" customWidth="1" min="8" max="8"/>
    <col width="14" customWidth="1" min="9" max="9"/>
    <col width="15" customWidth="1" min="10" max="10"/>
    <col width="15"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5" customWidth="1" min="19" max="19"/>
    <col width="15" customWidth="1" min="20" max="20"/>
    <col width="14" customWidth="1" min="21" max="21"/>
    <col width="14" customWidth="1" min="22" max="22"/>
    <col width="14" customWidth="1" min="23" max="23"/>
    <col width="18" customWidth="1" min="24" max="24"/>
    <col width="14" customWidth="1" min="25" max="25"/>
    <col width="14" customWidth="1" min="26" max="26"/>
    <col width="15" customWidth="1" min="27" max="29"/>
    <col width="14" customWidth="1" min="28" max="28"/>
    <col width="14" customWidth="1" min="29" max="29"/>
    <col width="14" customWidth="1" min="30" max="30"/>
    <col width="17" customWidth="1" min="31" max="31"/>
    <col width="14" customWidth="1" min="32" max="34"/>
    <col width="14" customWidth="1" min="33" max="33"/>
    <col width="14" customWidth="1" min="34" max="34"/>
    <col width="14" customWidth="1" min="35" max="35"/>
    <col width="14" customWidth="1" min="36" max="36"/>
    <col width="14" customWidth="1" min="37" max="38"/>
    <col width="14" customWidth="1" min="38" max="38"/>
    <col width="17" customWidth="1" min="39" max="40"/>
    <col width="14" customWidth="1" min="40" max="40"/>
    <col width="14" customWidth="1" min="41" max="41"/>
    <col width="14" customWidth="1" min="42" max="42"/>
    <col width="14" customWidth="1" min="43" max="43"/>
    <col width="14" customWidth="1" min="44" max="44"/>
    <col width="14" customWidth="1" min="45" max="45"/>
    <col width="18"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6" customWidth="1" min="54" max="54"/>
    <col width="14" customWidth="1" min="55" max="55"/>
    <col width="16" customWidth="1" min="56" max="56"/>
    <col width="19" customWidth="1" min="57" max="57"/>
    <col width="17" customWidth="1" min="58" max="58"/>
    <col width="18" customWidth="1" min="59" max="59"/>
    <col width="14" customWidth="1" min="60" max="60"/>
    <col width="14" customWidth="1" min="61" max="61"/>
    <col width="24.140625" customWidth="1" min="62" max="62"/>
    <col width="15" customWidth="1" min="63" max="63"/>
    <col width="26.5703125" customWidth="1" min="64" max="64"/>
    <col width="22" customWidth="1" min="65" max="65"/>
    <col width="24.140625" customWidth="1" min="66" max="66"/>
    <col width="26.28515625" customWidth="1" min="67" max="68"/>
    <col width="27.140625" customWidth="1" min="69" max="70"/>
    <col width="34" customWidth="1" min="71" max="71"/>
    <col width="19.42578125" customWidth="1" min="72" max="72"/>
    <col width="35.42578125" customWidth="1" min="73" max="73"/>
    <col width="37.85546875" customWidth="1" min="74" max="74"/>
    <col width="49" customWidth="1" min="75" max="75"/>
    <col width="23.85546875" customWidth="1" min="76" max="76"/>
    <col width="17.7109375" customWidth="1" min="77" max="77"/>
    <col width="39.140625" customWidth="1" min="78" max="78"/>
    <col width="52.7109375" customWidth="1" min="79" max="79"/>
    <col width="58.28515625" customWidth="1" min="80" max="80"/>
    <col width="27.7109375" customWidth="1" min="81" max="81"/>
    <col width="37.7109375" customWidth="1" min="82" max="82"/>
    <col width="43.28515625" customWidth="1" min="83" max="83"/>
    <col width="18.7109375" customWidth="1" min="84" max="84"/>
    <col width="35.5703125" customWidth="1" min="85" max="85"/>
    <col width="48.28515625" customWidth="1" min="86" max="86"/>
    <col width="40.7109375" customWidth="1" min="87" max="87"/>
    <col width="35.42578125" customWidth="1" min="88" max="88"/>
    <col width="32.140625" customWidth="1" min="89" max="89"/>
    <col width="31.85546875" customWidth="1" min="90" max="90"/>
  </cols>
  <sheetData>
    <row r="1" ht="21" customHeight="1">
      <c r="A1" s="124" t="inlineStr">
        <is>
          <t>Données infra-communales - Couples - Familles - Ménages</t>
        </is>
      </c>
      <c r="B1" s="125" t="n"/>
      <c r="C1" s="126" t="n"/>
      <c r="D1" s="127">
        <f>SUBTOTAL(9,D3:D40)</f>
        <v/>
      </c>
      <c r="E1" s="127">
        <f>SUBTOTAL(9,E3:E40)</f>
        <v/>
      </c>
      <c r="F1" s="127">
        <f>SUBTOTAL(9,F3:F40)</f>
        <v/>
      </c>
      <c r="G1" s="127">
        <f>SUBTOTAL(9,G3:G40)</f>
        <v/>
      </c>
      <c r="H1" s="127">
        <f>SUBTOTAL(9,H3:H40)</f>
        <v/>
      </c>
      <c r="I1" s="127">
        <f>SUBTOTAL(9,I3:I40)</f>
        <v/>
      </c>
      <c r="J1" s="127">
        <f>SUBTOTAL(9,J3:J40)</f>
        <v/>
      </c>
      <c r="K1" s="127">
        <f>SUBTOTAL(9,K3:K40)</f>
        <v/>
      </c>
      <c r="L1" s="127">
        <f>SUBTOTAL(9,L3:L40)</f>
        <v/>
      </c>
      <c r="M1" s="127">
        <f>SUBTOTAL(9,M3:M40)</f>
        <v/>
      </c>
      <c r="N1" s="127">
        <f>SUBTOTAL(9,N3:N40)</f>
        <v/>
      </c>
      <c r="O1" s="127">
        <f>SUBTOTAL(9,O3:O40)</f>
        <v/>
      </c>
      <c r="P1" s="127">
        <f>SUBTOTAL(9,P3:P40)</f>
        <v/>
      </c>
      <c r="Q1" s="127">
        <f>SUBTOTAL(9,Q3:Q40)</f>
        <v/>
      </c>
      <c r="R1" s="127">
        <f>SUBTOTAL(9,R3:R40)</f>
        <v/>
      </c>
      <c r="S1" s="127">
        <f>SUBTOTAL(9,S3:S40)</f>
        <v/>
      </c>
      <c r="T1" s="127">
        <f>SUBTOTAL(9,T3:T40)</f>
        <v/>
      </c>
      <c r="U1" s="127">
        <f>SUBTOTAL(9,U3:U40)</f>
        <v/>
      </c>
      <c r="V1" s="127">
        <f>SUBTOTAL(9,V3:V40)</f>
        <v/>
      </c>
      <c r="W1" s="127">
        <f>SUBTOTAL(9,W3:W40)</f>
        <v/>
      </c>
      <c r="X1" s="127">
        <f>SUBTOTAL(9,X3:X40)</f>
        <v/>
      </c>
      <c r="Y1" s="127">
        <f>SUBTOTAL(9,Y3:Y40)</f>
        <v/>
      </c>
      <c r="Z1" s="127">
        <f>SUBTOTAL(9,Z3:Z40)</f>
        <v/>
      </c>
      <c r="AA1" s="127">
        <f>SUBTOTAL(9,AA3:AA40)</f>
        <v/>
      </c>
      <c r="AB1" s="127">
        <f>SUBTOTAL(9,AB3:AB40)</f>
        <v/>
      </c>
      <c r="AC1" s="127">
        <f>SUBTOTAL(9,AC3:AC40)</f>
        <v/>
      </c>
      <c r="AD1" s="127">
        <f>SUBTOTAL(9,AD3:AD40)</f>
        <v/>
      </c>
      <c r="AE1" s="127">
        <f>SUBTOTAL(9,AE3:AE40)</f>
        <v/>
      </c>
      <c r="AF1" s="127">
        <f>SUBTOTAL(9,AF3:AF40)</f>
        <v/>
      </c>
      <c r="AG1" s="127">
        <f>SUBTOTAL(9,AG3:AG40)</f>
        <v/>
      </c>
      <c r="AH1" s="127">
        <f>SUBTOTAL(9,AH3:AH40)</f>
        <v/>
      </c>
      <c r="AI1" s="127">
        <f>SUBTOTAL(9,AI3:AI40)</f>
        <v/>
      </c>
      <c r="AJ1" s="127">
        <f>SUBTOTAL(9,AJ3:AJ40)</f>
        <v/>
      </c>
      <c r="AK1" s="127">
        <f>SUBTOTAL(9,AK3:AK40)</f>
        <v/>
      </c>
      <c r="AL1" s="127">
        <f>SUBTOTAL(9,AL3:AL40)</f>
        <v/>
      </c>
      <c r="AM1" s="127">
        <f>SUBTOTAL(9,AM3:AM40)</f>
        <v/>
      </c>
      <c r="AN1" s="127">
        <f>SUBTOTAL(9,AN3:AN40)</f>
        <v/>
      </c>
      <c r="AO1" s="127">
        <f>SUBTOTAL(9,AO3:AO40)</f>
        <v/>
      </c>
      <c r="AP1" s="127">
        <f>SUBTOTAL(9,AP3:AP40)</f>
        <v/>
      </c>
      <c r="AQ1" s="127">
        <f>SUBTOTAL(9,AQ3:AQ40)</f>
        <v/>
      </c>
      <c r="AR1" s="127">
        <f>SUBTOTAL(9,AR3:AR40)</f>
        <v/>
      </c>
      <c r="AS1" s="127">
        <f>SUBTOTAL(9,AS3:AS40)</f>
        <v/>
      </c>
      <c r="AT1" s="127">
        <f>SUBTOTAL(9,AT3:AT40)</f>
        <v/>
      </c>
      <c r="AU1" s="127">
        <f>SUBTOTAL(9,AU3:AU40)</f>
        <v/>
      </c>
      <c r="AV1" s="127">
        <f>SUBTOTAL(9,AV3:AV40)</f>
        <v/>
      </c>
      <c r="AW1" s="127">
        <f>SUBTOTAL(9,AW3:AW40)</f>
        <v/>
      </c>
      <c r="AX1" s="127">
        <f>SUBTOTAL(9,AX3:AX40)</f>
        <v/>
      </c>
      <c r="AY1" s="127">
        <f>SUBTOTAL(9,AY3:AY40)</f>
        <v/>
      </c>
      <c r="AZ1" s="127">
        <f>SUBTOTAL(9,AZ3:AZ40)</f>
        <v/>
      </c>
      <c r="BA1" s="127">
        <f>SUBTOTAL(9,BA3:BA40)</f>
        <v/>
      </c>
      <c r="BB1" s="127">
        <f>SUBTOTAL(9,BB3:BB40)</f>
        <v/>
      </c>
      <c r="BC1" s="128">
        <f>SUBTOTAL(9,BC3:BC40)</f>
        <v/>
      </c>
      <c r="BD1" s="129" t="n"/>
      <c r="BE1" s="129" t="n"/>
      <c r="BF1" s="129" t="n"/>
      <c r="BG1" s="129" t="n"/>
      <c r="BH1" s="127">
        <f>SUBTOTAL(9,BH3:BH40)</f>
        <v/>
      </c>
      <c r="BI1" s="129" t="n"/>
    </row>
    <row r="2" ht="70" customHeight="1">
      <c r="A2" s="45" t="inlineStr">
        <is>
          <t>Mairies de quartiers</t>
        </is>
      </c>
      <c r="B2" s="45" t="inlineStr">
        <is>
          <t>Grands quartiers</t>
        </is>
      </c>
      <c r="C2" s="45" t="inlineStr">
        <is>
          <t>Libellé de l'Iris</t>
        </is>
      </c>
      <c r="D2" s="46" t="inlineStr">
        <is>
          <t>Ménages</t>
        </is>
      </c>
      <c r="E2" s="46" t="inlineStr">
        <is>
          <t>Ménages 1 personne</t>
        </is>
      </c>
      <c r="F2" s="46" t="inlineStr">
        <is>
          <t>Ménages Hommes seuls</t>
        </is>
      </c>
      <c r="G2" s="46" t="inlineStr">
        <is>
          <t>Ménages Femmes seules</t>
        </is>
      </c>
      <c r="H2" s="46" t="inlineStr">
        <is>
          <t>Ménages Autres sans famille</t>
        </is>
      </c>
      <c r="I2" s="46" t="inlineStr">
        <is>
          <t>Ménages avec famille(s)</t>
        </is>
      </c>
      <c r="J2" s="46" t="inlineStr">
        <is>
          <t>Mén fam princ Couple sans enfant</t>
        </is>
      </c>
      <c r="K2" s="46" t="inlineStr">
        <is>
          <t>Mén fam princ Couple avec enfant(s)</t>
        </is>
      </c>
      <c r="L2" s="46" t="inlineStr">
        <is>
          <t>Mén fam princ Famille mono</t>
        </is>
      </c>
      <c r="M2" s="46" t="inlineStr">
        <is>
          <t>Pop Ménages</t>
        </is>
      </c>
      <c r="N2" s="46" t="inlineStr">
        <is>
          <t>Pop mén Personnes seules</t>
        </is>
      </c>
      <c r="O2" s="46" t="inlineStr">
        <is>
          <t>Pop mén Hommes seuls</t>
        </is>
      </c>
      <c r="P2" s="46" t="inlineStr">
        <is>
          <t>Pop mén Femmes seules</t>
        </is>
      </c>
      <c r="Q2" s="46" t="inlineStr">
        <is>
          <t>Pop mén Autres sans famille</t>
        </is>
      </c>
      <c r="R2" s="46" t="inlineStr">
        <is>
          <t>Pop mén avec famille(s)</t>
        </is>
      </c>
      <c r="S2" s="46" t="inlineStr">
        <is>
          <t>Pop mén fam princ Couple sans enfant</t>
        </is>
      </c>
      <c r="T2" s="46" t="inlineStr">
        <is>
          <t>Pop mén fam princ Couple avec enfant(s)</t>
        </is>
      </c>
      <c r="U2" s="46" t="inlineStr">
        <is>
          <t>Pop mén fam princ Famille mono</t>
        </is>
      </c>
      <c r="V2" s="46" t="inlineStr">
        <is>
          <t>Pop 15 ans ou plus mariée</t>
        </is>
      </c>
      <c r="W2" s="46" t="inlineStr">
        <is>
          <t>Pop 15 ans ou plus pacsée</t>
        </is>
      </c>
      <c r="X2" s="46" t="inlineStr">
        <is>
          <t>Pop 15 ans ou plus en concubinage ou union libre</t>
        </is>
      </c>
      <c r="Y2" s="46" t="inlineStr">
        <is>
          <t>Pop 15 ans ou plus veuves ou veufs</t>
        </is>
      </c>
      <c r="Z2" s="46" t="inlineStr">
        <is>
          <t>Pop 15 ans ou plus divorcée</t>
        </is>
      </c>
      <c r="AA2" s="46" t="inlineStr">
        <is>
          <t>Pop 15 ans ou plus célibataire</t>
        </is>
      </c>
      <c r="AB2" s="46" t="inlineStr">
        <is>
          <t>Ménages Pers Réf Agri. expl.</t>
        </is>
      </c>
      <c r="AC2" s="46" t="inlineStr">
        <is>
          <t>Ménages Pers Réf Art. Comm. Chef entr.</t>
        </is>
      </c>
      <c r="AD2" s="46" t="inlineStr">
        <is>
          <t>Ménages Pers Réf Cadre Prof int sup</t>
        </is>
      </c>
      <c r="AE2" s="46" t="inlineStr">
        <is>
          <t>Ménages Pers Réf Prof intermédiaire</t>
        </is>
      </c>
      <c r="AF2" s="46" t="inlineStr">
        <is>
          <t>Ménages Pers Réf Employé</t>
        </is>
      </c>
      <c r="AG2" s="46" t="inlineStr">
        <is>
          <t>Ménages Pers Réf Ouvrier</t>
        </is>
      </c>
      <c r="AH2" s="46" t="inlineStr">
        <is>
          <t>Ménages Pers Réf Retraité</t>
        </is>
      </c>
      <c r="AI2" s="46" t="inlineStr">
        <is>
          <t>Ménages Pers Réf Autre</t>
        </is>
      </c>
      <c r="AJ2" s="46" t="inlineStr">
        <is>
          <t>Pop mén Pers Réf Agri. expl.</t>
        </is>
      </c>
      <c r="AK2" s="46" t="inlineStr">
        <is>
          <t>Pop mén Pers Réf Art Com Chef entr.</t>
        </is>
      </c>
      <c r="AL2" s="46" t="inlineStr">
        <is>
          <t>Pop mén Pers Réf Cadre Prof int sup</t>
        </is>
      </c>
      <c r="AM2" s="46" t="inlineStr">
        <is>
          <t>Pop mén Pers Réf Prof intermédiaire</t>
        </is>
      </c>
      <c r="AN2" s="46" t="inlineStr">
        <is>
          <t>Pop mén Pers Réf Employé</t>
        </is>
      </c>
      <c r="AO2" s="46" t="inlineStr">
        <is>
          <t>Pop mén Pers Réf Ouvrier</t>
        </is>
      </c>
      <c r="AP2" s="46" t="inlineStr">
        <is>
          <t>Pop mén Pers Réf Retraité</t>
        </is>
      </c>
      <c r="AQ2" s="46" t="inlineStr">
        <is>
          <t>Pop mén Pers Réf Autre</t>
        </is>
      </c>
      <c r="AR2" s="46" t="inlineStr">
        <is>
          <t>Familles</t>
        </is>
      </c>
      <c r="AS2" s="46" t="inlineStr">
        <is>
          <t>Fam Couple avec enfant(s)</t>
        </is>
      </c>
      <c r="AT2" s="46" t="inlineStr">
        <is>
          <t>Fam Monoparentales</t>
        </is>
      </c>
      <c r="AU2" s="46" t="inlineStr">
        <is>
          <t>Fam Couple sans enfant</t>
        </is>
      </c>
      <c r="AV2" s="46" t="inlineStr">
        <is>
          <t>Fam 0 enfant moins 25 ans</t>
        </is>
      </c>
      <c r="AW2" s="46" t="inlineStr">
        <is>
          <t>Fam 1 enfant moins 25 ans</t>
        </is>
      </c>
      <c r="AX2" s="46" t="inlineStr">
        <is>
          <t>Fam 2 enfants moins 25 ans</t>
        </is>
      </c>
      <c r="AY2" s="46" t="inlineStr">
        <is>
          <t>Fam 3 enfants moins 25 ans</t>
        </is>
      </c>
      <c r="AZ2" s="46" t="inlineStr">
        <is>
          <t>Fam 4 enfants ou plus moins 25 ans</t>
        </is>
      </c>
      <c r="BA2" s="46" t="inlineStr">
        <is>
          <t>Fam Couple avec uniq enfant(s) Couple</t>
        </is>
      </c>
      <c r="BB2" s="46" t="inlineStr">
        <is>
          <t>Fam Couple avec mini 1 enfant 1 des 2 Couple</t>
        </is>
      </c>
      <c r="BC2" s="47" t="inlineStr">
        <is>
          <t>Superficie en km²</t>
        </is>
      </c>
      <c r="BD2" s="130" t="inlineStr">
        <is>
          <t>Part des ménages avec famille(s) (%)</t>
        </is>
      </c>
      <c r="BE2" s="130" t="inlineStr">
        <is>
          <t>Part des ménages famille couple avec enfant(s) (%)</t>
        </is>
      </c>
      <c r="BF2" s="130" t="inlineStr">
        <is>
          <t>Part des familles couple avec enfant(s) (%)</t>
        </is>
      </c>
      <c r="BG2" s="130" t="inlineStr">
        <is>
          <t>Part de familles monoparentales (%)</t>
        </is>
      </c>
      <c r="BH2" s="47" t="inlineStr">
        <is>
          <t>Nombre de familles nombreuses</t>
        </is>
      </c>
      <c r="BI2" s="131" t="inlineStr">
        <is>
          <t>Part de familles nombreuses (%)</t>
        </is>
      </c>
    </row>
    <row r="3" ht="30" customHeight="1">
      <c r="A3" s="3" t="inlineStr">
        <is>
          <t>OUEST</t>
        </is>
      </c>
      <c r="B3" s="3" t="inlineStr">
        <is>
          <t>FRESNOY MACKELLERIE</t>
        </is>
      </c>
      <c r="C3" s="3" t="inlineStr">
        <is>
          <t>Mackellerie</t>
        </is>
      </c>
      <c r="D3" s="135" t="n">
        <v>924</v>
      </c>
      <c r="E3" s="135" t="n">
        <v>310</v>
      </c>
      <c r="F3" s="135" t="n">
        <v>191</v>
      </c>
      <c r="G3" s="135" t="n">
        <v>152</v>
      </c>
      <c r="H3" s="135" t="n">
        <v>22</v>
      </c>
      <c r="I3" s="135" t="n">
        <v>617</v>
      </c>
      <c r="J3" s="135" t="n">
        <v>127</v>
      </c>
      <c r="K3" s="135" t="n">
        <v>263</v>
      </c>
      <c r="L3" s="135" t="n">
        <v>227</v>
      </c>
      <c r="M3" s="135" t="n">
        <v>2550</v>
      </c>
      <c r="N3" s="135" t="n">
        <v>342</v>
      </c>
      <c r="O3" s="135" t="n">
        <v>191</v>
      </c>
      <c r="P3" s="135" t="n">
        <v>152</v>
      </c>
      <c r="Q3" s="135" t="n">
        <v>55</v>
      </c>
      <c r="R3" s="135" t="n">
        <v>2153</v>
      </c>
      <c r="S3" s="135" t="n">
        <v>255</v>
      </c>
      <c r="T3" s="135" t="n">
        <v>1189</v>
      </c>
      <c r="U3" s="135" t="n">
        <v>709</v>
      </c>
      <c r="V3" s="135" t="n">
        <v>587</v>
      </c>
      <c r="W3" s="135" t="n">
        <v>31</v>
      </c>
      <c r="X3" s="135" t="n">
        <v>180</v>
      </c>
      <c r="Y3" s="135" t="n">
        <v>90</v>
      </c>
      <c r="Z3" s="135" t="n">
        <v>178</v>
      </c>
      <c r="AA3" s="135" t="n">
        <v>709</v>
      </c>
      <c r="AB3" s="135" t="n">
        <v>0</v>
      </c>
      <c r="AC3" s="135" t="n">
        <v>25</v>
      </c>
      <c r="AD3" s="135" t="n">
        <v>58</v>
      </c>
      <c r="AE3" s="135" t="n">
        <v>124</v>
      </c>
      <c r="AF3" s="135" t="n">
        <v>212</v>
      </c>
      <c r="AG3" s="135" t="n">
        <v>254</v>
      </c>
      <c r="AH3" s="135" t="n">
        <v>154</v>
      </c>
      <c r="AI3" s="135" t="n">
        <v>154</v>
      </c>
      <c r="AJ3" s="135" t="n">
        <v>0</v>
      </c>
      <c r="AK3" s="135" t="n">
        <v>61</v>
      </c>
      <c r="AL3" s="135" t="n">
        <v>187</v>
      </c>
      <c r="AM3" s="135" t="n">
        <v>322</v>
      </c>
      <c r="AN3" s="135" t="n">
        <v>593</v>
      </c>
      <c r="AO3" s="135" t="n">
        <v>772</v>
      </c>
      <c r="AP3" s="135" t="n">
        <v>226</v>
      </c>
      <c r="AQ3" s="135" t="n">
        <v>390</v>
      </c>
      <c r="AR3" s="135" t="n">
        <v>633</v>
      </c>
      <c r="AS3" s="135" t="n">
        <v>263</v>
      </c>
      <c r="AT3" s="135" t="n">
        <v>243</v>
      </c>
      <c r="AU3" s="135" t="n">
        <v>127</v>
      </c>
      <c r="AV3" s="135" t="n">
        <v>193</v>
      </c>
      <c r="AW3" s="135" t="n">
        <v>168</v>
      </c>
      <c r="AX3" s="135" t="n">
        <v>129</v>
      </c>
      <c r="AY3" s="135" t="n">
        <v>70</v>
      </c>
      <c r="AZ3" s="135" t="n">
        <v>73</v>
      </c>
      <c r="BA3" s="135" t="n">
        <v>234</v>
      </c>
      <c r="BB3" s="135" t="n">
        <v>30</v>
      </c>
      <c r="BC3" s="136" t="n">
        <v>0.32</v>
      </c>
      <c r="BD3" s="137" t="n">
        <v>66.8</v>
      </c>
      <c r="BE3" s="137" t="n">
        <v>28.5</v>
      </c>
      <c r="BF3" s="137" t="n">
        <v>41.6</v>
      </c>
      <c r="BG3" s="137" t="n">
        <v>38.3</v>
      </c>
      <c r="BH3" s="135" t="n">
        <v>143</v>
      </c>
      <c r="BI3" s="138" t="n">
        <v>22.6</v>
      </c>
    </row>
    <row r="4" ht="30" customHeight="1">
      <c r="A4" s="3" t="inlineStr">
        <is>
          <t>OUEST</t>
        </is>
      </c>
      <c r="B4" s="3" t="inlineStr">
        <is>
          <t>ARMENTIERES</t>
        </is>
      </c>
      <c r="C4" s="3" t="inlineStr">
        <is>
          <t>Fresnoy</t>
        </is>
      </c>
      <c r="D4" s="135" t="n">
        <v>1906</v>
      </c>
      <c r="E4" s="135" t="n">
        <v>915</v>
      </c>
      <c r="F4" s="135" t="n">
        <v>516</v>
      </c>
      <c r="G4" s="135" t="n">
        <v>516</v>
      </c>
      <c r="H4" s="135" t="n">
        <v>57</v>
      </c>
      <c r="I4" s="135" t="n">
        <v>978</v>
      </c>
      <c r="J4" s="135" t="n">
        <v>258</v>
      </c>
      <c r="K4" s="135" t="n">
        <v>424</v>
      </c>
      <c r="L4" s="135" t="n">
        <v>296</v>
      </c>
      <c r="M4" s="135" t="n">
        <v>4498</v>
      </c>
      <c r="N4" s="135" t="n">
        <v>1032</v>
      </c>
      <c r="O4" s="135" t="n">
        <v>516</v>
      </c>
      <c r="P4" s="135" t="n">
        <v>516</v>
      </c>
      <c r="Q4" s="135" t="n">
        <v>151</v>
      </c>
      <c r="R4" s="135" t="n">
        <v>3315</v>
      </c>
      <c r="S4" s="135" t="n">
        <v>573</v>
      </c>
      <c r="T4" s="135" t="n">
        <v>1809</v>
      </c>
      <c r="U4" s="135" t="n">
        <v>933</v>
      </c>
      <c r="V4" s="135" t="n">
        <v>1016</v>
      </c>
      <c r="W4" s="135" t="n">
        <v>46</v>
      </c>
      <c r="X4" s="135" t="n">
        <v>384</v>
      </c>
      <c r="Y4" s="135" t="n">
        <v>142</v>
      </c>
      <c r="Z4" s="135" t="n">
        <v>195</v>
      </c>
      <c r="AA4" s="135" t="n">
        <v>1619</v>
      </c>
      <c r="AB4" s="135" t="n">
        <v>0</v>
      </c>
      <c r="AC4" s="135" t="n">
        <v>62</v>
      </c>
      <c r="AD4" s="135" t="n">
        <v>206</v>
      </c>
      <c r="AE4" s="135" t="n">
        <v>267</v>
      </c>
      <c r="AF4" s="135" t="n">
        <v>407</v>
      </c>
      <c r="AG4" s="135" t="n">
        <v>300</v>
      </c>
      <c r="AH4" s="135" t="n">
        <v>293</v>
      </c>
      <c r="AI4" s="135" t="n">
        <v>532</v>
      </c>
      <c r="AJ4" s="135" t="n">
        <v>0</v>
      </c>
      <c r="AK4" s="135" t="n">
        <v>223</v>
      </c>
      <c r="AL4" s="135" t="n">
        <v>491</v>
      </c>
      <c r="AM4" s="135" t="n">
        <v>577</v>
      </c>
      <c r="AN4" s="135" t="n">
        <v>1031</v>
      </c>
      <c r="AO4" s="135" t="n">
        <v>835</v>
      </c>
      <c r="AP4" s="135" t="n">
        <v>487</v>
      </c>
      <c r="AQ4" s="135" t="n">
        <v>853</v>
      </c>
      <c r="AR4" s="135" t="n">
        <v>1000</v>
      </c>
      <c r="AS4" s="135" t="n">
        <v>424</v>
      </c>
      <c r="AT4" s="135" t="n">
        <v>310</v>
      </c>
      <c r="AU4" s="135" t="n">
        <v>267</v>
      </c>
      <c r="AV4" s="135" t="n">
        <v>373</v>
      </c>
      <c r="AW4" s="135" t="n">
        <v>228</v>
      </c>
      <c r="AX4" s="135" t="n">
        <v>198</v>
      </c>
      <c r="AY4" s="135" t="n">
        <v>117</v>
      </c>
      <c r="AZ4" s="135" t="n">
        <v>86</v>
      </c>
      <c r="BA4" s="135" t="n">
        <v>359</v>
      </c>
      <c r="BB4" s="135" t="n">
        <v>65</v>
      </c>
      <c r="BC4" s="136" t="n">
        <v>0.53</v>
      </c>
      <c r="BD4" s="137" t="n">
        <v>51.3</v>
      </c>
      <c r="BE4" s="137" t="n">
        <v>22.2</v>
      </c>
      <c r="BF4" s="137" t="n">
        <v>42.4</v>
      </c>
      <c r="BG4" s="137" t="n">
        <v>30.9</v>
      </c>
      <c r="BH4" s="135" t="n">
        <v>202</v>
      </c>
      <c r="BI4" s="138" t="n">
        <v>20.2</v>
      </c>
    </row>
    <row r="5" ht="30" customHeight="1">
      <c r="A5" s="3" t="inlineStr">
        <is>
          <t>NORD</t>
        </is>
      </c>
      <c r="B5" s="3" t="inlineStr">
        <is>
          <t>FOSSE AUX CHENES</t>
        </is>
      </c>
      <c r="C5" s="3" t="inlineStr">
        <is>
          <t>Fosse aux Chênes</t>
        </is>
      </c>
      <c r="D5" s="135" t="n">
        <v>1129</v>
      </c>
      <c r="E5" s="135" t="n">
        <v>487</v>
      </c>
      <c r="F5" s="135" t="n">
        <v>245</v>
      </c>
      <c r="G5" s="135" t="n">
        <v>173</v>
      </c>
      <c r="H5" s="135" t="n">
        <v>8</v>
      </c>
      <c r="I5" s="135" t="n">
        <v>561</v>
      </c>
      <c r="J5" s="135" t="n">
        <v>124</v>
      </c>
      <c r="K5" s="135" t="n">
        <v>238</v>
      </c>
      <c r="L5" s="135" t="n">
        <v>199</v>
      </c>
      <c r="M5" s="135" t="n">
        <v>2378</v>
      </c>
      <c r="N5" s="135" t="n">
        <v>418</v>
      </c>
      <c r="O5" s="135" t="n">
        <v>245</v>
      </c>
      <c r="P5" s="135" t="n">
        <v>173</v>
      </c>
      <c r="Q5" s="135" t="n">
        <v>28</v>
      </c>
      <c r="R5" s="135" t="n">
        <v>1931</v>
      </c>
      <c r="S5" s="135" t="n">
        <v>274</v>
      </c>
      <c r="T5" s="135" t="n">
        <v>1092</v>
      </c>
      <c r="U5" s="135" t="n">
        <v>566</v>
      </c>
      <c r="V5" s="135" t="n">
        <v>788</v>
      </c>
      <c r="W5" s="135" t="n">
        <v>14</v>
      </c>
      <c r="X5" s="135" t="n">
        <v>91</v>
      </c>
      <c r="Y5" s="135" t="n">
        <v>125</v>
      </c>
      <c r="Z5" s="135" t="n">
        <v>200</v>
      </c>
      <c r="AA5" s="135" t="n">
        <v>973</v>
      </c>
      <c r="AB5" s="135" t="n">
        <v>0</v>
      </c>
      <c r="AC5" s="135" t="n">
        <v>42</v>
      </c>
      <c r="AD5" s="135" t="n">
        <v>44</v>
      </c>
      <c r="AE5" s="135" t="n">
        <v>53</v>
      </c>
      <c r="AF5" s="135" t="n">
        <v>159</v>
      </c>
      <c r="AG5" s="135" t="n">
        <v>236</v>
      </c>
      <c r="AH5" s="135" t="n">
        <v>198</v>
      </c>
      <c r="AI5" s="135" t="n">
        <v>256</v>
      </c>
      <c r="AJ5" s="135" t="n">
        <v>0</v>
      </c>
      <c r="AK5" s="135" t="n">
        <v>154</v>
      </c>
      <c r="AL5" s="135" t="n">
        <v>103</v>
      </c>
      <c r="AM5" s="135" t="n">
        <v>164</v>
      </c>
      <c r="AN5" s="135" t="n">
        <v>426</v>
      </c>
      <c r="AO5" s="135" t="n">
        <v>694</v>
      </c>
      <c r="AP5" s="135" t="n">
        <v>345</v>
      </c>
      <c r="AQ5" s="135" t="n">
        <v>493</v>
      </c>
      <c r="AR5" s="135" t="n">
        <v>566</v>
      </c>
      <c r="AS5" s="135" t="n">
        <v>238</v>
      </c>
      <c r="AT5" s="135" t="n">
        <v>204</v>
      </c>
      <c r="AU5" s="135" t="n">
        <v>124</v>
      </c>
      <c r="AV5" s="135" t="n">
        <v>197</v>
      </c>
      <c r="AW5" s="135" t="n">
        <v>122</v>
      </c>
      <c r="AX5" s="135" t="n">
        <v>111</v>
      </c>
      <c r="AY5" s="135" t="n">
        <v>88</v>
      </c>
      <c r="AZ5" s="135" t="n">
        <v>49</v>
      </c>
      <c r="BA5" s="135" t="n">
        <v>196</v>
      </c>
      <c r="BB5" s="135" t="n">
        <v>42</v>
      </c>
      <c r="BC5" s="136" t="n">
        <v>0.41</v>
      </c>
      <c r="BD5" s="137" t="n">
        <v>49.7</v>
      </c>
      <c r="BE5" s="137" t="n">
        <v>21.1</v>
      </c>
      <c r="BF5" s="137" t="n">
        <v>42</v>
      </c>
      <c r="BG5" s="137" t="n">
        <v>36</v>
      </c>
      <c r="BH5" s="135" t="n">
        <v>136</v>
      </c>
      <c r="BI5" s="138" t="n">
        <v>24.1</v>
      </c>
    </row>
    <row r="6" ht="30" customHeight="1">
      <c r="A6" s="3" t="inlineStr">
        <is>
          <t>NORD</t>
        </is>
      </c>
      <c r="B6" s="3" t="inlineStr">
        <is>
          <t>ALMA GARE</t>
        </is>
      </c>
      <c r="C6" s="3" t="inlineStr">
        <is>
          <t>Alma Sud</t>
        </is>
      </c>
      <c r="D6" s="135" t="n">
        <v>493</v>
      </c>
      <c r="E6" s="135" t="n">
        <v>175</v>
      </c>
      <c r="F6" s="135" t="n">
        <v>116</v>
      </c>
      <c r="G6" s="135" t="n">
        <v>69</v>
      </c>
      <c r="H6" s="135" t="n">
        <v>5</v>
      </c>
      <c r="I6" s="135" t="n">
        <v>303</v>
      </c>
      <c r="J6" s="135" t="n">
        <v>27</v>
      </c>
      <c r="K6" s="135" t="n">
        <v>198</v>
      </c>
      <c r="L6" s="135" t="n">
        <v>78</v>
      </c>
      <c r="M6" s="135" t="n">
        <v>1477</v>
      </c>
      <c r="N6" s="135" t="n">
        <v>185</v>
      </c>
      <c r="O6" s="135" t="n">
        <v>116</v>
      </c>
      <c r="P6" s="135" t="n">
        <v>69</v>
      </c>
      <c r="Q6" s="135" t="n">
        <v>11</v>
      </c>
      <c r="R6" s="135" t="n">
        <v>1282</v>
      </c>
      <c r="S6" s="135" t="n">
        <v>53</v>
      </c>
      <c r="T6" s="135" t="n">
        <v>978</v>
      </c>
      <c r="U6" s="135" t="n">
        <v>250</v>
      </c>
      <c r="V6" s="135" t="n">
        <v>432</v>
      </c>
      <c r="W6" s="135" t="n">
        <v>0</v>
      </c>
      <c r="X6" s="135" t="n">
        <v>43</v>
      </c>
      <c r="Y6" s="135" t="n">
        <v>50</v>
      </c>
      <c r="Z6" s="135" t="n">
        <v>83</v>
      </c>
      <c r="AA6" s="135" t="n">
        <v>469</v>
      </c>
      <c r="AB6" s="135" t="n">
        <v>0</v>
      </c>
      <c r="AC6" s="135" t="n">
        <v>21</v>
      </c>
      <c r="AD6" s="135" t="n">
        <v>5</v>
      </c>
      <c r="AE6" s="135" t="n">
        <v>16</v>
      </c>
      <c r="AF6" s="135" t="n">
        <v>63</v>
      </c>
      <c r="AG6" s="135" t="n">
        <v>185</v>
      </c>
      <c r="AH6" s="135" t="n">
        <v>90</v>
      </c>
      <c r="AI6" s="135" t="n">
        <v>113</v>
      </c>
      <c r="AJ6" s="135" t="n">
        <v>0</v>
      </c>
      <c r="AK6" s="135" t="n">
        <v>43</v>
      </c>
      <c r="AL6" s="135" t="n">
        <v>15</v>
      </c>
      <c r="AM6" s="135" t="n">
        <v>31</v>
      </c>
      <c r="AN6" s="135" t="n">
        <v>269</v>
      </c>
      <c r="AO6" s="135" t="n">
        <v>625</v>
      </c>
      <c r="AP6" s="135" t="n">
        <v>190</v>
      </c>
      <c r="AQ6" s="135" t="n">
        <v>305</v>
      </c>
      <c r="AR6" s="135" t="n">
        <v>303</v>
      </c>
      <c r="AS6" s="135" t="n">
        <v>198</v>
      </c>
      <c r="AT6" s="135" t="n">
        <v>78</v>
      </c>
      <c r="AU6" s="135" t="n">
        <v>27</v>
      </c>
      <c r="AV6" s="135" t="n">
        <v>47</v>
      </c>
      <c r="AW6" s="135" t="n">
        <v>69</v>
      </c>
      <c r="AX6" s="135" t="n">
        <v>68</v>
      </c>
      <c r="AY6" s="135" t="n">
        <v>54</v>
      </c>
      <c r="AZ6" s="135" t="n">
        <v>65</v>
      </c>
      <c r="BA6" s="135" t="n">
        <v>172</v>
      </c>
      <c r="BB6" s="135" t="n">
        <v>26</v>
      </c>
      <c r="BC6" s="136" t="n">
        <v>0.09</v>
      </c>
      <c r="BD6" s="137" t="n">
        <v>61.5</v>
      </c>
      <c r="BE6" s="137" t="n">
        <v>40.3</v>
      </c>
      <c r="BF6" s="137" t="n">
        <v>65.40000000000001</v>
      </c>
      <c r="BG6" s="137" t="n">
        <v>25.8</v>
      </c>
      <c r="BH6" s="135" t="n">
        <v>119</v>
      </c>
      <c r="BI6" s="138" t="n">
        <v>39.2</v>
      </c>
    </row>
    <row r="7" ht="30" customHeight="1">
      <c r="A7" s="3" t="inlineStr">
        <is>
          <t>NORD</t>
        </is>
      </c>
      <c r="B7" s="3" t="inlineStr">
        <is>
          <t>ALMA GARE</t>
        </is>
      </c>
      <c r="C7" s="3" t="inlineStr">
        <is>
          <t>Alma Nord</t>
        </is>
      </c>
      <c r="D7" s="135" t="n">
        <v>558</v>
      </c>
      <c r="E7" s="135" t="n">
        <v>178</v>
      </c>
      <c r="F7" s="135" t="n">
        <v>123</v>
      </c>
      <c r="G7" s="135" t="n">
        <v>59</v>
      </c>
      <c r="H7" s="135" t="n">
        <v>9</v>
      </c>
      <c r="I7" s="135" t="n">
        <v>293</v>
      </c>
      <c r="J7" s="135" t="n">
        <v>57</v>
      </c>
      <c r="K7" s="135" t="n">
        <v>151</v>
      </c>
      <c r="L7" s="135" t="n">
        <v>85</v>
      </c>
      <c r="M7" s="135" t="n">
        <v>1321</v>
      </c>
      <c r="N7" s="135" t="n">
        <v>182</v>
      </c>
      <c r="O7" s="135" t="n">
        <v>123</v>
      </c>
      <c r="P7" s="135" t="n">
        <v>59</v>
      </c>
      <c r="Q7" s="135" t="n">
        <v>19</v>
      </c>
      <c r="R7" s="135" t="n">
        <v>1120</v>
      </c>
      <c r="S7" s="135" t="n">
        <v>123</v>
      </c>
      <c r="T7" s="135" t="n">
        <v>737</v>
      </c>
      <c r="U7" s="135" t="n">
        <v>261</v>
      </c>
      <c r="V7" s="135" t="n">
        <v>449</v>
      </c>
      <c r="W7" s="135" t="n">
        <v>7</v>
      </c>
      <c r="X7" s="135" t="n">
        <v>75</v>
      </c>
      <c r="Y7" s="135" t="n">
        <v>64</v>
      </c>
      <c r="Z7" s="135" t="n">
        <v>73</v>
      </c>
      <c r="AA7" s="135" t="n">
        <v>504</v>
      </c>
      <c r="AB7" s="135" t="n">
        <v>0</v>
      </c>
      <c r="AC7" s="135" t="n">
        <v>13</v>
      </c>
      <c r="AD7" s="135" t="n">
        <v>17</v>
      </c>
      <c r="AE7" s="135" t="n">
        <v>39</v>
      </c>
      <c r="AF7" s="135" t="n">
        <v>67</v>
      </c>
      <c r="AG7" s="135" t="n">
        <v>158</v>
      </c>
      <c r="AH7" s="135" t="n">
        <v>96</v>
      </c>
      <c r="AI7" s="135" t="n">
        <v>95</v>
      </c>
      <c r="AJ7" s="135" t="n">
        <v>0</v>
      </c>
      <c r="AK7" s="135" t="n">
        <v>63</v>
      </c>
      <c r="AL7" s="135" t="n">
        <v>58</v>
      </c>
      <c r="AM7" s="135" t="n">
        <v>104</v>
      </c>
      <c r="AN7" s="135" t="n">
        <v>142</v>
      </c>
      <c r="AO7" s="135" t="n">
        <v>510</v>
      </c>
      <c r="AP7" s="135" t="n">
        <v>154</v>
      </c>
      <c r="AQ7" s="135" t="n">
        <v>289</v>
      </c>
      <c r="AR7" s="135" t="n">
        <v>302</v>
      </c>
      <c r="AS7" s="135" t="n">
        <v>150</v>
      </c>
      <c r="AT7" s="135" t="n">
        <v>94</v>
      </c>
      <c r="AU7" s="135" t="n">
        <v>57</v>
      </c>
      <c r="AV7" s="135" t="n">
        <v>91</v>
      </c>
      <c r="AW7" s="135" t="n">
        <v>50</v>
      </c>
      <c r="AX7" s="135" t="n">
        <v>55</v>
      </c>
      <c r="AY7" s="135" t="n">
        <v>53</v>
      </c>
      <c r="AZ7" s="135" t="n">
        <v>53</v>
      </c>
      <c r="BA7" s="135" t="n">
        <v>136</v>
      </c>
      <c r="BB7" s="135" t="n">
        <v>14</v>
      </c>
      <c r="BC7" s="136" t="n">
        <v>0.42</v>
      </c>
      <c r="BD7" s="137" t="n">
        <v>52.5</v>
      </c>
      <c r="BE7" s="137" t="n">
        <v>26.9</v>
      </c>
      <c r="BF7" s="137" t="n">
        <v>49.9</v>
      </c>
      <c r="BG7" s="137" t="n">
        <v>31.2</v>
      </c>
      <c r="BH7" s="135" t="n">
        <v>106</v>
      </c>
      <c r="BI7" s="138" t="n">
        <v>35.1</v>
      </c>
    </row>
    <row r="8" ht="30" customHeight="1">
      <c r="A8" s="3" t="inlineStr">
        <is>
          <t>NORD</t>
        </is>
      </c>
      <c r="B8" s="3" t="inlineStr">
        <is>
          <t>ENTREPONT</t>
        </is>
      </c>
      <c r="C8" s="3" t="inlineStr">
        <is>
          <t>Entrepont-Cartigny</t>
        </is>
      </c>
      <c r="D8" s="135" t="n">
        <v>892</v>
      </c>
      <c r="E8" s="135" t="n">
        <v>316</v>
      </c>
      <c r="F8" s="135" t="n">
        <v>245</v>
      </c>
      <c r="G8" s="135" t="n">
        <v>107</v>
      </c>
      <c r="H8" s="135" t="n">
        <v>10</v>
      </c>
      <c r="I8" s="135" t="n">
        <v>571</v>
      </c>
      <c r="J8" s="135" t="n">
        <v>105</v>
      </c>
      <c r="K8" s="135" t="n">
        <v>263</v>
      </c>
      <c r="L8" s="135" t="n">
        <v>204</v>
      </c>
      <c r="M8" s="135" t="n">
        <v>2425</v>
      </c>
      <c r="N8" s="135" t="n">
        <v>352</v>
      </c>
      <c r="O8" s="135" t="n">
        <v>245</v>
      </c>
      <c r="P8" s="135" t="n">
        <v>107</v>
      </c>
      <c r="Q8" s="135" t="n">
        <v>20</v>
      </c>
      <c r="R8" s="135" t="n">
        <v>2053</v>
      </c>
      <c r="S8" s="135" t="n">
        <v>214</v>
      </c>
      <c r="T8" s="135" t="n">
        <v>1220</v>
      </c>
      <c r="U8" s="135" t="n">
        <v>619</v>
      </c>
      <c r="V8" s="135" t="n">
        <v>702</v>
      </c>
      <c r="W8" s="135" t="n">
        <v>10</v>
      </c>
      <c r="X8" s="135" t="n">
        <v>119</v>
      </c>
      <c r="Y8" s="135" t="n">
        <v>75</v>
      </c>
      <c r="Z8" s="135" t="n">
        <v>93</v>
      </c>
      <c r="AA8" s="135" t="n">
        <v>755</v>
      </c>
      <c r="AB8" s="135" t="n">
        <v>0</v>
      </c>
      <c r="AC8" s="135" t="n">
        <v>22</v>
      </c>
      <c r="AD8" s="135" t="n">
        <v>20</v>
      </c>
      <c r="AE8" s="135" t="n">
        <v>84</v>
      </c>
      <c r="AF8" s="135" t="n">
        <v>184</v>
      </c>
      <c r="AG8" s="135" t="n">
        <v>250</v>
      </c>
      <c r="AH8" s="135" t="n">
        <v>162</v>
      </c>
      <c r="AI8" s="135" t="n">
        <v>211</v>
      </c>
      <c r="AJ8" s="135" t="n">
        <v>0</v>
      </c>
      <c r="AK8" s="135" t="n">
        <v>82</v>
      </c>
      <c r="AL8" s="135" t="n">
        <v>57</v>
      </c>
      <c r="AM8" s="135" t="n">
        <v>188</v>
      </c>
      <c r="AN8" s="135" t="n">
        <v>576</v>
      </c>
      <c r="AO8" s="135" t="n">
        <v>820</v>
      </c>
      <c r="AP8" s="135" t="n">
        <v>308</v>
      </c>
      <c r="AQ8" s="135" t="n">
        <v>393</v>
      </c>
      <c r="AR8" s="135" t="n">
        <v>581</v>
      </c>
      <c r="AS8" s="135" t="n">
        <v>263</v>
      </c>
      <c r="AT8" s="135" t="n">
        <v>213</v>
      </c>
      <c r="AU8" s="135" t="n">
        <v>105</v>
      </c>
      <c r="AV8" s="135" t="n">
        <v>184</v>
      </c>
      <c r="AW8" s="135" t="n">
        <v>136</v>
      </c>
      <c r="AX8" s="135" t="n">
        <v>116</v>
      </c>
      <c r="AY8" s="135" t="n">
        <v>78</v>
      </c>
      <c r="AZ8" s="135" t="n">
        <v>66</v>
      </c>
      <c r="BA8" s="135" t="n">
        <v>228</v>
      </c>
      <c r="BB8" s="135" t="n">
        <v>35</v>
      </c>
      <c r="BC8" s="136" t="n">
        <v>0.85</v>
      </c>
      <c r="BD8" s="137" t="n">
        <v>64.09999999999999</v>
      </c>
      <c r="BE8" s="137" t="n">
        <v>29.5</v>
      </c>
      <c r="BF8" s="137" t="n">
        <v>45.3</v>
      </c>
      <c r="BG8" s="137" t="n">
        <v>36.7</v>
      </c>
      <c r="BH8" s="135" t="n">
        <v>145</v>
      </c>
      <c r="BI8" s="138" t="n">
        <v>24.9</v>
      </c>
    </row>
    <row r="9" ht="30" customHeight="1">
      <c r="A9" s="3" t="inlineStr">
        <is>
          <t>NORD</t>
        </is>
      </c>
      <c r="B9" s="3" t="inlineStr">
        <is>
          <t>HUTIN - ORAN - CARTIGNY</t>
        </is>
      </c>
      <c r="C9" s="3" t="inlineStr">
        <is>
          <t>Hutin-Oran</t>
        </is>
      </c>
      <c r="D9" s="135" t="n">
        <v>807</v>
      </c>
      <c r="E9" s="135" t="n">
        <v>270</v>
      </c>
      <c r="F9" s="135" t="n">
        <v>138</v>
      </c>
      <c r="G9" s="135" t="n">
        <v>142</v>
      </c>
      <c r="H9" s="135" t="n">
        <v>4</v>
      </c>
      <c r="I9" s="135" t="n">
        <v>507</v>
      </c>
      <c r="J9" s="135" t="n">
        <v>152</v>
      </c>
      <c r="K9" s="135" t="n">
        <v>200</v>
      </c>
      <c r="L9" s="135" t="n">
        <v>155</v>
      </c>
      <c r="M9" s="135" t="n">
        <v>2071</v>
      </c>
      <c r="N9" s="135" t="n">
        <v>280</v>
      </c>
      <c r="O9" s="135" t="n">
        <v>138</v>
      </c>
      <c r="P9" s="135" t="n">
        <v>142</v>
      </c>
      <c r="Q9" s="135" t="n">
        <v>8</v>
      </c>
      <c r="R9" s="135" t="n">
        <v>1783</v>
      </c>
      <c r="S9" s="135" t="n">
        <v>315</v>
      </c>
      <c r="T9" s="135" t="n">
        <v>972</v>
      </c>
      <c r="U9" s="135" t="n">
        <v>496</v>
      </c>
      <c r="V9" s="135" t="n">
        <v>727</v>
      </c>
      <c r="W9" s="135" t="n">
        <v>0</v>
      </c>
      <c r="X9" s="135" t="n">
        <v>67</v>
      </c>
      <c r="Y9" s="135" t="n">
        <v>87</v>
      </c>
      <c r="Z9" s="135" t="n">
        <v>118</v>
      </c>
      <c r="AA9" s="135" t="n">
        <v>584</v>
      </c>
      <c r="AB9" s="135" t="n">
        <v>0</v>
      </c>
      <c r="AC9" s="135" t="n">
        <v>11</v>
      </c>
      <c r="AD9" s="135" t="n">
        <v>31</v>
      </c>
      <c r="AE9" s="135" t="n">
        <v>99</v>
      </c>
      <c r="AF9" s="135" t="n">
        <v>132</v>
      </c>
      <c r="AG9" s="135" t="n">
        <v>209</v>
      </c>
      <c r="AH9" s="135" t="n">
        <v>233</v>
      </c>
      <c r="AI9" s="135" t="n">
        <v>77</v>
      </c>
      <c r="AJ9" s="135" t="n">
        <v>0</v>
      </c>
      <c r="AK9" s="135" t="n">
        <v>58</v>
      </c>
      <c r="AL9" s="135" t="n">
        <v>65</v>
      </c>
      <c r="AM9" s="135" t="n">
        <v>337</v>
      </c>
      <c r="AN9" s="135" t="n">
        <v>375</v>
      </c>
      <c r="AO9" s="135" t="n">
        <v>646</v>
      </c>
      <c r="AP9" s="135" t="n">
        <v>370</v>
      </c>
      <c r="AQ9" s="135" t="n">
        <v>221</v>
      </c>
      <c r="AR9" s="135" t="n">
        <v>514</v>
      </c>
      <c r="AS9" s="135" t="n">
        <v>200</v>
      </c>
      <c r="AT9" s="135" t="n">
        <v>162</v>
      </c>
      <c r="AU9" s="135" t="n">
        <v>152</v>
      </c>
      <c r="AV9" s="135" t="n">
        <v>206</v>
      </c>
      <c r="AW9" s="135" t="n">
        <v>70</v>
      </c>
      <c r="AX9" s="135" t="n">
        <v>112</v>
      </c>
      <c r="AY9" s="135" t="n">
        <v>68</v>
      </c>
      <c r="AZ9" s="135" t="n">
        <v>59</v>
      </c>
      <c r="BA9" s="135" t="n">
        <v>168</v>
      </c>
      <c r="BB9" s="135" t="n">
        <v>32</v>
      </c>
      <c r="BC9" s="136" t="n">
        <v>0.42</v>
      </c>
      <c r="BD9" s="137" t="n">
        <v>62.8</v>
      </c>
      <c r="BE9" s="137" t="n">
        <v>24.8</v>
      </c>
      <c r="BF9" s="137" t="n">
        <v>38.9</v>
      </c>
      <c r="BG9" s="137" t="n">
        <v>31.5</v>
      </c>
      <c r="BH9" s="135" t="n">
        <v>127</v>
      </c>
      <c r="BI9" s="138" t="n">
        <v>24.7</v>
      </c>
    </row>
    <row r="10" ht="30" customHeight="1">
      <c r="A10" s="3" t="inlineStr">
        <is>
          <t>NORD</t>
        </is>
      </c>
      <c r="B10" s="3" t="inlineStr">
        <is>
          <t>CUL DE FOUR</t>
        </is>
      </c>
      <c r="C10" s="3" t="inlineStr">
        <is>
          <t>Cul de Four</t>
        </is>
      </c>
      <c r="D10" s="135" t="n">
        <v>1059</v>
      </c>
      <c r="E10" s="135" t="n">
        <v>274</v>
      </c>
      <c r="F10" s="135" t="n">
        <v>136</v>
      </c>
      <c r="G10" s="135" t="n">
        <v>137</v>
      </c>
      <c r="H10" s="135" t="n">
        <v>29</v>
      </c>
      <c r="I10" s="135" t="n">
        <v>734</v>
      </c>
      <c r="J10" s="135" t="n">
        <v>155</v>
      </c>
      <c r="K10" s="135" t="n">
        <v>363</v>
      </c>
      <c r="L10" s="135" t="n">
        <v>216</v>
      </c>
      <c r="M10" s="135" t="n">
        <v>3339</v>
      </c>
      <c r="N10" s="135" t="n">
        <v>273</v>
      </c>
      <c r="O10" s="135" t="n">
        <v>136</v>
      </c>
      <c r="P10" s="135" t="n">
        <v>137</v>
      </c>
      <c r="Q10" s="135" t="n">
        <v>63</v>
      </c>
      <c r="R10" s="135" t="n">
        <v>3003</v>
      </c>
      <c r="S10" s="135" t="n">
        <v>344</v>
      </c>
      <c r="T10" s="135" t="n">
        <v>1883</v>
      </c>
      <c r="U10" s="135" t="n">
        <v>777</v>
      </c>
      <c r="V10" s="135" t="n">
        <v>919</v>
      </c>
      <c r="W10" s="135" t="n">
        <v>0</v>
      </c>
      <c r="X10" s="135" t="n">
        <v>201</v>
      </c>
      <c r="Y10" s="135" t="n">
        <v>132</v>
      </c>
      <c r="Z10" s="135" t="n">
        <v>123</v>
      </c>
      <c r="AA10" s="135" t="n">
        <v>1105</v>
      </c>
      <c r="AB10" s="135" t="n">
        <v>0</v>
      </c>
      <c r="AC10" s="135" t="n">
        <v>27</v>
      </c>
      <c r="AD10" s="135" t="n">
        <v>28</v>
      </c>
      <c r="AE10" s="135" t="n">
        <v>66</v>
      </c>
      <c r="AF10" s="135" t="n">
        <v>172</v>
      </c>
      <c r="AG10" s="135" t="n">
        <v>327</v>
      </c>
      <c r="AH10" s="135" t="n">
        <v>213</v>
      </c>
      <c r="AI10" s="135" t="n">
        <v>204</v>
      </c>
      <c r="AJ10" s="135" t="n">
        <v>0</v>
      </c>
      <c r="AK10" s="135" t="n">
        <v>96</v>
      </c>
      <c r="AL10" s="135" t="n">
        <v>80</v>
      </c>
      <c r="AM10" s="135" t="n">
        <v>221</v>
      </c>
      <c r="AN10" s="135" t="n">
        <v>673</v>
      </c>
      <c r="AO10" s="135" t="n">
        <v>1254</v>
      </c>
      <c r="AP10" s="135" t="n">
        <v>415</v>
      </c>
      <c r="AQ10" s="135" t="n">
        <v>600</v>
      </c>
      <c r="AR10" s="135" t="n">
        <v>758</v>
      </c>
      <c r="AS10" s="135" t="n">
        <v>363</v>
      </c>
      <c r="AT10" s="135" t="n">
        <v>230</v>
      </c>
      <c r="AU10" s="135" t="n">
        <v>164</v>
      </c>
      <c r="AV10" s="135" t="n">
        <v>273</v>
      </c>
      <c r="AW10" s="135" t="n">
        <v>113</v>
      </c>
      <c r="AX10" s="135" t="n">
        <v>100</v>
      </c>
      <c r="AY10" s="135" t="n">
        <v>123</v>
      </c>
      <c r="AZ10" s="135" t="n">
        <v>150</v>
      </c>
      <c r="BA10" s="135" t="n">
        <v>307</v>
      </c>
      <c r="BB10" s="135" t="n">
        <v>56</v>
      </c>
      <c r="BC10" s="136" t="n">
        <v>0.5600000000000001</v>
      </c>
      <c r="BD10" s="137" t="n">
        <v>69.3</v>
      </c>
      <c r="BE10" s="137" t="n">
        <v>34.3</v>
      </c>
      <c r="BF10" s="137" t="n">
        <v>47.9</v>
      </c>
      <c r="BG10" s="137" t="n">
        <v>30.4</v>
      </c>
      <c r="BH10" s="135" t="n">
        <v>272</v>
      </c>
      <c r="BI10" s="138" t="n">
        <v>35.9</v>
      </c>
    </row>
    <row r="11" ht="30" customHeight="1">
      <c r="A11" s="3" t="inlineStr">
        <is>
          <t>NORD</t>
        </is>
      </c>
      <c r="B11" s="3" t="inlineStr">
        <is>
          <t>HOMMELET</t>
        </is>
      </c>
      <c r="C11" s="3" t="inlineStr">
        <is>
          <t>Hommelet Nord</t>
        </is>
      </c>
      <c r="D11" s="135" t="n">
        <v>796</v>
      </c>
      <c r="E11" s="135" t="n">
        <v>232</v>
      </c>
      <c r="F11" s="135" t="n">
        <v>165</v>
      </c>
      <c r="G11" s="135" t="n">
        <v>96</v>
      </c>
      <c r="H11" s="135" t="n">
        <v>10</v>
      </c>
      <c r="I11" s="135" t="n">
        <v>586</v>
      </c>
      <c r="J11" s="135" t="n">
        <v>156</v>
      </c>
      <c r="K11" s="135" t="n">
        <v>287</v>
      </c>
      <c r="L11" s="135" t="n">
        <v>142</v>
      </c>
      <c r="M11" s="135" t="n">
        <v>2431</v>
      </c>
      <c r="N11" s="135" t="n">
        <v>262</v>
      </c>
      <c r="O11" s="135" t="n">
        <v>165</v>
      </c>
      <c r="P11" s="135" t="n">
        <v>96</v>
      </c>
      <c r="Q11" s="135" t="n">
        <v>25</v>
      </c>
      <c r="R11" s="135" t="n">
        <v>2145</v>
      </c>
      <c r="S11" s="135" t="n">
        <v>331</v>
      </c>
      <c r="T11" s="135" t="n">
        <v>1354</v>
      </c>
      <c r="U11" s="135" t="n">
        <v>460</v>
      </c>
      <c r="V11" s="135" t="n">
        <v>718</v>
      </c>
      <c r="W11" s="135" t="n">
        <v>9</v>
      </c>
      <c r="X11" s="135" t="n">
        <v>148</v>
      </c>
      <c r="Y11" s="135" t="n">
        <v>33</v>
      </c>
      <c r="Z11" s="135" t="n">
        <v>51</v>
      </c>
      <c r="AA11" s="135" t="n">
        <v>715</v>
      </c>
      <c r="AB11" s="135" t="n">
        <v>0</v>
      </c>
      <c r="AC11" s="135" t="n">
        <v>27</v>
      </c>
      <c r="AD11" s="135" t="n">
        <v>66</v>
      </c>
      <c r="AE11" s="135" t="n">
        <v>86</v>
      </c>
      <c r="AF11" s="135" t="n">
        <v>99</v>
      </c>
      <c r="AG11" s="135" t="n">
        <v>265</v>
      </c>
      <c r="AH11" s="135" t="n">
        <v>182</v>
      </c>
      <c r="AI11" s="135" t="n">
        <v>133</v>
      </c>
      <c r="AJ11" s="135" t="n">
        <v>0</v>
      </c>
      <c r="AK11" s="135" t="n">
        <v>115</v>
      </c>
      <c r="AL11" s="135" t="n">
        <v>190</v>
      </c>
      <c r="AM11" s="135" t="n">
        <v>284</v>
      </c>
      <c r="AN11" s="135" t="n">
        <v>269</v>
      </c>
      <c r="AO11" s="135" t="n">
        <v>879</v>
      </c>
      <c r="AP11" s="135" t="n">
        <v>313</v>
      </c>
      <c r="AQ11" s="135" t="n">
        <v>381</v>
      </c>
      <c r="AR11" s="135" t="n">
        <v>596</v>
      </c>
      <c r="AS11" s="135" t="n">
        <v>287</v>
      </c>
      <c r="AT11" s="135" t="n">
        <v>151</v>
      </c>
      <c r="AU11" s="135" t="n">
        <v>157</v>
      </c>
      <c r="AV11" s="135" t="n">
        <v>210</v>
      </c>
      <c r="AW11" s="135" t="n">
        <v>104</v>
      </c>
      <c r="AX11" s="135" t="n">
        <v>92</v>
      </c>
      <c r="AY11" s="135" t="n">
        <v>114</v>
      </c>
      <c r="AZ11" s="135" t="n">
        <v>76</v>
      </c>
      <c r="BA11" s="135" t="n">
        <v>250</v>
      </c>
      <c r="BB11" s="135" t="n">
        <v>37</v>
      </c>
      <c r="BC11" s="136" t="n">
        <v>0.18</v>
      </c>
      <c r="BD11" s="137" t="n">
        <v>73.59999999999999</v>
      </c>
      <c r="BE11" s="137" t="n">
        <v>36.1</v>
      </c>
      <c r="BF11" s="137" t="n">
        <v>48.2</v>
      </c>
      <c r="BG11" s="137" t="n">
        <v>25.3</v>
      </c>
      <c r="BH11" s="135" t="n">
        <v>189</v>
      </c>
      <c r="BI11" s="138" t="n">
        <v>31.8</v>
      </c>
    </row>
    <row r="12" ht="30" customHeight="1">
      <c r="A12" s="3" t="inlineStr">
        <is>
          <t>NORD</t>
        </is>
      </c>
      <c r="B12" s="3" t="inlineStr">
        <is>
          <t>HOMMELET</t>
        </is>
      </c>
      <c r="C12" s="3" t="inlineStr">
        <is>
          <t>Hommelet Centre</t>
        </is>
      </c>
      <c r="D12" s="135" t="n">
        <v>986</v>
      </c>
      <c r="E12" s="135" t="n">
        <v>331</v>
      </c>
      <c r="F12" s="135" t="n">
        <v>178</v>
      </c>
      <c r="G12" s="135" t="n">
        <v>188</v>
      </c>
      <c r="H12" s="135" t="n">
        <v>17</v>
      </c>
      <c r="I12" s="135" t="n">
        <v>659</v>
      </c>
      <c r="J12" s="135" t="n">
        <v>141</v>
      </c>
      <c r="K12" s="135" t="n">
        <v>290</v>
      </c>
      <c r="L12" s="135" t="n">
        <v>229</v>
      </c>
      <c r="M12" s="135" t="n">
        <v>2832</v>
      </c>
      <c r="N12" s="135" t="n">
        <v>366</v>
      </c>
      <c r="O12" s="135" t="n">
        <v>178</v>
      </c>
      <c r="P12" s="135" t="n">
        <v>188</v>
      </c>
      <c r="Q12" s="135" t="n">
        <v>51</v>
      </c>
      <c r="R12" s="135" t="n">
        <v>2415</v>
      </c>
      <c r="S12" s="135" t="n">
        <v>282</v>
      </c>
      <c r="T12" s="135" t="n">
        <v>1354</v>
      </c>
      <c r="U12" s="135" t="n">
        <v>779</v>
      </c>
      <c r="V12" s="135" t="n">
        <v>724</v>
      </c>
      <c r="W12" s="135" t="n">
        <v>18</v>
      </c>
      <c r="X12" s="135" t="n">
        <v>111</v>
      </c>
      <c r="Y12" s="135" t="n">
        <v>130</v>
      </c>
      <c r="Z12" s="135" t="n">
        <v>157</v>
      </c>
      <c r="AA12" s="135" t="n">
        <v>888</v>
      </c>
      <c r="AB12" s="135" t="n">
        <v>0</v>
      </c>
      <c r="AC12" s="135" t="n">
        <v>47</v>
      </c>
      <c r="AD12" s="135" t="n">
        <v>32</v>
      </c>
      <c r="AE12" s="135" t="n">
        <v>97</v>
      </c>
      <c r="AF12" s="135" t="n">
        <v>223</v>
      </c>
      <c r="AG12" s="135" t="n">
        <v>266</v>
      </c>
      <c r="AH12" s="135" t="n">
        <v>222</v>
      </c>
      <c r="AI12" s="135" t="n">
        <v>154</v>
      </c>
      <c r="AJ12" s="135" t="n">
        <v>0</v>
      </c>
      <c r="AK12" s="135" t="n">
        <v>195</v>
      </c>
      <c r="AL12" s="135" t="n">
        <v>109</v>
      </c>
      <c r="AM12" s="135" t="n">
        <v>292</v>
      </c>
      <c r="AN12" s="135" t="n">
        <v>587</v>
      </c>
      <c r="AO12" s="135" t="n">
        <v>831</v>
      </c>
      <c r="AP12" s="135" t="n">
        <v>395</v>
      </c>
      <c r="AQ12" s="135" t="n">
        <v>422</v>
      </c>
      <c r="AR12" s="135" t="n">
        <v>667</v>
      </c>
      <c r="AS12" s="135" t="n">
        <v>289</v>
      </c>
      <c r="AT12" s="135" t="n">
        <v>235</v>
      </c>
      <c r="AU12" s="135" t="n">
        <v>142</v>
      </c>
      <c r="AV12" s="135" t="n">
        <v>194</v>
      </c>
      <c r="AW12" s="135" t="n">
        <v>130</v>
      </c>
      <c r="AX12" s="135" t="n">
        <v>118</v>
      </c>
      <c r="AY12" s="135" t="n">
        <v>136</v>
      </c>
      <c r="AZ12" s="135" t="n">
        <v>89</v>
      </c>
      <c r="BA12" s="135" t="n">
        <v>256</v>
      </c>
      <c r="BB12" s="135" t="n">
        <v>33</v>
      </c>
      <c r="BC12" s="136" t="n">
        <v>0.28</v>
      </c>
      <c r="BD12" s="137" t="n">
        <v>66.90000000000001</v>
      </c>
      <c r="BE12" s="137" t="n">
        <v>29.4</v>
      </c>
      <c r="BF12" s="137" t="n">
        <v>43.4</v>
      </c>
      <c r="BG12" s="137" t="n">
        <v>35.3</v>
      </c>
      <c r="BH12" s="135" t="n">
        <v>225</v>
      </c>
      <c r="BI12" s="138" t="n">
        <v>33.7</v>
      </c>
    </row>
    <row r="13" ht="30" customHeight="1">
      <c r="A13" s="3" t="inlineStr">
        <is>
          <t>NORD</t>
        </is>
      </c>
      <c r="B13" s="3" t="inlineStr">
        <is>
          <t>HOMMELET</t>
        </is>
      </c>
      <c r="C13" s="3" t="inlineStr">
        <is>
          <t>Hommelet Sud</t>
        </is>
      </c>
      <c r="D13" s="135" t="n">
        <v>931</v>
      </c>
      <c r="E13" s="135" t="n">
        <v>379</v>
      </c>
      <c r="F13" s="135" t="n">
        <v>223</v>
      </c>
      <c r="G13" s="135" t="n">
        <v>190</v>
      </c>
      <c r="H13" s="135" t="n">
        <v>27</v>
      </c>
      <c r="I13" s="135" t="n">
        <v>567</v>
      </c>
      <c r="J13" s="135" t="n">
        <v>118</v>
      </c>
      <c r="K13" s="135" t="n">
        <v>231</v>
      </c>
      <c r="L13" s="135" t="n">
        <v>218</v>
      </c>
      <c r="M13" s="135" t="n">
        <v>2389</v>
      </c>
      <c r="N13" s="135" t="n">
        <v>414</v>
      </c>
      <c r="O13" s="135" t="n">
        <v>223</v>
      </c>
      <c r="P13" s="135" t="n">
        <v>190</v>
      </c>
      <c r="Q13" s="135" t="n">
        <v>71</v>
      </c>
      <c r="R13" s="135" t="n">
        <v>1904</v>
      </c>
      <c r="S13" s="135" t="n">
        <v>240</v>
      </c>
      <c r="T13" s="135" t="n">
        <v>1009</v>
      </c>
      <c r="U13" s="135" t="n">
        <v>656</v>
      </c>
      <c r="V13" s="135" t="n">
        <v>544</v>
      </c>
      <c r="W13" s="135" t="n">
        <v>70</v>
      </c>
      <c r="X13" s="135" t="n">
        <v>90</v>
      </c>
      <c r="Y13" s="135" t="n">
        <v>98</v>
      </c>
      <c r="Z13" s="135" t="n">
        <v>168</v>
      </c>
      <c r="AA13" s="135" t="n">
        <v>852</v>
      </c>
      <c r="AB13" s="135" t="n">
        <v>0</v>
      </c>
      <c r="AC13" s="135" t="n">
        <v>34</v>
      </c>
      <c r="AD13" s="135" t="n">
        <v>87</v>
      </c>
      <c r="AE13" s="135" t="n">
        <v>74</v>
      </c>
      <c r="AF13" s="135" t="n">
        <v>188</v>
      </c>
      <c r="AG13" s="135" t="n">
        <v>280</v>
      </c>
      <c r="AH13" s="135" t="n">
        <v>182</v>
      </c>
      <c r="AI13" s="135" t="n">
        <v>163</v>
      </c>
      <c r="AJ13" s="135" t="n">
        <v>0</v>
      </c>
      <c r="AK13" s="135" t="n">
        <v>89</v>
      </c>
      <c r="AL13" s="135" t="n">
        <v>216</v>
      </c>
      <c r="AM13" s="135" t="n">
        <v>190</v>
      </c>
      <c r="AN13" s="135" t="n">
        <v>483</v>
      </c>
      <c r="AO13" s="135" t="n">
        <v>811</v>
      </c>
      <c r="AP13" s="135" t="n">
        <v>255</v>
      </c>
      <c r="AQ13" s="135" t="n">
        <v>343</v>
      </c>
      <c r="AR13" s="135" t="n">
        <v>567</v>
      </c>
      <c r="AS13" s="135" t="n">
        <v>231</v>
      </c>
      <c r="AT13" s="135" t="n">
        <v>218</v>
      </c>
      <c r="AU13" s="135" t="n">
        <v>118</v>
      </c>
      <c r="AV13" s="135" t="n">
        <v>159</v>
      </c>
      <c r="AW13" s="135" t="n">
        <v>141</v>
      </c>
      <c r="AX13" s="135" t="n">
        <v>113</v>
      </c>
      <c r="AY13" s="135" t="n">
        <v>103</v>
      </c>
      <c r="AZ13" s="135" t="n">
        <v>51</v>
      </c>
      <c r="BA13" s="135" t="n">
        <v>193</v>
      </c>
      <c r="BB13" s="135" t="n">
        <v>38</v>
      </c>
      <c r="BC13" s="136" t="n">
        <v>0.21</v>
      </c>
      <c r="BD13" s="137" t="n">
        <v>60.9</v>
      </c>
      <c r="BE13" s="137" t="n">
        <v>24.8</v>
      </c>
      <c r="BF13" s="137" t="n">
        <v>40.7</v>
      </c>
      <c r="BG13" s="137" t="n">
        <v>38.5</v>
      </c>
      <c r="BH13" s="135" t="n">
        <v>154</v>
      </c>
      <c r="BI13" s="138" t="n">
        <v>27.2</v>
      </c>
    </row>
    <row r="14" ht="30" customHeight="1">
      <c r="A14" s="3" t="inlineStr">
        <is>
          <t>OUEST</t>
        </is>
      </c>
      <c r="B14" s="3" t="inlineStr">
        <is>
          <t>EPEULE</t>
        </is>
      </c>
      <c r="C14" s="3" t="inlineStr">
        <is>
          <t>Épeule Nord</t>
        </is>
      </c>
      <c r="D14" s="135" t="n">
        <v>708</v>
      </c>
      <c r="E14" s="135" t="n">
        <v>234</v>
      </c>
      <c r="F14" s="135" t="n">
        <v>124</v>
      </c>
      <c r="G14" s="135" t="n">
        <v>89</v>
      </c>
      <c r="H14" s="135" t="n">
        <v>18</v>
      </c>
      <c r="I14" s="135" t="n">
        <v>389</v>
      </c>
      <c r="J14" s="135" t="n">
        <v>87</v>
      </c>
      <c r="K14" s="135" t="n">
        <v>203</v>
      </c>
      <c r="L14" s="135" t="n">
        <v>98</v>
      </c>
      <c r="M14" s="135" t="n">
        <v>1748</v>
      </c>
      <c r="N14" s="135" t="n">
        <v>213</v>
      </c>
      <c r="O14" s="135" t="n">
        <v>124</v>
      </c>
      <c r="P14" s="135" t="n">
        <v>89</v>
      </c>
      <c r="Q14" s="135" t="n">
        <v>54</v>
      </c>
      <c r="R14" s="135" t="n">
        <v>1481</v>
      </c>
      <c r="S14" s="135" t="n">
        <v>177</v>
      </c>
      <c r="T14" s="135" t="n">
        <v>992</v>
      </c>
      <c r="U14" s="135" t="n">
        <v>311</v>
      </c>
      <c r="V14" s="135" t="n">
        <v>590</v>
      </c>
      <c r="W14" s="135" t="n">
        <v>3</v>
      </c>
      <c r="X14" s="135" t="n">
        <v>62</v>
      </c>
      <c r="Y14" s="135" t="n">
        <v>68</v>
      </c>
      <c r="Z14" s="135" t="n">
        <v>131</v>
      </c>
      <c r="AA14" s="135" t="n">
        <v>618</v>
      </c>
      <c r="AB14" s="135" t="n">
        <v>0</v>
      </c>
      <c r="AC14" s="135" t="n">
        <v>28</v>
      </c>
      <c r="AD14" s="135" t="n">
        <v>5</v>
      </c>
      <c r="AE14" s="135" t="n">
        <v>45</v>
      </c>
      <c r="AF14" s="135" t="n">
        <v>126</v>
      </c>
      <c r="AG14" s="135" t="n">
        <v>169</v>
      </c>
      <c r="AH14" s="135" t="n">
        <v>138</v>
      </c>
      <c r="AI14" s="135" t="n">
        <v>110</v>
      </c>
      <c r="AJ14" s="135" t="n">
        <v>0</v>
      </c>
      <c r="AK14" s="135" t="n">
        <v>80</v>
      </c>
      <c r="AL14" s="135" t="n">
        <v>8</v>
      </c>
      <c r="AM14" s="135" t="n">
        <v>132</v>
      </c>
      <c r="AN14" s="135" t="n">
        <v>410</v>
      </c>
      <c r="AO14" s="135" t="n">
        <v>610</v>
      </c>
      <c r="AP14" s="135" t="n">
        <v>237</v>
      </c>
      <c r="AQ14" s="135" t="n">
        <v>270</v>
      </c>
      <c r="AR14" s="135" t="n">
        <v>388</v>
      </c>
      <c r="AS14" s="135" t="n">
        <v>203</v>
      </c>
      <c r="AT14" s="135" t="n">
        <v>98</v>
      </c>
      <c r="AU14" s="135" t="n">
        <v>87</v>
      </c>
      <c r="AV14" s="135" t="n">
        <v>150</v>
      </c>
      <c r="AW14" s="135" t="n">
        <v>51</v>
      </c>
      <c r="AX14" s="135" t="n">
        <v>66</v>
      </c>
      <c r="AY14" s="135" t="n">
        <v>50</v>
      </c>
      <c r="AZ14" s="135" t="n">
        <v>71</v>
      </c>
      <c r="BA14" s="135" t="n">
        <v>176</v>
      </c>
      <c r="BB14" s="135" t="n">
        <v>28</v>
      </c>
      <c r="BC14" s="136" t="n">
        <v>0.15</v>
      </c>
      <c r="BD14" s="137" t="n">
        <v>54.9</v>
      </c>
      <c r="BE14" s="137" t="n">
        <v>28.7</v>
      </c>
      <c r="BF14" s="137" t="n">
        <v>52.4</v>
      </c>
      <c r="BG14" s="137" t="n">
        <v>25.2</v>
      </c>
      <c r="BH14" s="135" t="n">
        <v>121</v>
      </c>
      <c r="BI14" s="138" t="n">
        <v>31</v>
      </c>
    </row>
    <row r="15" ht="30" customHeight="1">
      <c r="A15" s="3" t="inlineStr">
        <is>
          <t>OUEST</t>
        </is>
      </c>
      <c r="B15" s="3" t="inlineStr">
        <is>
          <t>EPEULE</t>
        </is>
      </c>
      <c r="C15" s="3" t="inlineStr">
        <is>
          <t>Épeule Centre</t>
        </is>
      </c>
      <c r="D15" s="135" t="n">
        <v>991</v>
      </c>
      <c r="E15" s="135" t="n">
        <v>377</v>
      </c>
      <c r="F15" s="135" t="n">
        <v>183</v>
      </c>
      <c r="G15" s="135" t="n">
        <v>169</v>
      </c>
      <c r="H15" s="135" t="n">
        <v>20</v>
      </c>
      <c r="I15" s="135" t="n">
        <v>570</v>
      </c>
      <c r="J15" s="135" t="n">
        <v>118</v>
      </c>
      <c r="K15" s="135" t="n">
        <v>259</v>
      </c>
      <c r="L15" s="135" t="n">
        <v>193</v>
      </c>
      <c r="M15" s="135" t="n">
        <v>2393</v>
      </c>
      <c r="N15" s="135" t="n">
        <v>352</v>
      </c>
      <c r="O15" s="135" t="n">
        <v>183</v>
      </c>
      <c r="P15" s="135" t="n">
        <v>169</v>
      </c>
      <c r="Q15" s="135" t="n">
        <v>49</v>
      </c>
      <c r="R15" s="135" t="n">
        <v>1992</v>
      </c>
      <c r="S15" s="135" t="n">
        <v>239</v>
      </c>
      <c r="T15" s="135" t="n">
        <v>1148</v>
      </c>
      <c r="U15" s="135" t="n">
        <v>605</v>
      </c>
      <c r="V15" s="135" t="n">
        <v>651</v>
      </c>
      <c r="W15" s="135" t="n">
        <v>33</v>
      </c>
      <c r="X15" s="135" t="n">
        <v>163</v>
      </c>
      <c r="Y15" s="135" t="n">
        <v>91</v>
      </c>
      <c r="Z15" s="135" t="n">
        <v>140</v>
      </c>
      <c r="AA15" s="135" t="n">
        <v>759</v>
      </c>
      <c r="AB15" s="135" t="n">
        <v>0</v>
      </c>
      <c r="AC15" s="135" t="n">
        <v>50</v>
      </c>
      <c r="AD15" s="135" t="n">
        <v>72</v>
      </c>
      <c r="AE15" s="135" t="n">
        <v>80</v>
      </c>
      <c r="AF15" s="135" t="n">
        <v>176</v>
      </c>
      <c r="AG15" s="135" t="n">
        <v>212</v>
      </c>
      <c r="AH15" s="135" t="n">
        <v>145</v>
      </c>
      <c r="AI15" s="135" t="n">
        <v>208</v>
      </c>
      <c r="AJ15" s="135" t="n">
        <v>0</v>
      </c>
      <c r="AK15" s="135" t="n">
        <v>210</v>
      </c>
      <c r="AL15" s="135" t="n">
        <v>147</v>
      </c>
      <c r="AM15" s="135" t="n">
        <v>206</v>
      </c>
      <c r="AN15" s="135" t="n">
        <v>474</v>
      </c>
      <c r="AO15" s="135" t="n">
        <v>611</v>
      </c>
      <c r="AP15" s="135" t="n">
        <v>269</v>
      </c>
      <c r="AQ15" s="135" t="n">
        <v>477</v>
      </c>
      <c r="AR15" s="135" t="n">
        <v>574</v>
      </c>
      <c r="AS15" s="135" t="n">
        <v>259</v>
      </c>
      <c r="AT15" s="135" t="n">
        <v>197</v>
      </c>
      <c r="AU15" s="135" t="n">
        <v>118</v>
      </c>
      <c r="AV15" s="135" t="n">
        <v>183</v>
      </c>
      <c r="AW15" s="135" t="n">
        <v>120</v>
      </c>
      <c r="AX15" s="135" t="n">
        <v>125</v>
      </c>
      <c r="AY15" s="135" t="n">
        <v>74</v>
      </c>
      <c r="AZ15" s="135" t="n">
        <v>70</v>
      </c>
      <c r="BA15" s="135" t="n">
        <v>244</v>
      </c>
      <c r="BB15" s="135" t="n">
        <v>16</v>
      </c>
      <c r="BC15" s="136" t="n">
        <v>0.2</v>
      </c>
      <c r="BD15" s="137" t="n">
        <v>57.5</v>
      </c>
      <c r="BE15" s="137" t="n">
        <v>26.1</v>
      </c>
      <c r="BF15" s="137" t="n">
        <v>45.2</v>
      </c>
      <c r="BG15" s="137" t="n">
        <v>34.3</v>
      </c>
      <c r="BH15" s="135" t="n">
        <v>145</v>
      </c>
      <c r="BI15" s="138" t="n">
        <v>25.2</v>
      </c>
    </row>
    <row r="16" ht="30" customHeight="1">
      <c r="A16" s="3" t="inlineStr">
        <is>
          <t>OUEST</t>
        </is>
      </c>
      <c r="B16" s="3" t="inlineStr">
        <is>
          <t>EPEULE</t>
        </is>
      </c>
      <c r="C16" s="3" t="inlineStr">
        <is>
          <t>Épeule Sud</t>
        </is>
      </c>
      <c r="D16" s="135" t="n">
        <v>794</v>
      </c>
      <c r="E16" s="135" t="n">
        <v>326</v>
      </c>
      <c r="F16" s="135" t="n">
        <v>204</v>
      </c>
      <c r="G16" s="135" t="n">
        <v>152</v>
      </c>
      <c r="H16" s="135" t="n">
        <v>37</v>
      </c>
      <c r="I16" s="135" t="n">
        <v>419</v>
      </c>
      <c r="J16" s="135" t="n">
        <v>110</v>
      </c>
      <c r="K16" s="135" t="n">
        <v>191</v>
      </c>
      <c r="L16" s="135" t="n">
        <v>117</v>
      </c>
      <c r="M16" s="135" t="n">
        <v>1893</v>
      </c>
      <c r="N16" s="135" t="n">
        <v>357</v>
      </c>
      <c r="O16" s="135" t="n">
        <v>204</v>
      </c>
      <c r="P16" s="135" t="n">
        <v>152</v>
      </c>
      <c r="Q16" s="135" t="n">
        <v>92</v>
      </c>
      <c r="R16" s="135" t="n">
        <v>1444</v>
      </c>
      <c r="S16" s="135" t="n">
        <v>232</v>
      </c>
      <c r="T16" s="135" t="n">
        <v>843</v>
      </c>
      <c r="U16" s="135" t="n">
        <v>369</v>
      </c>
      <c r="V16" s="135" t="n">
        <v>486</v>
      </c>
      <c r="W16" s="135" t="n">
        <v>46</v>
      </c>
      <c r="X16" s="135" t="n">
        <v>118</v>
      </c>
      <c r="Y16" s="135" t="n">
        <v>68</v>
      </c>
      <c r="Z16" s="135" t="n">
        <v>81</v>
      </c>
      <c r="AA16" s="135" t="n">
        <v>851</v>
      </c>
      <c r="AB16" s="135" t="n">
        <v>0</v>
      </c>
      <c r="AC16" s="135" t="n">
        <v>36</v>
      </c>
      <c r="AD16" s="135" t="n">
        <v>118</v>
      </c>
      <c r="AE16" s="135" t="n">
        <v>110</v>
      </c>
      <c r="AF16" s="135" t="n">
        <v>142</v>
      </c>
      <c r="AG16" s="135" t="n">
        <v>155</v>
      </c>
      <c r="AH16" s="135" t="n">
        <v>149</v>
      </c>
      <c r="AI16" s="135" t="n">
        <v>101</v>
      </c>
      <c r="AJ16" s="135" t="n">
        <v>0</v>
      </c>
      <c r="AK16" s="135" t="n">
        <v>114</v>
      </c>
      <c r="AL16" s="135" t="n">
        <v>260</v>
      </c>
      <c r="AM16" s="135" t="n">
        <v>307</v>
      </c>
      <c r="AN16" s="135" t="n">
        <v>430</v>
      </c>
      <c r="AO16" s="135" t="n">
        <v>416</v>
      </c>
      <c r="AP16" s="135" t="n">
        <v>207</v>
      </c>
      <c r="AQ16" s="135" t="n">
        <v>158</v>
      </c>
      <c r="AR16" s="135" t="n">
        <v>427</v>
      </c>
      <c r="AS16" s="135" t="n">
        <v>196</v>
      </c>
      <c r="AT16" s="135" t="n">
        <v>121</v>
      </c>
      <c r="AU16" s="135" t="n">
        <v>110</v>
      </c>
      <c r="AV16" s="135" t="n">
        <v>186</v>
      </c>
      <c r="AW16" s="135" t="n">
        <v>73</v>
      </c>
      <c r="AX16" s="135" t="n">
        <v>75</v>
      </c>
      <c r="AY16" s="135" t="n">
        <v>42</v>
      </c>
      <c r="AZ16" s="135" t="n">
        <v>51</v>
      </c>
      <c r="BA16" s="135" t="n">
        <v>183</v>
      </c>
      <c r="BB16" s="135" t="n">
        <v>13</v>
      </c>
      <c r="BC16" s="136" t="n">
        <v>0.15</v>
      </c>
      <c r="BD16" s="137" t="n">
        <v>52.7</v>
      </c>
      <c r="BE16" s="137" t="n">
        <v>24.1</v>
      </c>
      <c r="BF16" s="137" t="n">
        <v>45.8</v>
      </c>
      <c r="BG16" s="137" t="n">
        <v>28.4</v>
      </c>
      <c r="BH16" s="135" t="n">
        <v>93</v>
      </c>
      <c r="BI16" s="138" t="n">
        <v>21.7</v>
      </c>
    </row>
    <row r="17" ht="30" customHeight="1">
      <c r="A17" s="3" t="inlineStr">
        <is>
          <t>OUEST</t>
        </is>
      </c>
      <c r="B17" s="3" t="inlineStr">
        <is>
          <t>TRICHON</t>
        </is>
      </c>
      <c r="C17" s="3" t="inlineStr">
        <is>
          <t>Trichon</t>
        </is>
      </c>
      <c r="D17" s="135" t="n">
        <v>1265</v>
      </c>
      <c r="E17" s="135" t="n">
        <v>624</v>
      </c>
      <c r="F17" s="135" t="n">
        <v>406</v>
      </c>
      <c r="G17" s="135" t="n">
        <v>250</v>
      </c>
      <c r="H17" s="135" t="n">
        <v>34</v>
      </c>
      <c r="I17" s="135" t="n">
        <v>622</v>
      </c>
      <c r="J17" s="135" t="n">
        <v>128</v>
      </c>
      <c r="K17" s="135" t="n">
        <v>280</v>
      </c>
      <c r="L17" s="135" t="n">
        <v>214</v>
      </c>
      <c r="M17" s="135" t="n">
        <v>2941</v>
      </c>
      <c r="N17" s="135" t="n">
        <v>656</v>
      </c>
      <c r="O17" s="135" t="n">
        <v>406</v>
      </c>
      <c r="P17" s="135" t="n">
        <v>250</v>
      </c>
      <c r="Q17" s="135" t="n">
        <v>87</v>
      </c>
      <c r="R17" s="135" t="n">
        <v>2198</v>
      </c>
      <c r="S17" s="135" t="n">
        <v>261</v>
      </c>
      <c r="T17" s="135" t="n">
        <v>1266</v>
      </c>
      <c r="U17" s="135" t="n">
        <v>671</v>
      </c>
      <c r="V17" s="135" t="n">
        <v>666</v>
      </c>
      <c r="W17" s="135" t="n">
        <v>55</v>
      </c>
      <c r="X17" s="135" t="n">
        <v>158</v>
      </c>
      <c r="Y17" s="135" t="n">
        <v>73</v>
      </c>
      <c r="Z17" s="135" t="n">
        <v>139</v>
      </c>
      <c r="AA17" s="135" t="n">
        <v>1093</v>
      </c>
      <c r="AB17" s="135" t="n">
        <v>0</v>
      </c>
      <c r="AC17" s="135" t="n">
        <v>88</v>
      </c>
      <c r="AD17" s="135" t="n">
        <v>125</v>
      </c>
      <c r="AE17" s="135" t="n">
        <v>171</v>
      </c>
      <c r="AF17" s="135" t="n">
        <v>227</v>
      </c>
      <c r="AG17" s="135" t="n">
        <v>220</v>
      </c>
      <c r="AH17" s="135" t="n">
        <v>150</v>
      </c>
      <c r="AI17" s="135" t="n">
        <v>332</v>
      </c>
      <c r="AJ17" s="135" t="n">
        <v>0</v>
      </c>
      <c r="AK17" s="135" t="n">
        <v>256</v>
      </c>
      <c r="AL17" s="135" t="n">
        <v>307</v>
      </c>
      <c r="AM17" s="135" t="n">
        <v>333</v>
      </c>
      <c r="AN17" s="135" t="n">
        <v>622</v>
      </c>
      <c r="AO17" s="135" t="n">
        <v>599</v>
      </c>
      <c r="AP17" s="135" t="n">
        <v>227</v>
      </c>
      <c r="AQ17" s="135" t="n">
        <v>598</v>
      </c>
      <c r="AR17" s="135" t="n">
        <v>626</v>
      </c>
      <c r="AS17" s="135" t="n">
        <v>280</v>
      </c>
      <c r="AT17" s="135" t="n">
        <v>217</v>
      </c>
      <c r="AU17" s="135" t="n">
        <v>128</v>
      </c>
      <c r="AV17" s="135" t="n">
        <v>189</v>
      </c>
      <c r="AW17" s="135" t="n">
        <v>176</v>
      </c>
      <c r="AX17" s="135" t="n">
        <v>88</v>
      </c>
      <c r="AY17" s="135" t="n">
        <v>97</v>
      </c>
      <c r="AZ17" s="135" t="n">
        <v>75</v>
      </c>
      <c r="BA17" s="135" t="n">
        <v>227</v>
      </c>
      <c r="BB17" s="135" t="n">
        <v>53</v>
      </c>
      <c r="BC17" s="136" t="n">
        <v>0.33</v>
      </c>
      <c r="BD17" s="137" t="n">
        <v>49.2</v>
      </c>
      <c r="BE17" s="137" t="n">
        <v>22.2</v>
      </c>
      <c r="BF17" s="137" t="n">
        <v>44.8</v>
      </c>
      <c r="BG17" s="137" t="n">
        <v>34.7</v>
      </c>
      <c r="BH17" s="135" t="n">
        <v>173</v>
      </c>
      <c r="BI17" s="138" t="n">
        <v>27.6</v>
      </c>
    </row>
    <row r="18" ht="30" customHeight="1">
      <c r="A18" s="3" t="inlineStr">
        <is>
          <t>CENTRE</t>
        </is>
      </c>
      <c r="B18" s="3" t="inlineStr">
        <is>
          <t>ESPERANCE/CROUY/CENTRE VILLE</t>
        </is>
      </c>
      <c r="C18" s="3" t="inlineStr">
        <is>
          <t>Espérance Centre</t>
        </is>
      </c>
      <c r="D18" s="135" t="n">
        <v>1960</v>
      </c>
      <c r="E18" s="135" t="n">
        <v>1229</v>
      </c>
      <c r="F18" s="135" t="n">
        <v>800</v>
      </c>
      <c r="G18" s="135" t="n">
        <v>468</v>
      </c>
      <c r="H18" s="135" t="n">
        <v>61</v>
      </c>
      <c r="I18" s="135" t="n">
        <v>659</v>
      </c>
      <c r="J18" s="135" t="n">
        <v>224</v>
      </c>
      <c r="K18" s="135" t="n">
        <v>278</v>
      </c>
      <c r="L18" s="135" t="n">
        <v>156</v>
      </c>
      <c r="M18" s="135" t="n">
        <v>3579</v>
      </c>
      <c r="N18" s="135" t="n">
        <v>1267</v>
      </c>
      <c r="O18" s="135" t="n">
        <v>800</v>
      </c>
      <c r="P18" s="135" t="n">
        <v>468</v>
      </c>
      <c r="Q18" s="135" t="n">
        <v>153</v>
      </c>
      <c r="R18" s="135" t="n">
        <v>2159</v>
      </c>
      <c r="S18" s="135" t="n">
        <v>477</v>
      </c>
      <c r="T18" s="135" t="n">
        <v>1258</v>
      </c>
      <c r="U18" s="135" t="n">
        <v>423</v>
      </c>
      <c r="V18" s="135" t="n">
        <v>762</v>
      </c>
      <c r="W18" s="135" t="n">
        <v>23</v>
      </c>
      <c r="X18" s="135" t="n">
        <v>299</v>
      </c>
      <c r="Y18" s="135" t="n">
        <v>73</v>
      </c>
      <c r="Z18" s="135" t="n">
        <v>150</v>
      </c>
      <c r="AA18" s="135" t="n">
        <v>1551</v>
      </c>
      <c r="AB18" s="135" t="n">
        <v>0</v>
      </c>
      <c r="AC18" s="135" t="n">
        <v>90</v>
      </c>
      <c r="AD18" s="135" t="n">
        <v>197</v>
      </c>
      <c r="AE18" s="135" t="n">
        <v>269</v>
      </c>
      <c r="AF18" s="135" t="n">
        <v>330</v>
      </c>
      <c r="AG18" s="135" t="n">
        <v>292</v>
      </c>
      <c r="AH18" s="135" t="n">
        <v>162</v>
      </c>
      <c r="AI18" s="135" t="n">
        <v>649</v>
      </c>
      <c r="AJ18" s="135" t="n">
        <v>0</v>
      </c>
      <c r="AK18" s="135" t="n">
        <v>244</v>
      </c>
      <c r="AL18" s="135" t="n">
        <v>332</v>
      </c>
      <c r="AM18" s="135" t="n">
        <v>494</v>
      </c>
      <c r="AN18" s="135" t="n">
        <v>682</v>
      </c>
      <c r="AO18" s="135" t="n">
        <v>755</v>
      </c>
      <c r="AP18" s="135" t="n">
        <v>281</v>
      </c>
      <c r="AQ18" s="135" t="n">
        <v>792</v>
      </c>
      <c r="AR18" s="135" t="n">
        <v>674</v>
      </c>
      <c r="AS18" s="135" t="n">
        <v>278</v>
      </c>
      <c r="AT18" s="135" t="n">
        <v>166</v>
      </c>
      <c r="AU18" s="135" t="n">
        <v>230</v>
      </c>
      <c r="AV18" s="135" t="n">
        <v>266</v>
      </c>
      <c r="AW18" s="135" t="n">
        <v>139</v>
      </c>
      <c r="AX18" s="135" t="n">
        <v>141</v>
      </c>
      <c r="AY18" s="135" t="n">
        <v>75</v>
      </c>
      <c r="AZ18" s="135" t="n">
        <v>53</v>
      </c>
      <c r="BA18" s="135" t="n">
        <v>226</v>
      </c>
      <c r="BB18" s="135" t="n">
        <v>52</v>
      </c>
      <c r="BC18" s="136" t="n">
        <v>0.45</v>
      </c>
      <c r="BD18" s="137" t="n">
        <v>33.6</v>
      </c>
      <c r="BE18" s="137" t="n">
        <v>14.2</v>
      </c>
      <c r="BF18" s="137" t="n">
        <v>41.3</v>
      </c>
      <c r="BG18" s="137" t="n">
        <v>24.6</v>
      </c>
      <c r="BH18" s="135" t="n">
        <v>127</v>
      </c>
      <c r="BI18" s="138" t="n">
        <v>18.9</v>
      </c>
    </row>
    <row r="19" ht="30" customHeight="1">
      <c r="A19" s="3" t="inlineStr">
        <is>
          <t>CENTRE</t>
        </is>
      </c>
      <c r="B19" s="3" t="inlineStr">
        <is>
          <t>NATIONS UNIES</t>
        </is>
      </c>
      <c r="C19" s="3" t="inlineStr">
        <is>
          <t>Nations Unies</t>
        </is>
      </c>
      <c r="D19" s="135" t="n">
        <v>1406</v>
      </c>
      <c r="E19" s="135" t="n">
        <v>738</v>
      </c>
      <c r="F19" s="135" t="n">
        <v>446</v>
      </c>
      <c r="G19" s="135" t="n">
        <v>360</v>
      </c>
      <c r="H19" s="135" t="n">
        <v>59</v>
      </c>
      <c r="I19" s="135" t="n">
        <v>632</v>
      </c>
      <c r="J19" s="135" t="n">
        <v>174</v>
      </c>
      <c r="K19" s="135" t="n">
        <v>267</v>
      </c>
      <c r="L19" s="135" t="n">
        <v>191</v>
      </c>
      <c r="M19" s="135" t="n">
        <v>2990</v>
      </c>
      <c r="N19" s="135" t="n">
        <v>806</v>
      </c>
      <c r="O19" s="135" t="n">
        <v>446</v>
      </c>
      <c r="P19" s="135" t="n">
        <v>360</v>
      </c>
      <c r="Q19" s="135" t="n">
        <v>142</v>
      </c>
      <c r="R19" s="135" t="n">
        <v>2043</v>
      </c>
      <c r="S19" s="135" t="n">
        <v>379</v>
      </c>
      <c r="T19" s="135" t="n">
        <v>1124</v>
      </c>
      <c r="U19" s="135" t="n">
        <v>540</v>
      </c>
      <c r="V19" s="135" t="n">
        <v>643</v>
      </c>
      <c r="W19" s="135" t="n">
        <v>24</v>
      </c>
      <c r="X19" s="135" t="n">
        <v>253</v>
      </c>
      <c r="Y19" s="135" t="n">
        <v>105</v>
      </c>
      <c r="Z19" s="135" t="n">
        <v>209</v>
      </c>
      <c r="AA19" s="135" t="n">
        <v>1066</v>
      </c>
      <c r="AB19" s="135" t="n">
        <v>0</v>
      </c>
      <c r="AC19" s="135" t="n">
        <v>33</v>
      </c>
      <c r="AD19" s="135" t="n">
        <v>101</v>
      </c>
      <c r="AE19" s="135" t="n">
        <v>235</v>
      </c>
      <c r="AF19" s="135" t="n">
        <v>339</v>
      </c>
      <c r="AG19" s="135" t="n">
        <v>376</v>
      </c>
      <c r="AH19" s="135" t="n">
        <v>191</v>
      </c>
      <c r="AI19" s="135" t="n">
        <v>223</v>
      </c>
      <c r="AJ19" s="135" t="n">
        <v>0</v>
      </c>
      <c r="AK19" s="135" t="n">
        <v>43</v>
      </c>
      <c r="AL19" s="135" t="n">
        <v>134</v>
      </c>
      <c r="AM19" s="135" t="n">
        <v>497</v>
      </c>
      <c r="AN19" s="135" t="n">
        <v>704</v>
      </c>
      <c r="AO19" s="135" t="n">
        <v>976</v>
      </c>
      <c r="AP19" s="135" t="n">
        <v>243</v>
      </c>
      <c r="AQ19" s="135" t="n">
        <v>393</v>
      </c>
      <c r="AR19" s="135" t="n">
        <v>640</v>
      </c>
      <c r="AS19" s="135" t="n">
        <v>267</v>
      </c>
      <c r="AT19" s="135" t="n">
        <v>198</v>
      </c>
      <c r="AU19" s="135" t="n">
        <v>174</v>
      </c>
      <c r="AV19" s="135" t="n">
        <v>226</v>
      </c>
      <c r="AW19" s="135" t="n">
        <v>187</v>
      </c>
      <c r="AX19" s="135" t="n">
        <v>113</v>
      </c>
      <c r="AY19" s="135" t="n">
        <v>63</v>
      </c>
      <c r="AZ19" s="135" t="n">
        <v>49</v>
      </c>
      <c r="BA19" s="135" t="n">
        <v>241</v>
      </c>
      <c r="BB19" s="135" t="n">
        <v>26</v>
      </c>
      <c r="BC19" s="136" t="n">
        <v>0.32</v>
      </c>
      <c r="BD19" s="137" t="n">
        <v>45</v>
      </c>
      <c r="BE19" s="137" t="n">
        <v>19</v>
      </c>
      <c r="BF19" s="137" t="n">
        <v>41.7</v>
      </c>
      <c r="BG19" s="137" t="n">
        <v>31</v>
      </c>
      <c r="BH19" s="135" t="n">
        <v>113</v>
      </c>
      <c r="BI19" s="138" t="n">
        <v>17.6</v>
      </c>
    </row>
    <row r="20" ht="30" customHeight="1">
      <c r="A20" s="3" t="inlineStr">
        <is>
          <t>CENTRE</t>
        </is>
      </c>
      <c r="B20" s="3" t="inlineStr">
        <is>
          <t>ANSEELE MOTTE BOSSUT</t>
        </is>
      </c>
      <c r="C20" s="3" t="inlineStr">
        <is>
          <t>Anseele</t>
        </is>
      </c>
      <c r="D20" s="135" t="n">
        <v>1766</v>
      </c>
      <c r="E20" s="135" t="n">
        <v>803</v>
      </c>
      <c r="F20" s="135" t="n">
        <v>314</v>
      </c>
      <c r="G20" s="135" t="n">
        <v>235</v>
      </c>
      <c r="H20" s="135" t="n">
        <v>34</v>
      </c>
      <c r="I20" s="135" t="n">
        <v>853</v>
      </c>
      <c r="J20" s="135" t="n">
        <v>157</v>
      </c>
      <c r="K20" s="135" t="n">
        <v>414</v>
      </c>
      <c r="L20" s="135" t="n">
        <v>282</v>
      </c>
      <c r="M20" s="135" t="n">
        <v>3574</v>
      </c>
      <c r="N20" s="135" t="n">
        <v>549</v>
      </c>
      <c r="O20" s="135" t="n">
        <v>314</v>
      </c>
      <c r="P20" s="135" t="n">
        <v>235</v>
      </c>
      <c r="Q20" s="135" t="n">
        <v>82</v>
      </c>
      <c r="R20" s="135" t="n">
        <v>2942</v>
      </c>
      <c r="S20" s="135" t="n">
        <v>323</v>
      </c>
      <c r="T20" s="135" t="n">
        <v>1819</v>
      </c>
      <c r="U20" s="135" t="n">
        <v>800</v>
      </c>
      <c r="V20" s="135" t="n">
        <v>1072</v>
      </c>
      <c r="W20" s="135" t="n">
        <v>32</v>
      </c>
      <c r="X20" s="135" t="n">
        <v>294</v>
      </c>
      <c r="Y20" s="135" t="n">
        <v>133</v>
      </c>
      <c r="Z20" s="135" t="n">
        <v>250</v>
      </c>
      <c r="AA20" s="135" t="n">
        <v>1161</v>
      </c>
      <c r="AB20" s="135" t="n">
        <v>0</v>
      </c>
      <c r="AC20" s="135" t="n">
        <v>31</v>
      </c>
      <c r="AD20" s="135" t="n">
        <v>73</v>
      </c>
      <c r="AE20" s="135" t="n">
        <v>155</v>
      </c>
      <c r="AF20" s="135" t="n">
        <v>346</v>
      </c>
      <c r="AG20" s="135" t="n">
        <v>376</v>
      </c>
      <c r="AH20" s="135" t="n">
        <v>236</v>
      </c>
      <c r="AI20" s="135" t="n">
        <v>219</v>
      </c>
      <c r="AJ20" s="135" t="n">
        <v>0</v>
      </c>
      <c r="AK20" s="135" t="n">
        <v>78</v>
      </c>
      <c r="AL20" s="135" t="n">
        <v>121</v>
      </c>
      <c r="AM20" s="135" t="n">
        <v>420</v>
      </c>
      <c r="AN20" s="135" t="n">
        <v>843</v>
      </c>
      <c r="AO20" s="135" t="n">
        <v>1259</v>
      </c>
      <c r="AP20" s="135" t="n">
        <v>327</v>
      </c>
      <c r="AQ20" s="135" t="n">
        <v>526</v>
      </c>
      <c r="AR20" s="135" t="n">
        <v>860</v>
      </c>
      <c r="AS20" s="135" t="n">
        <v>414</v>
      </c>
      <c r="AT20" s="135" t="n">
        <v>289</v>
      </c>
      <c r="AU20" s="135" t="n">
        <v>157</v>
      </c>
      <c r="AV20" s="135" t="n">
        <v>224</v>
      </c>
      <c r="AW20" s="135" t="n">
        <v>222</v>
      </c>
      <c r="AX20" s="135" t="n">
        <v>182</v>
      </c>
      <c r="AY20" s="135" t="n">
        <v>148</v>
      </c>
      <c r="AZ20" s="135" t="n">
        <v>83</v>
      </c>
      <c r="BA20" s="135" t="n">
        <v>354</v>
      </c>
      <c r="BB20" s="135" t="n">
        <v>60</v>
      </c>
      <c r="BC20" s="136" t="n">
        <v>0.29</v>
      </c>
      <c r="BD20" s="137" t="n">
        <v>48.3</v>
      </c>
      <c r="BE20" s="137" t="n">
        <v>23.5</v>
      </c>
      <c r="BF20" s="137" t="n">
        <v>48.2</v>
      </c>
      <c r="BG20" s="137" t="n">
        <v>33.6</v>
      </c>
      <c r="BH20" s="135" t="n">
        <v>231</v>
      </c>
      <c r="BI20" s="138" t="n">
        <v>26.9</v>
      </c>
    </row>
    <row r="21" ht="30" customHeight="1">
      <c r="A21" s="3" t="inlineStr">
        <is>
          <t>CENTRE</t>
        </is>
      </c>
      <c r="B21" s="3" t="inlineStr">
        <is>
          <t>VAUBAN</t>
        </is>
      </c>
      <c r="C21" s="3" t="inlineStr">
        <is>
          <t>Barbieux-Vauban</t>
        </is>
      </c>
      <c r="D21" s="135" t="n">
        <v>2007</v>
      </c>
      <c r="E21" s="135" t="n">
        <v>1088</v>
      </c>
      <c r="F21" s="135" t="n">
        <v>449</v>
      </c>
      <c r="G21" s="135" t="n">
        <v>680</v>
      </c>
      <c r="H21" s="135" t="n">
        <v>66</v>
      </c>
      <c r="I21" s="135" t="n">
        <v>919</v>
      </c>
      <c r="J21" s="135" t="n">
        <v>449</v>
      </c>
      <c r="K21" s="135" t="n">
        <v>311</v>
      </c>
      <c r="L21" s="135" t="n">
        <v>160</v>
      </c>
      <c r="M21" s="135" t="n">
        <v>3848</v>
      </c>
      <c r="N21" s="135" t="n">
        <v>1128</v>
      </c>
      <c r="O21" s="135" t="n">
        <v>449</v>
      </c>
      <c r="P21" s="135" t="n">
        <v>680</v>
      </c>
      <c r="Q21" s="135" t="n">
        <v>175</v>
      </c>
      <c r="R21" s="135" t="n">
        <v>2544</v>
      </c>
      <c r="S21" s="135" t="n">
        <v>902</v>
      </c>
      <c r="T21" s="135" t="n">
        <v>1244</v>
      </c>
      <c r="U21" s="135" t="n">
        <v>398</v>
      </c>
      <c r="V21" s="135" t="n">
        <v>1128</v>
      </c>
      <c r="W21" s="135" t="n">
        <v>121</v>
      </c>
      <c r="X21" s="135" t="n">
        <v>242</v>
      </c>
      <c r="Y21" s="135" t="n">
        <v>254</v>
      </c>
      <c r="Z21" s="135" t="n">
        <v>284</v>
      </c>
      <c r="AA21" s="135" t="n">
        <v>1160</v>
      </c>
      <c r="AB21" s="135" t="n">
        <v>0</v>
      </c>
      <c r="AC21" s="135" t="n">
        <v>47</v>
      </c>
      <c r="AD21" s="135" t="n">
        <v>475</v>
      </c>
      <c r="AE21" s="135" t="n">
        <v>310</v>
      </c>
      <c r="AF21" s="135" t="n">
        <v>225</v>
      </c>
      <c r="AG21" s="135" t="n">
        <v>156</v>
      </c>
      <c r="AH21" s="135" t="n">
        <v>699</v>
      </c>
      <c r="AI21" s="135" t="n">
        <v>201</v>
      </c>
      <c r="AJ21" s="135" t="n">
        <v>0</v>
      </c>
      <c r="AK21" s="135" t="n">
        <v>110</v>
      </c>
      <c r="AL21" s="135" t="n">
        <v>1091</v>
      </c>
      <c r="AM21" s="135" t="n">
        <v>611</v>
      </c>
      <c r="AN21" s="135" t="n">
        <v>445</v>
      </c>
      <c r="AO21" s="135" t="n">
        <v>295</v>
      </c>
      <c r="AP21" s="135" t="n">
        <v>987</v>
      </c>
      <c r="AQ21" s="135" t="n">
        <v>309</v>
      </c>
      <c r="AR21" s="135" t="n">
        <v>919</v>
      </c>
      <c r="AS21" s="135" t="n">
        <v>311</v>
      </c>
      <c r="AT21" s="135" t="n">
        <v>160</v>
      </c>
      <c r="AU21" s="135" t="n">
        <v>449</v>
      </c>
      <c r="AV21" s="135" t="n">
        <v>487</v>
      </c>
      <c r="AW21" s="135" t="n">
        <v>198</v>
      </c>
      <c r="AX21" s="135" t="n">
        <v>150</v>
      </c>
      <c r="AY21" s="135" t="n">
        <v>59</v>
      </c>
      <c r="AZ21" s="135" t="n">
        <v>26</v>
      </c>
      <c r="BA21" s="135" t="n">
        <v>288</v>
      </c>
      <c r="BB21" s="135" t="n">
        <v>23</v>
      </c>
      <c r="BC21" s="136" t="n">
        <v>0.91</v>
      </c>
      <c r="BD21" s="137" t="n">
        <v>45.8</v>
      </c>
      <c r="BE21" s="137" t="n">
        <v>15.5</v>
      </c>
      <c r="BF21" s="137" t="n">
        <v>33.8</v>
      </c>
      <c r="BG21" s="137" t="n">
        <v>17.4</v>
      </c>
      <c r="BH21" s="135" t="n">
        <v>85</v>
      </c>
      <c r="BI21" s="138" t="n">
        <v>9.300000000000001</v>
      </c>
    </row>
    <row r="22" ht="30" customHeight="1">
      <c r="A22" s="3" t="inlineStr">
        <is>
          <t>SUD</t>
        </is>
      </c>
      <c r="B22" s="3" t="inlineStr">
        <is>
          <t>BARBIEUX</t>
        </is>
      </c>
      <c r="C22" s="3" t="inlineStr">
        <is>
          <t>Barbieux Sud</t>
        </is>
      </c>
      <c r="D22" s="135" t="n">
        <v>1267</v>
      </c>
      <c r="E22" s="135" t="n">
        <v>703</v>
      </c>
      <c r="F22" s="135" t="n">
        <v>331</v>
      </c>
      <c r="G22" s="135" t="n">
        <v>492</v>
      </c>
      <c r="H22" s="135" t="n">
        <v>27</v>
      </c>
      <c r="I22" s="135" t="n">
        <v>524</v>
      </c>
      <c r="J22" s="135" t="n">
        <v>254</v>
      </c>
      <c r="K22" s="135" t="n">
        <v>203</v>
      </c>
      <c r="L22" s="135" t="n">
        <v>67</v>
      </c>
      <c r="M22" s="135" t="n">
        <v>2413</v>
      </c>
      <c r="N22" s="135" t="n">
        <v>824</v>
      </c>
      <c r="O22" s="135" t="n">
        <v>331</v>
      </c>
      <c r="P22" s="135" t="n">
        <v>492</v>
      </c>
      <c r="Q22" s="135" t="n">
        <v>65</v>
      </c>
      <c r="R22" s="135" t="n">
        <v>1524</v>
      </c>
      <c r="S22" s="135" t="n">
        <v>512</v>
      </c>
      <c r="T22" s="135" t="n">
        <v>836</v>
      </c>
      <c r="U22" s="135" t="n">
        <v>175</v>
      </c>
      <c r="V22" s="135" t="n">
        <v>808</v>
      </c>
      <c r="W22" s="135" t="n">
        <v>92</v>
      </c>
      <c r="X22" s="135" t="n">
        <v>150</v>
      </c>
      <c r="Y22" s="135" t="n">
        <v>253</v>
      </c>
      <c r="Z22" s="135" t="n">
        <v>177</v>
      </c>
      <c r="AA22" s="135" t="n">
        <v>663</v>
      </c>
      <c r="AB22" s="135" t="n">
        <v>0</v>
      </c>
      <c r="AC22" s="135" t="n">
        <v>41</v>
      </c>
      <c r="AD22" s="135" t="n">
        <v>235</v>
      </c>
      <c r="AE22" s="135" t="n">
        <v>209</v>
      </c>
      <c r="AF22" s="135" t="n">
        <v>150</v>
      </c>
      <c r="AG22" s="135" t="n">
        <v>72</v>
      </c>
      <c r="AH22" s="135" t="n">
        <v>543</v>
      </c>
      <c r="AI22" s="135" t="n">
        <v>125</v>
      </c>
      <c r="AJ22" s="135" t="n">
        <v>0</v>
      </c>
      <c r="AK22" s="135" t="n">
        <v>100</v>
      </c>
      <c r="AL22" s="135" t="n">
        <v>566</v>
      </c>
      <c r="AM22" s="135" t="n">
        <v>469</v>
      </c>
      <c r="AN22" s="135" t="n">
        <v>279</v>
      </c>
      <c r="AO22" s="135" t="n">
        <v>148</v>
      </c>
      <c r="AP22" s="135" t="n">
        <v>710</v>
      </c>
      <c r="AQ22" s="135" t="n">
        <v>140</v>
      </c>
      <c r="AR22" s="135" t="n">
        <v>524</v>
      </c>
      <c r="AS22" s="135" t="n">
        <v>203</v>
      </c>
      <c r="AT22" s="135" t="n">
        <v>67</v>
      </c>
      <c r="AU22" s="135" t="n">
        <v>254</v>
      </c>
      <c r="AV22" s="135" t="n">
        <v>272</v>
      </c>
      <c r="AW22" s="135" t="n">
        <v>100</v>
      </c>
      <c r="AX22" s="135" t="n">
        <v>82</v>
      </c>
      <c r="AY22" s="135" t="n">
        <v>48</v>
      </c>
      <c r="AZ22" s="135" t="n">
        <v>22</v>
      </c>
      <c r="BA22" s="135" t="n">
        <v>170</v>
      </c>
      <c r="BB22" s="135" t="n">
        <v>33</v>
      </c>
      <c r="BC22" s="136" t="n">
        <v>0.5600000000000001</v>
      </c>
      <c r="BD22" s="137" t="n">
        <v>41.4</v>
      </c>
      <c r="BE22" s="137" t="n">
        <v>16</v>
      </c>
      <c r="BF22" s="137" t="n">
        <v>38.7</v>
      </c>
      <c r="BG22" s="137" t="n">
        <v>12.9</v>
      </c>
      <c r="BH22" s="135" t="n">
        <v>70</v>
      </c>
      <c r="BI22" s="138" t="n">
        <v>13.3</v>
      </c>
    </row>
    <row r="23" ht="30" customHeight="1">
      <c r="A23" s="3" t="inlineStr">
        <is>
          <t>SUD</t>
        </is>
      </c>
      <c r="B23" s="3" t="inlineStr">
        <is>
          <t>EDOUARD VAILLANT</t>
        </is>
      </c>
      <c r="C23" s="3" t="inlineStr">
        <is>
          <t>Édouard Vaillant</t>
        </is>
      </c>
      <c r="D23" s="135" t="n">
        <v>1870</v>
      </c>
      <c r="E23" s="135" t="n">
        <v>803</v>
      </c>
      <c r="F23" s="135" t="n">
        <v>362</v>
      </c>
      <c r="G23" s="135" t="n">
        <v>548</v>
      </c>
      <c r="H23" s="135" t="n">
        <v>17</v>
      </c>
      <c r="I23" s="135" t="n">
        <v>1091</v>
      </c>
      <c r="J23" s="135" t="n">
        <v>359</v>
      </c>
      <c r="K23" s="135" t="n">
        <v>509</v>
      </c>
      <c r="L23" s="135" t="n">
        <v>222</v>
      </c>
      <c r="M23" s="135" t="n">
        <v>4412</v>
      </c>
      <c r="N23" s="135" t="n">
        <v>910</v>
      </c>
      <c r="O23" s="135" t="n">
        <v>362</v>
      </c>
      <c r="P23" s="135" t="n">
        <v>548</v>
      </c>
      <c r="Q23" s="135" t="n">
        <v>47</v>
      </c>
      <c r="R23" s="135" t="n">
        <v>3455</v>
      </c>
      <c r="S23" s="135" t="n">
        <v>774</v>
      </c>
      <c r="T23" s="135" t="n">
        <v>2066</v>
      </c>
      <c r="U23" s="135" t="n">
        <v>615</v>
      </c>
      <c r="V23" s="135" t="n">
        <v>1283</v>
      </c>
      <c r="W23" s="135" t="n">
        <v>148</v>
      </c>
      <c r="X23" s="135" t="n">
        <v>272</v>
      </c>
      <c r="Y23" s="135" t="n">
        <v>213</v>
      </c>
      <c r="Z23" s="135" t="n">
        <v>211</v>
      </c>
      <c r="AA23" s="135" t="n">
        <v>1213</v>
      </c>
      <c r="AB23" s="135" t="n">
        <v>0</v>
      </c>
      <c r="AC23" s="135" t="n">
        <v>44</v>
      </c>
      <c r="AD23" s="135" t="n">
        <v>243</v>
      </c>
      <c r="AE23" s="135" t="n">
        <v>394</v>
      </c>
      <c r="AF23" s="135" t="n">
        <v>275</v>
      </c>
      <c r="AG23" s="135" t="n">
        <v>227</v>
      </c>
      <c r="AH23" s="135" t="n">
        <v>478</v>
      </c>
      <c r="AI23" s="135" t="n">
        <v>357</v>
      </c>
      <c r="AJ23" s="135" t="n">
        <v>0</v>
      </c>
      <c r="AK23" s="135" t="n">
        <v>181</v>
      </c>
      <c r="AL23" s="135" t="n">
        <v>607</v>
      </c>
      <c r="AM23" s="135" t="n">
        <v>1121</v>
      </c>
      <c r="AN23" s="135" t="n">
        <v>708</v>
      </c>
      <c r="AO23" s="135" t="n">
        <v>641</v>
      </c>
      <c r="AP23" s="135" t="n">
        <v>699</v>
      </c>
      <c r="AQ23" s="135" t="n">
        <v>455</v>
      </c>
      <c r="AR23" s="135" t="n">
        <v>1099</v>
      </c>
      <c r="AS23" s="135" t="n">
        <v>509</v>
      </c>
      <c r="AT23" s="135" t="n">
        <v>227</v>
      </c>
      <c r="AU23" s="135" t="n">
        <v>364</v>
      </c>
      <c r="AV23" s="135" t="n">
        <v>448</v>
      </c>
      <c r="AW23" s="135" t="n">
        <v>241</v>
      </c>
      <c r="AX23" s="135" t="n">
        <v>238</v>
      </c>
      <c r="AY23" s="135" t="n">
        <v>117</v>
      </c>
      <c r="AZ23" s="135" t="n">
        <v>56</v>
      </c>
      <c r="BA23" s="135" t="n">
        <v>487</v>
      </c>
      <c r="BB23" s="135" t="n">
        <v>22</v>
      </c>
      <c r="BC23" s="136" t="n">
        <v>0.53</v>
      </c>
      <c r="BD23" s="137" t="n">
        <v>58.3</v>
      </c>
      <c r="BE23" s="137" t="n">
        <v>27.2</v>
      </c>
      <c r="BF23" s="137" t="n">
        <v>46.3</v>
      </c>
      <c r="BG23" s="137" t="n">
        <v>20.6</v>
      </c>
      <c r="BH23" s="135" t="n">
        <v>173</v>
      </c>
      <c r="BI23" s="138" t="n">
        <v>15.7</v>
      </c>
    </row>
    <row r="24" ht="30" customHeight="1">
      <c r="A24" s="3" t="inlineStr">
        <is>
          <t>SUD</t>
        </is>
      </c>
      <c r="B24" s="3" t="inlineStr">
        <is>
          <t>MOULIN</t>
        </is>
      </c>
      <c r="C24" s="3" t="inlineStr">
        <is>
          <t>Moulin Nord</t>
        </is>
      </c>
      <c r="D24" s="135" t="n">
        <v>851</v>
      </c>
      <c r="E24" s="135" t="n">
        <v>302</v>
      </c>
      <c r="F24" s="135" t="n">
        <v>200</v>
      </c>
      <c r="G24" s="135" t="n">
        <v>149</v>
      </c>
      <c r="H24" s="135" t="n">
        <v>16</v>
      </c>
      <c r="I24" s="135" t="n">
        <v>530</v>
      </c>
      <c r="J24" s="135" t="n">
        <v>122</v>
      </c>
      <c r="K24" s="135" t="n">
        <v>263</v>
      </c>
      <c r="L24" s="135" t="n">
        <v>146</v>
      </c>
      <c r="M24" s="135" t="n">
        <v>2330</v>
      </c>
      <c r="N24" s="135" t="n">
        <v>348</v>
      </c>
      <c r="O24" s="135" t="n">
        <v>200</v>
      </c>
      <c r="P24" s="135" t="n">
        <v>149</v>
      </c>
      <c r="Q24" s="135" t="n">
        <v>46</v>
      </c>
      <c r="R24" s="135" t="n">
        <v>1936</v>
      </c>
      <c r="S24" s="135" t="n">
        <v>271</v>
      </c>
      <c r="T24" s="135" t="n">
        <v>1230</v>
      </c>
      <c r="U24" s="135" t="n">
        <v>435</v>
      </c>
      <c r="V24" s="135" t="n">
        <v>646</v>
      </c>
      <c r="W24" s="135" t="n">
        <v>41</v>
      </c>
      <c r="X24" s="135" t="n">
        <v>129</v>
      </c>
      <c r="Y24" s="135" t="n">
        <v>85</v>
      </c>
      <c r="Z24" s="135" t="n">
        <v>75</v>
      </c>
      <c r="AA24" s="135" t="n">
        <v>779</v>
      </c>
      <c r="AB24" s="135" t="n">
        <v>0</v>
      </c>
      <c r="AC24" s="135" t="n">
        <v>30</v>
      </c>
      <c r="AD24" s="135" t="n">
        <v>65</v>
      </c>
      <c r="AE24" s="135" t="n">
        <v>120</v>
      </c>
      <c r="AF24" s="135" t="n">
        <v>137</v>
      </c>
      <c r="AG24" s="135" t="n">
        <v>256</v>
      </c>
      <c r="AH24" s="135" t="n">
        <v>164</v>
      </c>
      <c r="AI24" s="135" t="n">
        <v>121</v>
      </c>
      <c r="AJ24" s="135" t="n">
        <v>0</v>
      </c>
      <c r="AK24" s="135" t="n">
        <v>123</v>
      </c>
      <c r="AL24" s="135" t="n">
        <v>178</v>
      </c>
      <c r="AM24" s="135" t="n">
        <v>312</v>
      </c>
      <c r="AN24" s="135" t="n">
        <v>348</v>
      </c>
      <c r="AO24" s="135" t="n">
        <v>790</v>
      </c>
      <c r="AP24" s="135" t="n">
        <v>329</v>
      </c>
      <c r="AQ24" s="135" t="n">
        <v>249</v>
      </c>
      <c r="AR24" s="135" t="n">
        <v>534</v>
      </c>
      <c r="AS24" s="135" t="n">
        <v>267</v>
      </c>
      <c r="AT24" s="135" t="n">
        <v>146</v>
      </c>
      <c r="AU24" s="135" t="n">
        <v>122</v>
      </c>
      <c r="AV24" s="135" t="n">
        <v>180</v>
      </c>
      <c r="AW24" s="135" t="n">
        <v>112</v>
      </c>
      <c r="AX24" s="135" t="n">
        <v>88</v>
      </c>
      <c r="AY24" s="135" t="n">
        <v>69</v>
      </c>
      <c r="AZ24" s="135" t="n">
        <v>85</v>
      </c>
      <c r="BA24" s="135" t="n">
        <v>239</v>
      </c>
      <c r="BB24" s="135" t="n">
        <v>27</v>
      </c>
      <c r="BC24" s="136" t="n">
        <v>0.16</v>
      </c>
      <c r="BD24" s="137" t="n">
        <v>62.3</v>
      </c>
      <c r="BE24" s="137" t="n">
        <v>30.9</v>
      </c>
      <c r="BF24" s="137" t="n">
        <v>49.9</v>
      </c>
      <c r="BG24" s="137" t="n">
        <v>27.3</v>
      </c>
      <c r="BH24" s="135" t="n">
        <v>154</v>
      </c>
      <c r="BI24" s="138" t="n">
        <v>28.9</v>
      </c>
    </row>
    <row r="25" ht="30" customHeight="1">
      <c r="A25" s="3" t="inlineStr">
        <is>
          <t>SUD</t>
        </is>
      </c>
      <c r="B25" s="3" t="inlineStr">
        <is>
          <t>MOULIN</t>
        </is>
      </c>
      <c r="C25" s="3" t="inlineStr">
        <is>
          <t>Moulin Sud</t>
        </is>
      </c>
      <c r="D25" s="135" t="n">
        <v>783</v>
      </c>
      <c r="E25" s="135" t="n">
        <v>261</v>
      </c>
      <c r="F25" s="135" t="n">
        <v>143</v>
      </c>
      <c r="G25" s="135" t="n">
        <v>117</v>
      </c>
      <c r="H25" s="135" t="n">
        <v>17</v>
      </c>
      <c r="I25" s="135" t="n">
        <v>480</v>
      </c>
      <c r="J25" s="135" t="n">
        <v>107</v>
      </c>
      <c r="K25" s="135" t="n">
        <v>233</v>
      </c>
      <c r="L25" s="135" t="n">
        <v>141</v>
      </c>
      <c r="M25" s="135" t="n">
        <v>1953</v>
      </c>
      <c r="N25" s="135" t="n">
        <v>260</v>
      </c>
      <c r="O25" s="135" t="n">
        <v>143</v>
      </c>
      <c r="P25" s="135" t="n">
        <v>117</v>
      </c>
      <c r="Q25" s="135" t="n">
        <v>51</v>
      </c>
      <c r="R25" s="135" t="n">
        <v>1642</v>
      </c>
      <c r="S25" s="135" t="n">
        <v>225</v>
      </c>
      <c r="T25" s="135" t="n">
        <v>1015</v>
      </c>
      <c r="U25" s="135" t="n">
        <v>402</v>
      </c>
      <c r="V25" s="135" t="n">
        <v>563</v>
      </c>
      <c r="W25" s="135" t="n">
        <v>36</v>
      </c>
      <c r="X25" s="135" t="n">
        <v>171</v>
      </c>
      <c r="Y25" s="135" t="n">
        <v>112</v>
      </c>
      <c r="Z25" s="135" t="n">
        <v>122</v>
      </c>
      <c r="AA25" s="135" t="n">
        <v>598</v>
      </c>
      <c r="AB25" s="135" t="n">
        <v>0</v>
      </c>
      <c r="AC25" s="135" t="n">
        <v>41</v>
      </c>
      <c r="AD25" s="135" t="n">
        <v>26</v>
      </c>
      <c r="AE25" s="135" t="n">
        <v>113</v>
      </c>
      <c r="AF25" s="135" t="n">
        <v>155</v>
      </c>
      <c r="AG25" s="135" t="n">
        <v>148</v>
      </c>
      <c r="AH25" s="135" t="n">
        <v>213</v>
      </c>
      <c r="AI25" s="135" t="n">
        <v>63</v>
      </c>
      <c r="AJ25" s="135" t="n">
        <v>0</v>
      </c>
      <c r="AK25" s="135" t="n">
        <v>101</v>
      </c>
      <c r="AL25" s="135" t="n">
        <v>72</v>
      </c>
      <c r="AM25" s="135" t="n">
        <v>296</v>
      </c>
      <c r="AN25" s="135" t="n">
        <v>450</v>
      </c>
      <c r="AO25" s="135" t="n">
        <v>511</v>
      </c>
      <c r="AP25" s="135" t="n">
        <v>355</v>
      </c>
      <c r="AQ25" s="135" t="n">
        <v>168</v>
      </c>
      <c r="AR25" s="135" t="n">
        <v>489</v>
      </c>
      <c r="AS25" s="135" t="n">
        <v>233</v>
      </c>
      <c r="AT25" s="135" t="n">
        <v>150</v>
      </c>
      <c r="AU25" s="135" t="n">
        <v>107</v>
      </c>
      <c r="AV25" s="135" t="n">
        <v>162</v>
      </c>
      <c r="AW25" s="135" t="n">
        <v>113</v>
      </c>
      <c r="AX25" s="135" t="n">
        <v>110</v>
      </c>
      <c r="AY25" s="135" t="n">
        <v>67</v>
      </c>
      <c r="AZ25" s="135" t="n">
        <v>38</v>
      </c>
      <c r="BA25" s="135" t="n">
        <v>190</v>
      </c>
      <c r="BB25" s="135" t="n">
        <v>42</v>
      </c>
      <c r="BC25" s="136" t="n">
        <v>0.17</v>
      </c>
      <c r="BD25" s="137" t="n">
        <v>61.4</v>
      </c>
      <c r="BE25" s="137" t="n">
        <v>29.7</v>
      </c>
      <c r="BF25" s="137" t="n">
        <v>47.5</v>
      </c>
      <c r="BG25" s="137" t="n">
        <v>30.6</v>
      </c>
      <c r="BH25" s="135" t="n">
        <v>105</v>
      </c>
      <c r="BI25" s="138" t="n">
        <v>21.4</v>
      </c>
    </row>
    <row r="26" ht="30" customHeight="1">
      <c r="A26" s="3" t="inlineStr">
        <is>
          <t>SUD</t>
        </is>
      </c>
      <c r="B26" s="3" t="inlineStr">
        <is>
          <t>POTENNERIE</t>
        </is>
      </c>
      <c r="C26" s="3" t="inlineStr">
        <is>
          <t>Potennerie</t>
        </is>
      </c>
      <c r="D26" s="135" t="n">
        <v>1357</v>
      </c>
      <c r="E26" s="135" t="n">
        <v>487</v>
      </c>
      <c r="F26" s="135" t="n">
        <v>259</v>
      </c>
      <c r="G26" s="135" t="n">
        <v>270</v>
      </c>
      <c r="H26" s="135" t="n">
        <v>20</v>
      </c>
      <c r="I26" s="135" t="n">
        <v>908</v>
      </c>
      <c r="J26" s="135" t="n">
        <v>255</v>
      </c>
      <c r="K26" s="135" t="n">
        <v>360</v>
      </c>
      <c r="L26" s="135" t="n">
        <v>292</v>
      </c>
      <c r="M26" s="135" t="n">
        <v>3403</v>
      </c>
      <c r="N26" s="135" t="n">
        <v>529</v>
      </c>
      <c r="O26" s="135" t="n">
        <v>259</v>
      </c>
      <c r="P26" s="135" t="n">
        <v>270</v>
      </c>
      <c r="Q26" s="135" t="n">
        <v>48</v>
      </c>
      <c r="R26" s="135" t="n">
        <v>2826</v>
      </c>
      <c r="S26" s="135" t="n">
        <v>549</v>
      </c>
      <c r="T26" s="135" t="n">
        <v>1449</v>
      </c>
      <c r="U26" s="135" t="n">
        <v>827</v>
      </c>
      <c r="V26" s="135" t="n">
        <v>931</v>
      </c>
      <c r="W26" s="135" t="n">
        <v>117</v>
      </c>
      <c r="X26" s="135" t="n">
        <v>266</v>
      </c>
      <c r="Y26" s="135" t="n">
        <v>92</v>
      </c>
      <c r="Z26" s="135" t="n">
        <v>165</v>
      </c>
      <c r="AA26" s="135" t="n">
        <v>891</v>
      </c>
      <c r="AB26" s="135" t="n">
        <v>0</v>
      </c>
      <c r="AC26" s="135" t="n">
        <v>66</v>
      </c>
      <c r="AD26" s="135" t="n">
        <v>232</v>
      </c>
      <c r="AE26" s="135" t="n">
        <v>246</v>
      </c>
      <c r="AF26" s="135" t="n">
        <v>260</v>
      </c>
      <c r="AG26" s="135" t="n">
        <v>293</v>
      </c>
      <c r="AH26" s="135" t="n">
        <v>232</v>
      </c>
      <c r="AI26" s="135" t="n">
        <v>127</v>
      </c>
      <c r="AJ26" s="135" t="n">
        <v>0</v>
      </c>
      <c r="AK26" s="135" t="n">
        <v>175</v>
      </c>
      <c r="AL26" s="135" t="n">
        <v>531</v>
      </c>
      <c r="AM26" s="135" t="n">
        <v>653</v>
      </c>
      <c r="AN26" s="135" t="n">
        <v>614</v>
      </c>
      <c r="AO26" s="135" t="n">
        <v>750</v>
      </c>
      <c r="AP26" s="135" t="n">
        <v>363</v>
      </c>
      <c r="AQ26" s="135" t="n">
        <v>316</v>
      </c>
      <c r="AR26" s="135" t="n">
        <v>923</v>
      </c>
      <c r="AS26" s="135" t="n">
        <v>360</v>
      </c>
      <c r="AT26" s="135" t="n">
        <v>297</v>
      </c>
      <c r="AU26" s="135" t="n">
        <v>266</v>
      </c>
      <c r="AV26" s="135" t="n">
        <v>319</v>
      </c>
      <c r="AW26" s="135" t="n">
        <v>280</v>
      </c>
      <c r="AX26" s="135" t="n">
        <v>185</v>
      </c>
      <c r="AY26" s="135" t="n">
        <v>92</v>
      </c>
      <c r="AZ26" s="135" t="n">
        <v>48</v>
      </c>
      <c r="BA26" s="135" t="n">
        <v>316</v>
      </c>
      <c r="BB26" s="135" t="n">
        <v>44</v>
      </c>
      <c r="BC26" s="136" t="n">
        <v>0.37</v>
      </c>
      <c r="BD26" s="137" t="n">
        <v>66.90000000000001</v>
      </c>
      <c r="BE26" s="137" t="n">
        <v>26.5</v>
      </c>
      <c r="BF26" s="137" t="n">
        <v>39</v>
      </c>
      <c r="BG26" s="137" t="n">
        <v>32.2</v>
      </c>
      <c r="BH26" s="135" t="n">
        <v>140</v>
      </c>
      <c r="BI26" s="138" t="n">
        <v>15.2</v>
      </c>
    </row>
    <row r="27" ht="30" customHeight="1">
      <c r="A27" s="3" t="inlineStr">
        <is>
          <t>EST</t>
        </is>
      </c>
      <c r="B27" s="3" t="inlineStr">
        <is>
          <t>STE ELISABETH</t>
        </is>
      </c>
      <c r="C27" s="3" t="inlineStr">
        <is>
          <t>Sainte-Élisabeth Centre</t>
        </is>
      </c>
      <c r="D27" s="135" t="n">
        <v>788</v>
      </c>
      <c r="E27" s="135" t="n">
        <v>209</v>
      </c>
      <c r="F27" s="135" t="n">
        <v>102</v>
      </c>
      <c r="G27" s="135" t="n">
        <v>93</v>
      </c>
      <c r="H27" s="135" t="n">
        <v>19</v>
      </c>
      <c r="I27" s="135" t="n">
        <v>568</v>
      </c>
      <c r="J27" s="135" t="n">
        <v>116</v>
      </c>
      <c r="K27" s="135" t="n">
        <v>253</v>
      </c>
      <c r="L27" s="135" t="n">
        <v>200</v>
      </c>
      <c r="M27" s="135" t="n">
        <v>2232</v>
      </c>
      <c r="N27" s="135" t="n">
        <v>195</v>
      </c>
      <c r="O27" s="135" t="n">
        <v>102</v>
      </c>
      <c r="P27" s="135" t="n">
        <v>93</v>
      </c>
      <c r="Q27" s="135" t="n">
        <v>43</v>
      </c>
      <c r="R27" s="135" t="n">
        <v>1994</v>
      </c>
      <c r="S27" s="135" t="n">
        <v>232</v>
      </c>
      <c r="T27" s="135" t="n">
        <v>1149</v>
      </c>
      <c r="U27" s="135" t="n">
        <v>614</v>
      </c>
      <c r="V27" s="135" t="n">
        <v>629</v>
      </c>
      <c r="W27" s="135" t="n">
        <v>21</v>
      </c>
      <c r="X27" s="135" t="n">
        <v>108</v>
      </c>
      <c r="Y27" s="135" t="n">
        <v>84</v>
      </c>
      <c r="Z27" s="135" t="n">
        <v>101</v>
      </c>
      <c r="AA27" s="135" t="n">
        <v>715</v>
      </c>
      <c r="AB27" s="135" t="n">
        <v>0</v>
      </c>
      <c r="AC27" s="135" t="n">
        <v>19</v>
      </c>
      <c r="AD27" s="135" t="n">
        <v>27</v>
      </c>
      <c r="AE27" s="135" t="n">
        <v>96</v>
      </c>
      <c r="AF27" s="135" t="n">
        <v>166</v>
      </c>
      <c r="AG27" s="135" t="n">
        <v>190</v>
      </c>
      <c r="AH27" s="135" t="n">
        <v>161</v>
      </c>
      <c r="AI27" s="135" t="n">
        <v>123</v>
      </c>
      <c r="AJ27" s="135" t="n">
        <v>0</v>
      </c>
      <c r="AK27" s="135" t="n">
        <v>53</v>
      </c>
      <c r="AL27" s="135" t="n">
        <v>100</v>
      </c>
      <c r="AM27" s="135" t="n">
        <v>304</v>
      </c>
      <c r="AN27" s="135" t="n">
        <v>549</v>
      </c>
      <c r="AO27" s="135" t="n">
        <v>622</v>
      </c>
      <c r="AP27" s="135" t="n">
        <v>340</v>
      </c>
      <c r="AQ27" s="135" t="n">
        <v>265</v>
      </c>
      <c r="AR27" s="135" t="n">
        <v>572</v>
      </c>
      <c r="AS27" s="135" t="n">
        <v>257</v>
      </c>
      <c r="AT27" s="135" t="n">
        <v>200</v>
      </c>
      <c r="AU27" s="135" t="n">
        <v>116</v>
      </c>
      <c r="AV27" s="135" t="n">
        <v>172</v>
      </c>
      <c r="AW27" s="135" t="n">
        <v>125</v>
      </c>
      <c r="AX27" s="135" t="n">
        <v>131</v>
      </c>
      <c r="AY27" s="135" t="n">
        <v>70</v>
      </c>
      <c r="AZ27" s="135" t="n">
        <v>74</v>
      </c>
      <c r="BA27" s="135" t="n">
        <v>220</v>
      </c>
      <c r="BB27" s="135" t="n">
        <v>36</v>
      </c>
      <c r="BC27" s="136" t="n">
        <v>0.16</v>
      </c>
      <c r="BD27" s="137" t="n">
        <v>72.09999999999999</v>
      </c>
      <c r="BE27" s="137" t="n">
        <v>32.1</v>
      </c>
      <c r="BF27" s="137" t="n">
        <v>44.9</v>
      </c>
      <c r="BG27" s="137" t="n">
        <v>34.9</v>
      </c>
      <c r="BH27" s="135" t="n">
        <v>144</v>
      </c>
      <c r="BI27" s="138" t="n">
        <v>25.1</v>
      </c>
    </row>
    <row r="28" ht="30" customHeight="1">
      <c r="A28" s="3" t="inlineStr">
        <is>
          <t>EST</t>
        </is>
      </c>
      <c r="B28" s="3" t="inlineStr">
        <is>
          <t>STE ELISABETH</t>
        </is>
      </c>
      <c r="C28" s="3" t="inlineStr">
        <is>
          <t>Sainte-Élisabeth Sud</t>
        </is>
      </c>
      <c r="D28" s="135" t="n">
        <v>738</v>
      </c>
      <c r="E28" s="135" t="n">
        <v>192</v>
      </c>
      <c r="F28" s="135" t="n">
        <v>115</v>
      </c>
      <c r="G28" s="135" t="n">
        <v>99</v>
      </c>
      <c r="H28" s="135" t="n">
        <v>12</v>
      </c>
      <c r="I28" s="135" t="n">
        <v>584</v>
      </c>
      <c r="J28" s="135" t="n">
        <v>105</v>
      </c>
      <c r="K28" s="135" t="n">
        <v>298</v>
      </c>
      <c r="L28" s="135" t="n">
        <v>180</v>
      </c>
      <c r="M28" s="135" t="n">
        <v>2315</v>
      </c>
      <c r="N28" s="135" t="n">
        <v>214</v>
      </c>
      <c r="O28" s="135" t="n">
        <v>115</v>
      </c>
      <c r="P28" s="135" t="n">
        <v>99</v>
      </c>
      <c r="Q28" s="135" t="n">
        <v>37</v>
      </c>
      <c r="R28" s="135" t="n">
        <v>2064</v>
      </c>
      <c r="S28" s="135" t="n">
        <v>220</v>
      </c>
      <c r="T28" s="135" t="n">
        <v>1343</v>
      </c>
      <c r="U28" s="135" t="n">
        <v>501</v>
      </c>
      <c r="V28" s="135" t="n">
        <v>609</v>
      </c>
      <c r="W28" s="135" t="n">
        <v>50</v>
      </c>
      <c r="X28" s="135" t="n">
        <v>131</v>
      </c>
      <c r="Y28" s="135" t="n">
        <v>73</v>
      </c>
      <c r="Z28" s="135" t="n">
        <v>100</v>
      </c>
      <c r="AA28" s="135" t="n">
        <v>535</v>
      </c>
      <c r="AB28" s="135" t="n">
        <v>0</v>
      </c>
      <c r="AC28" s="135" t="n">
        <v>55</v>
      </c>
      <c r="AD28" s="135" t="n">
        <v>34</v>
      </c>
      <c r="AE28" s="135" t="n">
        <v>85</v>
      </c>
      <c r="AF28" s="135" t="n">
        <v>150</v>
      </c>
      <c r="AG28" s="135" t="n">
        <v>241</v>
      </c>
      <c r="AH28" s="135" t="n">
        <v>148</v>
      </c>
      <c r="AI28" s="135" t="n">
        <v>96</v>
      </c>
      <c r="AJ28" s="135" t="n">
        <v>0</v>
      </c>
      <c r="AK28" s="135" t="n">
        <v>176</v>
      </c>
      <c r="AL28" s="135" t="n">
        <v>80</v>
      </c>
      <c r="AM28" s="135" t="n">
        <v>241</v>
      </c>
      <c r="AN28" s="135" t="n">
        <v>435</v>
      </c>
      <c r="AO28" s="135" t="n">
        <v>830</v>
      </c>
      <c r="AP28" s="135" t="n">
        <v>240</v>
      </c>
      <c r="AQ28" s="135" t="n">
        <v>312</v>
      </c>
      <c r="AR28" s="135" t="n">
        <v>585</v>
      </c>
      <c r="AS28" s="135" t="n">
        <v>300</v>
      </c>
      <c r="AT28" s="135" t="n">
        <v>180</v>
      </c>
      <c r="AU28" s="135" t="n">
        <v>105</v>
      </c>
      <c r="AV28" s="135" t="n">
        <v>133</v>
      </c>
      <c r="AW28" s="135" t="n">
        <v>142</v>
      </c>
      <c r="AX28" s="135" t="n">
        <v>149</v>
      </c>
      <c r="AY28" s="135" t="n">
        <v>115</v>
      </c>
      <c r="AZ28" s="135" t="n">
        <v>45</v>
      </c>
      <c r="BA28" s="135" t="n">
        <v>272</v>
      </c>
      <c r="BB28" s="135" t="n">
        <v>27</v>
      </c>
      <c r="BC28" s="136" t="n">
        <v>0.14</v>
      </c>
      <c r="BD28" s="137" t="n">
        <v>79</v>
      </c>
      <c r="BE28" s="137" t="n">
        <v>40.4</v>
      </c>
      <c r="BF28" s="137" t="n">
        <v>51.2</v>
      </c>
      <c r="BG28" s="137" t="n">
        <v>30.8</v>
      </c>
      <c r="BH28" s="135" t="n">
        <v>160</v>
      </c>
      <c r="BI28" s="138" t="n">
        <v>27.4</v>
      </c>
    </row>
    <row r="29" ht="30" customHeight="1">
      <c r="A29" s="3" t="inlineStr">
        <is>
          <t>EST</t>
        </is>
      </c>
      <c r="B29" s="3" t="inlineStr">
        <is>
          <t>STE ELISABETH</t>
        </is>
      </c>
      <c r="C29" s="3" t="inlineStr">
        <is>
          <t>Sainte-Élisabeth Nord</t>
        </is>
      </c>
      <c r="D29" s="135" t="n">
        <v>1202</v>
      </c>
      <c r="E29" s="135" t="n">
        <v>539</v>
      </c>
      <c r="F29" s="135" t="n">
        <v>283</v>
      </c>
      <c r="G29" s="135" t="n">
        <v>219</v>
      </c>
      <c r="H29" s="135" t="n">
        <v>34</v>
      </c>
      <c r="I29" s="135" t="n">
        <v>653</v>
      </c>
      <c r="J29" s="135" t="n">
        <v>194</v>
      </c>
      <c r="K29" s="135" t="n">
        <v>259</v>
      </c>
      <c r="L29" s="135" t="n">
        <v>200</v>
      </c>
      <c r="M29" s="135" t="n">
        <v>2757</v>
      </c>
      <c r="N29" s="135" t="n">
        <v>502</v>
      </c>
      <c r="O29" s="135" t="n">
        <v>283</v>
      </c>
      <c r="P29" s="135" t="n">
        <v>219</v>
      </c>
      <c r="Q29" s="135" t="n">
        <v>112</v>
      </c>
      <c r="R29" s="135" t="n">
        <v>2143</v>
      </c>
      <c r="S29" s="135" t="n">
        <v>409</v>
      </c>
      <c r="T29" s="135" t="n">
        <v>1167</v>
      </c>
      <c r="U29" s="135" t="n">
        <v>567</v>
      </c>
      <c r="V29" s="135" t="n">
        <v>718</v>
      </c>
      <c r="W29" s="135" t="n">
        <v>24</v>
      </c>
      <c r="X29" s="135" t="n">
        <v>218</v>
      </c>
      <c r="Y29" s="135" t="n">
        <v>187</v>
      </c>
      <c r="Z29" s="135" t="n">
        <v>234</v>
      </c>
      <c r="AA29" s="135" t="n">
        <v>799</v>
      </c>
      <c r="AB29" s="135" t="n">
        <v>0</v>
      </c>
      <c r="AC29" s="135" t="n">
        <v>76</v>
      </c>
      <c r="AD29" s="135" t="n">
        <v>84</v>
      </c>
      <c r="AE29" s="135" t="n">
        <v>130</v>
      </c>
      <c r="AF29" s="135" t="n">
        <v>214</v>
      </c>
      <c r="AG29" s="135" t="n">
        <v>244</v>
      </c>
      <c r="AH29" s="135" t="n">
        <v>236</v>
      </c>
      <c r="AI29" s="135" t="n">
        <v>205</v>
      </c>
      <c r="AJ29" s="135" t="n">
        <v>0</v>
      </c>
      <c r="AK29" s="135" t="n">
        <v>218</v>
      </c>
      <c r="AL29" s="135" t="n">
        <v>243</v>
      </c>
      <c r="AM29" s="135" t="n">
        <v>382</v>
      </c>
      <c r="AN29" s="135" t="n">
        <v>507</v>
      </c>
      <c r="AO29" s="135" t="n">
        <v>565</v>
      </c>
      <c r="AP29" s="135" t="n">
        <v>407</v>
      </c>
      <c r="AQ29" s="135" t="n">
        <v>436</v>
      </c>
      <c r="AR29" s="135" t="n">
        <v>663</v>
      </c>
      <c r="AS29" s="135" t="n">
        <v>259</v>
      </c>
      <c r="AT29" s="135" t="n">
        <v>202</v>
      </c>
      <c r="AU29" s="135" t="n">
        <v>202</v>
      </c>
      <c r="AV29" s="135" t="n">
        <v>256</v>
      </c>
      <c r="AW29" s="135" t="n">
        <v>164</v>
      </c>
      <c r="AX29" s="135" t="n">
        <v>99</v>
      </c>
      <c r="AY29" s="135" t="n">
        <v>85</v>
      </c>
      <c r="AZ29" s="135" t="n">
        <v>59</v>
      </c>
      <c r="BA29" s="135" t="n">
        <v>208</v>
      </c>
      <c r="BB29" s="135" t="n">
        <v>51</v>
      </c>
      <c r="BC29" s="136" t="n">
        <v>0.22</v>
      </c>
      <c r="BD29" s="137" t="n">
        <v>54.4</v>
      </c>
      <c r="BE29" s="137" t="n">
        <v>21.5</v>
      </c>
      <c r="BF29" s="137" t="n">
        <v>39.1</v>
      </c>
      <c r="BG29" s="137" t="n">
        <v>30.4</v>
      </c>
      <c r="BH29" s="135" t="n">
        <v>144</v>
      </c>
      <c r="BI29" s="138" t="n">
        <v>21.7</v>
      </c>
    </row>
    <row r="30" ht="30" customHeight="1">
      <c r="A30" s="3" t="inlineStr">
        <is>
          <t>EST</t>
        </is>
      </c>
      <c r="B30" s="3" t="inlineStr">
        <is>
          <t>PILE</t>
        </is>
      </c>
      <c r="C30" s="3" t="inlineStr">
        <is>
          <t>Pile Est</t>
        </is>
      </c>
      <c r="D30" s="135" t="n">
        <v>741</v>
      </c>
      <c r="E30" s="135" t="n">
        <v>232</v>
      </c>
      <c r="F30" s="135" t="n">
        <v>134</v>
      </c>
      <c r="G30" s="135" t="n">
        <v>134</v>
      </c>
      <c r="H30" s="135" t="n">
        <v>9</v>
      </c>
      <c r="I30" s="135" t="n">
        <v>513</v>
      </c>
      <c r="J30" s="135" t="n">
        <v>118</v>
      </c>
      <c r="K30" s="135" t="n">
        <v>252</v>
      </c>
      <c r="L30" s="135" t="n">
        <v>142</v>
      </c>
      <c r="M30" s="135" t="n">
        <v>2220</v>
      </c>
      <c r="N30" s="135" t="n">
        <v>268</v>
      </c>
      <c r="O30" s="135" t="n">
        <v>134</v>
      </c>
      <c r="P30" s="135" t="n">
        <v>134</v>
      </c>
      <c r="Q30" s="135" t="n">
        <v>18</v>
      </c>
      <c r="R30" s="135" t="n">
        <v>1934</v>
      </c>
      <c r="S30" s="135" t="n">
        <v>257</v>
      </c>
      <c r="T30" s="135" t="n">
        <v>1220</v>
      </c>
      <c r="U30" s="135" t="n">
        <v>457</v>
      </c>
      <c r="V30" s="135" t="n">
        <v>579</v>
      </c>
      <c r="W30" s="135" t="n">
        <v>16</v>
      </c>
      <c r="X30" s="135" t="n">
        <v>149</v>
      </c>
      <c r="Y30" s="135" t="n">
        <v>123</v>
      </c>
      <c r="Z30" s="135" t="n">
        <v>86</v>
      </c>
      <c r="AA30" s="135" t="n">
        <v>613</v>
      </c>
      <c r="AB30" s="135" t="n">
        <v>0</v>
      </c>
      <c r="AC30" s="135" t="n">
        <v>30</v>
      </c>
      <c r="AD30" s="135" t="n">
        <v>9</v>
      </c>
      <c r="AE30" s="135" t="n">
        <v>93</v>
      </c>
      <c r="AF30" s="135" t="n">
        <v>156</v>
      </c>
      <c r="AG30" s="135" t="n">
        <v>187</v>
      </c>
      <c r="AH30" s="135" t="n">
        <v>199</v>
      </c>
      <c r="AI30" s="135" t="n">
        <v>115</v>
      </c>
      <c r="AJ30" s="135" t="n">
        <v>0</v>
      </c>
      <c r="AK30" s="135" t="n">
        <v>92</v>
      </c>
      <c r="AL30" s="135" t="n">
        <v>39</v>
      </c>
      <c r="AM30" s="135" t="n">
        <v>274</v>
      </c>
      <c r="AN30" s="135" t="n">
        <v>519</v>
      </c>
      <c r="AO30" s="135" t="n">
        <v>657</v>
      </c>
      <c r="AP30" s="135" t="n">
        <v>331</v>
      </c>
      <c r="AQ30" s="135" t="n">
        <v>307</v>
      </c>
      <c r="AR30" s="135" t="n">
        <v>524</v>
      </c>
      <c r="AS30" s="135" t="n">
        <v>252</v>
      </c>
      <c r="AT30" s="135" t="n">
        <v>146</v>
      </c>
      <c r="AU30" s="135" t="n">
        <v>126</v>
      </c>
      <c r="AV30" s="135" t="n">
        <v>193</v>
      </c>
      <c r="AW30" s="135" t="n">
        <v>85</v>
      </c>
      <c r="AX30" s="135" t="n">
        <v>86</v>
      </c>
      <c r="AY30" s="135" t="n">
        <v>76</v>
      </c>
      <c r="AZ30" s="135" t="n">
        <v>85</v>
      </c>
      <c r="BA30" s="135" t="n">
        <v>213</v>
      </c>
      <c r="BB30" s="135" t="n">
        <v>39</v>
      </c>
      <c r="BC30" s="136" t="n">
        <v>0.2</v>
      </c>
      <c r="BD30" s="137" t="n">
        <v>69.09999999999999</v>
      </c>
      <c r="BE30" s="137" t="n">
        <v>34</v>
      </c>
      <c r="BF30" s="137" t="n">
        <v>48.1</v>
      </c>
      <c r="BG30" s="137" t="n">
        <v>27.9</v>
      </c>
      <c r="BH30" s="135" t="n">
        <v>161</v>
      </c>
      <c r="BI30" s="138" t="n">
        <v>30.7</v>
      </c>
    </row>
    <row r="31" ht="30" customHeight="1">
      <c r="A31" s="3" t="inlineStr">
        <is>
          <t>EST</t>
        </is>
      </c>
      <c r="B31" s="3" t="inlineStr">
        <is>
          <t>PILE</t>
        </is>
      </c>
      <c r="C31" s="3" t="inlineStr">
        <is>
          <t>Pile Centre</t>
        </is>
      </c>
      <c r="D31" s="135" t="n">
        <v>812</v>
      </c>
      <c r="E31" s="135" t="n">
        <v>192</v>
      </c>
      <c r="F31" s="135" t="n">
        <v>87</v>
      </c>
      <c r="G31" s="135" t="n">
        <v>89</v>
      </c>
      <c r="H31" s="135" t="n">
        <v>12</v>
      </c>
      <c r="I31" s="135" t="n">
        <v>523</v>
      </c>
      <c r="J31" s="135" t="n">
        <v>76</v>
      </c>
      <c r="K31" s="135" t="n">
        <v>256</v>
      </c>
      <c r="L31" s="135" t="n">
        <v>191</v>
      </c>
      <c r="M31" s="135" t="n">
        <v>2296</v>
      </c>
      <c r="N31" s="135" t="n">
        <v>176</v>
      </c>
      <c r="O31" s="135" t="n">
        <v>87</v>
      </c>
      <c r="P31" s="135" t="n">
        <v>89</v>
      </c>
      <c r="Q31" s="135" t="n">
        <v>37</v>
      </c>
      <c r="R31" s="135" t="n">
        <v>2082</v>
      </c>
      <c r="S31" s="135" t="n">
        <v>207</v>
      </c>
      <c r="T31" s="135" t="n">
        <v>1225</v>
      </c>
      <c r="U31" s="135" t="n">
        <v>650</v>
      </c>
      <c r="V31" s="135" t="n">
        <v>594</v>
      </c>
      <c r="W31" s="135" t="n">
        <v>35</v>
      </c>
      <c r="X31" s="135" t="n">
        <v>173</v>
      </c>
      <c r="Y31" s="135" t="n">
        <v>61</v>
      </c>
      <c r="Z31" s="135" t="n">
        <v>114</v>
      </c>
      <c r="AA31" s="135" t="n">
        <v>772</v>
      </c>
      <c r="AB31" s="135" t="n">
        <v>0</v>
      </c>
      <c r="AC31" s="135" t="n">
        <v>10</v>
      </c>
      <c r="AD31" s="135" t="n">
        <v>7</v>
      </c>
      <c r="AE31" s="135" t="n">
        <v>83</v>
      </c>
      <c r="AF31" s="135" t="n">
        <v>144</v>
      </c>
      <c r="AG31" s="135" t="n">
        <v>260</v>
      </c>
      <c r="AH31" s="135" t="n">
        <v>117</v>
      </c>
      <c r="AI31" s="135" t="n">
        <v>91</v>
      </c>
      <c r="AJ31" s="135" t="n">
        <v>0</v>
      </c>
      <c r="AK31" s="135" t="n">
        <v>27</v>
      </c>
      <c r="AL31" s="135" t="n">
        <v>7</v>
      </c>
      <c r="AM31" s="135" t="n">
        <v>249</v>
      </c>
      <c r="AN31" s="135" t="n">
        <v>477</v>
      </c>
      <c r="AO31" s="135" t="n">
        <v>981</v>
      </c>
      <c r="AP31" s="135" t="n">
        <v>206</v>
      </c>
      <c r="AQ31" s="135" t="n">
        <v>350</v>
      </c>
      <c r="AR31" s="135" t="n">
        <v>543</v>
      </c>
      <c r="AS31" s="135" t="n">
        <v>260</v>
      </c>
      <c r="AT31" s="135" t="n">
        <v>207</v>
      </c>
      <c r="AU31" s="135" t="n">
        <v>76</v>
      </c>
      <c r="AV31" s="135" t="n">
        <v>121</v>
      </c>
      <c r="AW31" s="135" t="n">
        <v>112</v>
      </c>
      <c r="AX31" s="135" t="n">
        <v>105</v>
      </c>
      <c r="AY31" s="135" t="n">
        <v>110</v>
      </c>
      <c r="AZ31" s="135" t="n">
        <v>94</v>
      </c>
      <c r="BA31" s="135" t="n">
        <v>221</v>
      </c>
      <c r="BB31" s="135" t="n">
        <v>39</v>
      </c>
      <c r="BC31" s="136" t="n">
        <v>0.17</v>
      </c>
      <c r="BD31" s="137" t="n">
        <v>64.40000000000001</v>
      </c>
      <c r="BE31" s="137" t="n">
        <v>31.5</v>
      </c>
      <c r="BF31" s="137" t="n">
        <v>47.9</v>
      </c>
      <c r="BG31" s="137" t="n">
        <v>38.1</v>
      </c>
      <c r="BH31" s="135" t="n">
        <v>204</v>
      </c>
      <c r="BI31" s="138" t="n">
        <v>37.6</v>
      </c>
    </row>
    <row r="32" ht="30" customHeight="1">
      <c r="A32" s="3" t="inlineStr">
        <is>
          <t>EST</t>
        </is>
      </c>
      <c r="B32" s="3" t="inlineStr">
        <is>
          <t>PILE</t>
        </is>
      </c>
      <c r="C32" s="3" t="inlineStr">
        <is>
          <t>Pile Nord</t>
        </is>
      </c>
      <c r="D32" s="135" t="n">
        <v>766</v>
      </c>
      <c r="E32" s="135" t="n">
        <v>295</v>
      </c>
      <c r="F32" s="135" t="n">
        <v>90</v>
      </c>
      <c r="G32" s="135" t="n">
        <v>95</v>
      </c>
      <c r="H32" s="135" t="n">
        <v>13</v>
      </c>
      <c r="I32" s="135" t="n">
        <v>448</v>
      </c>
      <c r="J32" s="135" t="n">
        <v>64</v>
      </c>
      <c r="K32" s="135" t="n">
        <v>225</v>
      </c>
      <c r="L32" s="135" t="n">
        <v>160</v>
      </c>
      <c r="M32" s="135" t="n">
        <v>2060</v>
      </c>
      <c r="N32" s="135" t="n">
        <v>185</v>
      </c>
      <c r="O32" s="135" t="n">
        <v>90</v>
      </c>
      <c r="P32" s="135" t="n">
        <v>95</v>
      </c>
      <c r="Q32" s="135" t="n">
        <v>41</v>
      </c>
      <c r="R32" s="135" t="n">
        <v>1833</v>
      </c>
      <c r="S32" s="135" t="n">
        <v>150</v>
      </c>
      <c r="T32" s="135" t="n">
        <v>1093</v>
      </c>
      <c r="U32" s="135" t="n">
        <v>590</v>
      </c>
      <c r="V32" s="135" t="n">
        <v>540</v>
      </c>
      <c r="W32" s="135" t="n">
        <v>16</v>
      </c>
      <c r="X32" s="135" t="n">
        <v>127</v>
      </c>
      <c r="Y32" s="135" t="n">
        <v>107</v>
      </c>
      <c r="Z32" s="135" t="n">
        <v>74</v>
      </c>
      <c r="AA32" s="135" t="n">
        <v>813</v>
      </c>
      <c r="AB32" s="135" t="n">
        <v>0</v>
      </c>
      <c r="AC32" s="135" t="n">
        <v>26</v>
      </c>
      <c r="AD32" s="135" t="n">
        <v>32</v>
      </c>
      <c r="AE32" s="135" t="n">
        <v>52</v>
      </c>
      <c r="AF32" s="135" t="n">
        <v>124</v>
      </c>
      <c r="AG32" s="135" t="n">
        <v>157</v>
      </c>
      <c r="AH32" s="135" t="n">
        <v>109</v>
      </c>
      <c r="AI32" s="135" t="n">
        <v>146</v>
      </c>
      <c r="AJ32" s="135" t="n">
        <v>0</v>
      </c>
      <c r="AK32" s="135" t="n">
        <v>106</v>
      </c>
      <c r="AL32" s="135" t="n">
        <v>57</v>
      </c>
      <c r="AM32" s="135" t="n">
        <v>195</v>
      </c>
      <c r="AN32" s="135" t="n">
        <v>490</v>
      </c>
      <c r="AO32" s="135" t="n">
        <v>543</v>
      </c>
      <c r="AP32" s="135" t="n">
        <v>187</v>
      </c>
      <c r="AQ32" s="135" t="n">
        <v>482</v>
      </c>
      <c r="AR32" s="135" t="n">
        <v>467</v>
      </c>
      <c r="AS32" s="135" t="n">
        <v>225</v>
      </c>
      <c r="AT32" s="135" t="n">
        <v>173</v>
      </c>
      <c r="AU32" s="135" t="n">
        <v>69</v>
      </c>
      <c r="AV32" s="135" t="n">
        <v>128</v>
      </c>
      <c r="AW32" s="135" t="n">
        <v>73</v>
      </c>
      <c r="AX32" s="135" t="n">
        <v>111</v>
      </c>
      <c r="AY32" s="135" t="n">
        <v>62</v>
      </c>
      <c r="AZ32" s="135" t="n">
        <v>93</v>
      </c>
      <c r="BA32" s="135" t="n">
        <v>174</v>
      </c>
      <c r="BB32" s="135" t="n">
        <v>51</v>
      </c>
      <c r="BC32" s="136" t="n">
        <v>0.33</v>
      </c>
      <c r="BD32" s="137" t="n">
        <v>58.5</v>
      </c>
      <c r="BE32" s="137" t="n">
        <v>29.3</v>
      </c>
      <c r="BF32" s="137" t="n">
        <v>48.2</v>
      </c>
      <c r="BG32" s="137" t="n">
        <v>37.1</v>
      </c>
      <c r="BH32" s="135" t="n">
        <v>155</v>
      </c>
      <c r="BI32" s="138" t="n">
        <v>33.2</v>
      </c>
    </row>
    <row r="33" ht="30" customHeight="1">
      <c r="A33" s="3" t="inlineStr">
        <is>
          <t>EST</t>
        </is>
      </c>
      <c r="B33" s="3" t="inlineStr">
        <is>
          <t>TROIS PONTS</t>
        </is>
      </c>
      <c r="C33" s="3" t="inlineStr">
        <is>
          <t>Trois Ponts Nord</t>
        </is>
      </c>
      <c r="D33" s="135" t="n">
        <v>166</v>
      </c>
      <c r="E33" s="135" t="n">
        <v>51</v>
      </c>
      <c r="F33" s="135" t="n">
        <v>27</v>
      </c>
      <c r="G33" s="135" t="n">
        <v>24</v>
      </c>
      <c r="H33" s="135" t="n">
        <v>5</v>
      </c>
      <c r="I33" s="135" t="n">
        <v>138</v>
      </c>
      <c r="J33" s="135" t="n">
        <v>18</v>
      </c>
      <c r="K33" s="135" t="n">
        <v>51</v>
      </c>
      <c r="L33" s="135" t="n">
        <v>69</v>
      </c>
      <c r="M33" s="135" t="n">
        <v>523</v>
      </c>
      <c r="N33" s="135" t="n">
        <v>51</v>
      </c>
      <c r="O33" s="135" t="n">
        <v>27</v>
      </c>
      <c r="P33" s="135" t="n">
        <v>24</v>
      </c>
      <c r="Q33" s="135" t="n">
        <v>11</v>
      </c>
      <c r="R33" s="135" t="n">
        <v>461</v>
      </c>
      <c r="S33" s="135" t="n">
        <v>36</v>
      </c>
      <c r="T33" s="135" t="n">
        <v>232</v>
      </c>
      <c r="U33" s="135" t="n">
        <v>193</v>
      </c>
      <c r="V33" s="135" t="n">
        <v>99</v>
      </c>
      <c r="W33" s="135" t="n">
        <v>3</v>
      </c>
      <c r="X33" s="135" t="n">
        <v>32</v>
      </c>
      <c r="Y33" s="135" t="n">
        <v>25</v>
      </c>
      <c r="Z33" s="135" t="n">
        <v>62</v>
      </c>
      <c r="AA33" s="135" t="n">
        <v>198</v>
      </c>
      <c r="AB33" s="135" t="n">
        <v>0</v>
      </c>
      <c r="AC33" s="135" t="n">
        <v>0</v>
      </c>
      <c r="AD33" s="135" t="n">
        <v>16</v>
      </c>
      <c r="AE33" s="135" t="n">
        <v>5</v>
      </c>
      <c r="AF33" s="135" t="n">
        <v>62</v>
      </c>
      <c r="AG33" s="135" t="n">
        <v>45</v>
      </c>
      <c r="AH33" s="135" t="n">
        <v>17</v>
      </c>
      <c r="AI33" s="135" t="n">
        <v>48</v>
      </c>
      <c r="AJ33" s="135" t="n">
        <v>0</v>
      </c>
      <c r="AK33" s="135" t="n">
        <v>0</v>
      </c>
      <c r="AL33" s="135" t="n">
        <v>37</v>
      </c>
      <c r="AM33" s="135" t="n">
        <v>9</v>
      </c>
      <c r="AN33" s="135" t="n">
        <v>207</v>
      </c>
      <c r="AO33" s="135" t="n">
        <v>118</v>
      </c>
      <c r="AP33" s="135" t="n">
        <v>17</v>
      </c>
      <c r="AQ33" s="135" t="n">
        <v>135</v>
      </c>
      <c r="AR33" s="135" t="n">
        <v>138</v>
      </c>
      <c r="AS33" s="135" t="n">
        <v>51</v>
      </c>
      <c r="AT33" s="135" t="n">
        <v>69</v>
      </c>
      <c r="AU33" s="135" t="n">
        <v>18</v>
      </c>
      <c r="AV33" s="135" t="n">
        <v>24</v>
      </c>
      <c r="AW33" s="135" t="n">
        <v>27</v>
      </c>
      <c r="AX33" s="135" t="n">
        <v>55</v>
      </c>
      <c r="AY33" s="135" t="n">
        <v>27</v>
      </c>
      <c r="AZ33" s="135" t="n">
        <v>6</v>
      </c>
      <c r="BA33" s="135" t="n">
        <v>40</v>
      </c>
      <c r="BB33" s="135" t="n">
        <v>11</v>
      </c>
      <c r="BC33" s="136" t="n">
        <v>0.1</v>
      </c>
      <c r="BD33" s="137" t="n">
        <v>83.09999999999999</v>
      </c>
      <c r="BE33" s="137" t="n">
        <v>31</v>
      </c>
      <c r="BF33" s="137" t="n">
        <v>37.2</v>
      </c>
      <c r="BG33" s="137" t="n">
        <v>49.8</v>
      </c>
      <c r="BH33" s="135" t="n">
        <v>33</v>
      </c>
      <c r="BI33" s="138" t="n">
        <v>23.8</v>
      </c>
    </row>
    <row r="34" ht="30" customHeight="1">
      <c r="A34" s="3" t="inlineStr">
        <is>
          <t>EST</t>
        </is>
      </c>
      <c r="B34" s="3" t="inlineStr">
        <is>
          <t>TROIS PONTS</t>
        </is>
      </c>
      <c r="C34" s="3" t="inlineStr">
        <is>
          <t>Trois Ponts Sud</t>
        </is>
      </c>
      <c r="D34" s="135" t="n">
        <v>821</v>
      </c>
      <c r="E34" s="135" t="n">
        <v>255</v>
      </c>
      <c r="F34" s="135" t="n">
        <v>121</v>
      </c>
      <c r="G34" s="135" t="n">
        <v>141</v>
      </c>
      <c r="H34" s="135" t="n">
        <v>8</v>
      </c>
      <c r="I34" s="135" t="n">
        <v>565</v>
      </c>
      <c r="J34" s="135" t="n">
        <v>76</v>
      </c>
      <c r="K34" s="135" t="n">
        <v>292</v>
      </c>
      <c r="L34" s="135" t="n">
        <v>197</v>
      </c>
      <c r="M34" s="135" t="n">
        <v>2408</v>
      </c>
      <c r="N34" s="135" t="n">
        <v>262</v>
      </c>
      <c r="O34" s="135" t="n">
        <v>121</v>
      </c>
      <c r="P34" s="135" t="n">
        <v>141</v>
      </c>
      <c r="Q34" s="135" t="n">
        <v>16</v>
      </c>
      <c r="R34" s="135" t="n">
        <v>2130</v>
      </c>
      <c r="S34" s="135" t="n">
        <v>162</v>
      </c>
      <c r="T34" s="135" t="n">
        <v>1380</v>
      </c>
      <c r="U34" s="135" t="n">
        <v>588</v>
      </c>
      <c r="V34" s="135" t="n">
        <v>715</v>
      </c>
      <c r="W34" s="135" t="n">
        <v>0</v>
      </c>
      <c r="X34" s="135" t="n">
        <v>36</v>
      </c>
      <c r="Y34" s="135" t="n">
        <v>74</v>
      </c>
      <c r="Z34" s="135" t="n">
        <v>117</v>
      </c>
      <c r="AA34" s="135" t="n">
        <v>710</v>
      </c>
      <c r="AB34" s="135" t="n">
        <v>0</v>
      </c>
      <c r="AC34" s="135" t="n">
        <v>26</v>
      </c>
      <c r="AD34" s="135" t="n">
        <v>11</v>
      </c>
      <c r="AE34" s="135" t="n">
        <v>55</v>
      </c>
      <c r="AF34" s="135" t="n">
        <v>174</v>
      </c>
      <c r="AG34" s="135" t="n">
        <v>220</v>
      </c>
      <c r="AH34" s="135" t="n">
        <v>148</v>
      </c>
      <c r="AI34" s="135" t="n">
        <v>201</v>
      </c>
      <c r="AJ34" s="135" t="n">
        <v>0</v>
      </c>
      <c r="AK34" s="135" t="n">
        <v>127</v>
      </c>
      <c r="AL34" s="135" t="n">
        <v>42</v>
      </c>
      <c r="AM34" s="135" t="n">
        <v>182</v>
      </c>
      <c r="AN34" s="135" t="n">
        <v>485</v>
      </c>
      <c r="AO34" s="135" t="n">
        <v>795</v>
      </c>
      <c r="AP34" s="135" t="n">
        <v>252</v>
      </c>
      <c r="AQ34" s="135" t="n">
        <v>526</v>
      </c>
      <c r="AR34" s="135" t="n">
        <v>573</v>
      </c>
      <c r="AS34" s="135" t="n">
        <v>292</v>
      </c>
      <c r="AT34" s="135" t="n">
        <v>202</v>
      </c>
      <c r="AU34" s="135" t="n">
        <v>80</v>
      </c>
      <c r="AV34" s="135" t="n">
        <v>134</v>
      </c>
      <c r="AW34" s="135" t="n">
        <v>114</v>
      </c>
      <c r="AX34" s="135" t="n">
        <v>125</v>
      </c>
      <c r="AY34" s="135" t="n">
        <v>135</v>
      </c>
      <c r="AZ34" s="135" t="n">
        <v>65</v>
      </c>
      <c r="BA34" s="135" t="n">
        <v>259</v>
      </c>
      <c r="BB34" s="135" t="n">
        <v>33</v>
      </c>
      <c r="BC34" s="136" t="n">
        <v>0.18</v>
      </c>
      <c r="BD34" s="137" t="n">
        <v>68.90000000000001</v>
      </c>
      <c r="BE34" s="137" t="n">
        <v>35.5</v>
      </c>
      <c r="BF34" s="137" t="n">
        <v>50.8</v>
      </c>
      <c r="BG34" s="137" t="n">
        <v>35.2</v>
      </c>
      <c r="BH34" s="135" t="n">
        <v>200</v>
      </c>
      <c r="BI34" s="138" t="n">
        <v>34.9</v>
      </c>
    </row>
    <row r="35" ht="30" customHeight="1">
      <c r="A35" s="3" t="inlineStr">
        <is>
          <t>EST</t>
        </is>
      </c>
      <c r="B35" s="3" t="inlineStr">
        <is>
          <t>SARTEL CARIHEM</t>
        </is>
      </c>
      <c r="C35" s="3" t="inlineStr">
        <is>
          <t>Sartel</t>
        </is>
      </c>
      <c r="D35" s="135" t="n">
        <v>614</v>
      </c>
      <c r="E35" s="135" t="n">
        <v>257</v>
      </c>
      <c r="F35" s="135" t="n">
        <v>154</v>
      </c>
      <c r="G35" s="135" t="n">
        <v>122</v>
      </c>
      <c r="H35" s="135" t="n">
        <v>13</v>
      </c>
      <c r="I35" s="135" t="n">
        <v>365</v>
      </c>
      <c r="J35" s="135" t="n">
        <v>112</v>
      </c>
      <c r="K35" s="135" t="n">
        <v>178</v>
      </c>
      <c r="L35" s="135" t="n">
        <v>76</v>
      </c>
      <c r="M35" s="135" t="n">
        <v>1627</v>
      </c>
      <c r="N35" s="135" t="n">
        <v>275</v>
      </c>
      <c r="O35" s="135" t="n">
        <v>154</v>
      </c>
      <c r="P35" s="135" t="n">
        <v>122</v>
      </c>
      <c r="Q35" s="135" t="n">
        <v>26</v>
      </c>
      <c r="R35" s="135" t="n">
        <v>1326</v>
      </c>
      <c r="S35" s="135" t="n">
        <v>243</v>
      </c>
      <c r="T35" s="135" t="n">
        <v>830</v>
      </c>
      <c r="U35" s="135" t="n">
        <v>253</v>
      </c>
      <c r="V35" s="135" t="n">
        <v>491</v>
      </c>
      <c r="W35" s="135" t="n">
        <v>35</v>
      </c>
      <c r="X35" s="135" t="n">
        <v>79</v>
      </c>
      <c r="Y35" s="135" t="n">
        <v>137</v>
      </c>
      <c r="Z35" s="135" t="n">
        <v>118</v>
      </c>
      <c r="AA35" s="135" t="n">
        <v>503</v>
      </c>
      <c r="AB35" s="135" t="n">
        <v>0</v>
      </c>
      <c r="AC35" s="135" t="n">
        <v>38</v>
      </c>
      <c r="AD35" s="135" t="n">
        <v>20</v>
      </c>
      <c r="AE35" s="135" t="n">
        <v>48</v>
      </c>
      <c r="AF35" s="135" t="n">
        <v>126</v>
      </c>
      <c r="AG35" s="135" t="n">
        <v>132</v>
      </c>
      <c r="AH35" s="135" t="n">
        <v>192</v>
      </c>
      <c r="AI35" s="135" t="n">
        <v>97</v>
      </c>
      <c r="AJ35" s="135" t="n">
        <v>0</v>
      </c>
      <c r="AK35" s="135" t="n">
        <v>122</v>
      </c>
      <c r="AL35" s="135" t="n">
        <v>53</v>
      </c>
      <c r="AM35" s="135" t="n">
        <v>122</v>
      </c>
      <c r="AN35" s="135" t="n">
        <v>423</v>
      </c>
      <c r="AO35" s="135" t="n">
        <v>419</v>
      </c>
      <c r="AP35" s="135" t="n">
        <v>302</v>
      </c>
      <c r="AQ35" s="135" t="n">
        <v>187</v>
      </c>
      <c r="AR35" s="135" t="n">
        <v>375</v>
      </c>
      <c r="AS35" s="135" t="n">
        <v>179</v>
      </c>
      <c r="AT35" s="135" t="n">
        <v>84</v>
      </c>
      <c r="AU35" s="135" t="n">
        <v>112</v>
      </c>
      <c r="AV35" s="135" t="n">
        <v>153</v>
      </c>
      <c r="AW35" s="135" t="n">
        <v>58</v>
      </c>
      <c r="AX35" s="135" t="n">
        <v>63</v>
      </c>
      <c r="AY35" s="135" t="n">
        <v>45</v>
      </c>
      <c r="AZ35" s="135" t="n">
        <v>55</v>
      </c>
      <c r="BA35" s="135" t="n">
        <v>157</v>
      </c>
      <c r="BB35" s="135" t="n">
        <v>22</v>
      </c>
      <c r="BC35" s="136" t="n">
        <v>1</v>
      </c>
      <c r="BD35" s="137" t="n">
        <v>59.5</v>
      </c>
      <c r="BE35" s="137" t="n">
        <v>28.9</v>
      </c>
      <c r="BF35" s="137" t="n">
        <v>47.7</v>
      </c>
      <c r="BG35" s="137" t="n">
        <v>22.5</v>
      </c>
      <c r="BH35" s="135" t="n">
        <v>100</v>
      </c>
      <c r="BI35" s="138" t="n">
        <v>26.8</v>
      </c>
    </row>
    <row r="36" ht="30" customHeight="1">
      <c r="A36" s="3" t="inlineStr">
        <is>
          <t>SUD</t>
        </is>
      </c>
      <c r="B36" s="3" t="inlineStr">
        <is>
          <t>CHEMIN NEUF/LINNE</t>
        </is>
      </c>
      <c r="C36" s="3" t="inlineStr">
        <is>
          <t>Linné-Chemin Neuf</t>
        </is>
      </c>
      <c r="D36" s="135" t="n">
        <v>1420</v>
      </c>
      <c r="E36" s="135" t="n">
        <v>531</v>
      </c>
      <c r="F36" s="135" t="n">
        <v>228</v>
      </c>
      <c r="G36" s="135" t="n">
        <v>342</v>
      </c>
      <c r="H36" s="135" t="n">
        <v>7</v>
      </c>
      <c r="I36" s="135" t="n">
        <v>922</v>
      </c>
      <c r="J36" s="135" t="n">
        <v>215</v>
      </c>
      <c r="K36" s="135" t="n">
        <v>502</v>
      </c>
      <c r="L36" s="135" t="n">
        <v>205</v>
      </c>
      <c r="M36" s="135" t="n">
        <v>3667</v>
      </c>
      <c r="N36" s="135" t="n">
        <v>570</v>
      </c>
      <c r="O36" s="135" t="n">
        <v>228</v>
      </c>
      <c r="P36" s="135" t="n">
        <v>342</v>
      </c>
      <c r="Q36" s="135" t="n">
        <v>14</v>
      </c>
      <c r="R36" s="135" t="n">
        <v>3083</v>
      </c>
      <c r="S36" s="135" t="n">
        <v>446</v>
      </c>
      <c r="T36" s="135" t="n">
        <v>2098</v>
      </c>
      <c r="U36" s="135" t="n">
        <v>539</v>
      </c>
      <c r="V36" s="135" t="n">
        <v>1107</v>
      </c>
      <c r="W36" s="135" t="n">
        <v>121</v>
      </c>
      <c r="X36" s="135" t="n">
        <v>204</v>
      </c>
      <c r="Y36" s="135" t="n">
        <v>115</v>
      </c>
      <c r="Z36" s="135" t="n">
        <v>221</v>
      </c>
      <c r="AA36" s="135" t="n">
        <v>953</v>
      </c>
      <c r="AB36" s="135" t="n">
        <v>0</v>
      </c>
      <c r="AC36" s="135" t="n">
        <v>50</v>
      </c>
      <c r="AD36" s="135" t="n">
        <v>171</v>
      </c>
      <c r="AE36" s="135" t="n">
        <v>277</v>
      </c>
      <c r="AF36" s="135" t="n">
        <v>249</v>
      </c>
      <c r="AG36" s="135" t="n">
        <v>248</v>
      </c>
      <c r="AH36" s="135" t="n">
        <v>386</v>
      </c>
      <c r="AI36" s="135" t="n">
        <v>117</v>
      </c>
      <c r="AJ36" s="135" t="n">
        <v>0</v>
      </c>
      <c r="AK36" s="135" t="n">
        <v>150</v>
      </c>
      <c r="AL36" s="135" t="n">
        <v>591</v>
      </c>
      <c r="AM36" s="135" t="n">
        <v>899</v>
      </c>
      <c r="AN36" s="135" t="n">
        <v>614</v>
      </c>
      <c r="AO36" s="135" t="n">
        <v>700</v>
      </c>
      <c r="AP36" s="135" t="n">
        <v>506</v>
      </c>
      <c r="AQ36" s="135" t="n">
        <v>207</v>
      </c>
      <c r="AR36" s="135" t="n">
        <v>936</v>
      </c>
      <c r="AS36" s="135" t="n">
        <v>502</v>
      </c>
      <c r="AT36" s="135" t="n">
        <v>210</v>
      </c>
      <c r="AU36" s="135" t="n">
        <v>223</v>
      </c>
      <c r="AV36" s="135" t="n">
        <v>284</v>
      </c>
      <c r="AW36" s="135" t="n">
        <v>259</v>
      </c>
      <c r="AX36" s="135" t="n">
        <v>204</v>
      </c>
      <c r="AY36" s="135" t="n">
        <v>144</v>
      </c>
      <c r="AZ36" s="135" t="n">
        <v>44</v>
      </c>
      <c r="BA36" s="135" t="n">
        <v>448</v>
      </c>
      <c r="BB36" s="135" t="n">
        <v>55</v>
      </c>
      <c r="BC36" s="136" t="n">
        <v>0.46</v>
      </c>
      <c r="BD36" s="137" t="n">
        <v>64.90000000000001</v>
      </c>
      <c r="BE36" s="137" t="n">
        <v>35.4</v>
      </c>
      <c r="BF36" s="137" t="n">
        <v>53.7</v>
      </c>
      <c r="BG36" s="137" t="n">
        <v>22.5</v>
      </c>
      <c r="BH36" s="135" t="n">
        <v>189</v>
      </c>
      <c r="BI36" s="138" t="n">
        <v>20.2</v>
      </c>
    </row>
    <row r="37" ht="30" customHeight="1">
      <c r="A37" s="3" t="inlineStr">
        <is>
          <t>SUD</t>
        </is>
      </c>
      <c r="B37" s="3" t="inlineStr">
        <is>
          <t>JUSTICE</t>
        </is>
      </c>
      <c r="C37" s="3" t="inlineStr">
        <is>
          <t>Justice</t>
        </is>
      </c>
      <c r="D37" s="135" t="n">
        <v>877</v>
      </c>
      <c r="E37" s="135" t="n">
        <v>240</v>
      </c>
      <c r="F37" s="135" t="n">
        <v>98</v>
      </c>
      <c r="G37" s="135" t="n">
        <v>142</v>
      </c>
      <c r="H37" s="135" t="n">
        <v>4</v>
      </c>
      <c r="I37" s="135" t="n">
        <v>632</v>
      </c>
      <c r="J37" s="135" t="n">
        <v>168</v>
      </c>
      <c r="K37" s="135" t="n">
        <v>352</v>
      </c>
      <c r="L37" s="135" t="n">
        <v>111</v>
      </c>
      <c r="M37" s="135" t="n">
        <v>2381</v>
      </c>
      <c r="N37" s="135" t="n">
        <v>240</v>
      </c>
      <c r="O37" s="135" t="n">
        <v>98</v>
      </c>
      <c r="P37" s="135" t="n">
        <v>142</v>
      </c>
      <c r="Q37" s="135" t="n">
        <v>11</v>
      </c>
      <c r="R37" s="135" t="n">
        <v>2130</v>
      </c>
      <c r="S37" s="135" t="n">
        <v>349</v>
      </c>
      <c r="T37" s="135" t="n">
        <v>1482</v>
      </c>
      <c r="U37" s="135" t="n">
        <v>299</v>
      </c>
      <c r="V37" s="135" t="n">
        <v>917</v>
      </c>
      <c r="W37" s="135" t="n">
        <v>60</v>
      </c>
      <c r="X37" s="135" t="n">
        <v>126</v>
      </c>
      <c r="Y37" s="135" t="n">
        <v>76</v>
      </c>
      <c r="Z37" s="135" t="n">
        <v>86</v>
      </c>
      <c r="AA37" s="135" t="n">
        <v>600</v>
      </c>
      <c r="AB37" s="135" t="n">
        <v>0</v>
      </c>
      <c r="AC37" s="135" t="n">
        <v>45</v>
      </c>
      <c r="AD37" s="135" t="n">
        <v>117</v>
      </c>
      <c r="AE37" s="135" t="n">
        <v>145</v>
      </c>
      <c r="AF37" s="135" t="n">
        <v>114</v>
      </c>
      <c r="AG37" s="135" t="n">
        <v>191</v>
      </c>
      <c r="AH37" s="135" t="n">
        <v>212</v>
      </c>
      <c r="AI37" s="135" t="n">
        <v>50</v>
      </c>
      <c r="AJ37" s="135" t="n">
        <v>0</v>
      </c>
      <c r="AK37" s="135" t="n">
        <v>159</v>
      </c>
      <c r="AL37" s="135" t="n">
        <v>336</v>
      </c>
      <c r="AM37" s="135" t="n">
        <v>448</v>
      </c>
      <c r="AN37" s="135" t="n">
        <v>322</v>
      </c>
      <c r="AO37" s="135" t="n">
        <v>677</v>
      </c>
      <c r="AP37" s="135" t="n">
        <v>344</v>
      </c>
      <c r="AQ37" s="135" t="n">
        <v>96</v>
      </c>
      <c r="AR37" s="135" t="n">
        <v>647</v>
      </c>
      <c r="AS37" s="135" t="n">
        <v>352</v>
      </c>
      <c r="AT37" s="135" t="n">
        <v>119</v>
      </c>
      <c r="AU37" s="135" t="n">
        <v>176</v>
      </c>
      <c r="AV37" s="135" t="n">
        <v>245</v>
      </c>
      <c r="AW37" s="135" t="n">
        <v>157</v>
      </c>
      <c r="AX37" s="135" t="n">
        <v>130</v>
      </c>
      <c r="AY37" s="135" t="n">
        <v>78</v>
      </c>
      <c r="AZ37" s="135" t="n">
        <v>37</v>
      </c>
      <c r="BA37" s="135" t="n">
        <v>323</v>
      </c>
      <c r="BB37" s="135" t="n">
        <v>29</v>
      </c>
      <c r="BC37" s="136" t="n">
        <v>0.52</v>
      </c>
      <c r="BD37" s="137" t="n">
        <v>72</v>
      </c>
      <c r="BE37" s="137" t="n">
        <v>40.1</v>
      </c>
      <c r="BF37" s="137" t="n">
        <v>54.4</v>
      </c>
      <c r="BG37" s="137" t="n">
        <v>18.4</v>
      </c>
      <c r="BH37" s="135" t="n">
        <v>115</v>
      </c>
      <c r="BI37" s="138" t="n">
        <v>17.8</v>
      </c>
    </row>
    <row r="38" ht="30" customHeight="1">
      <c r="A38" s="3" t="inlineStr">
        <is>
          <t>EST</t>
        </is>
      </c>
      <c r="B38" s="3" t="inlineStr">
        <is>
          <t>FRATERNITE</t>
        </is>
      </c>
      <c r="C38" s="3" t="inlineStr">
        <is>
          <t>Fraternité</t>
        </is>
      </c>
      <c r="D38" s="135" t="n">
        <v>914</v>
      </c>
      <c r="E38" s="135" t="n">
        <v>284</v>
      </c>
      <c r="F38" s="135" t="n">
        <v>182</v>
      </c>
      <c r="G38" s="135" t="n">
        <v>120</v>
      </c>
      <c r="H38" s="135" t="n">
        <v>19</v>
      </c>
      <c r="I38" s="135" t="n">
        <v>622</v>
      </c>
      <c r="J38" s="135" t="n">
        <v>152</v>
      </c>
      <c r="K38" s="135" t="n">
        <v>292</v>
      </c>
      <c r="L38" s="135" t="n">
        <v>178</v>
      </c>
      <c r="M38" s="135" t="n">
        <v>2526</v>
      </c>
      <c r="N38" s="135" t="n">
        <v>302</v>
      </c>
      <c r="O38" s="135" t="n">
        <v>182</v>
      </c>
      <c r="P38" s="135" t="n">
        <v>120</v>
      </c>
      <c r="Q38" s="135" t="n">
        <v>50</v>
      </c>
      <c r="R38" s="135" t="n">
        <v>2174</v>
      </c>
      <c r="S38" s="135" t="n">
        <v>312</v>
      </c>
      <c r="T38" s="135" t="n">
        <v>1270</v>
      </c>
      <c r="U38" s="135" t="n">
        <v>592</v>
      </c>
      <c r="V38" s="135" t="n">
        <v>758</v>
      </c>
      <c r="W38" s="135" t="n">
        <v>85</v>
      </c>
      <c r="X38" s="135" t="n">
        <v>93</v>
      </c>
      <c r="Y38" s="135" t="n">
        <v>118</v>
      </c>
      <c r="Z38" s="135" t="n">
        <v>168</v>
      </c>
      <c r="AA38" s="135" t="n">
        <v>749</v>
      </c>
      <c r="AB38" s="135" t="n">
        <v>0</v>
      </c>
      <c r="AC38" s="135" t="n">
        <v>63</v>
      </c>
      <c r="AD38" s="135" t="n">
        <v>109</v>
      </c>
      <c r="AE38" s="135" t="n">
        <v>115</v>
      </c>
      <c r="AF38" s="135" t="n">
        <v>176</v>
      </c>
      <c r="AG38" s="135" t="n">
        <v>219</v>
      </c>
      <c r="AH38" s="135" t="n">
        <v>162</v>
      </c>
      <c r="AI38" s="135" t="n">
        <v>98</v>
      </c>
      <c r="AJ38" s="135" t="n">
        <v>0</v>
      </c>
      <c r="AK38" s="135" t="n">
        <v>214</v>
      </c>
      <c r="AL38" s="135" t="n">
        <v>313</v>
      </c>
      <c r="AM38" s="135" t="n">
        <v>278</v>
      </c>
      <c r="AN38" s="135" t="n">
        <v>552</v>
      </c>
      <c r="AO38" s="135" t="n">
        <v>654</v>
      </c>
      <c r="AP38" s="135" t="n">
        <v>267</v>
      </c>
      <c r="AQ38" s="135" t="n">
        <v>247</v>
      </c>
      <c r="AR38" s="135" t="n">
        <v>626</v>
      </c>
      <c r="AS38" s="135" t="n">
        <v>292</v>
      </c>
      <c r="AT38" s="135" t="n">
        <v>182</v>
      </c>
      <c r="AU38" s="135" t="n">
        <v>152</v>
      </c>
      <c r="AV38" s="135" t="n">
        <v>220</v>
      </c>
      <c r="AW38" s="135" t="n">
        <v>123</v>
      </c>
      <c r="AX38" s="135" t="n">
        <v>103</v>
      </c>
      <c r="AY38" s="135" t="n">
        <v>105</v>
      </c>
      <c r="AZ38" s="135" t="n">
        <v>76</v>
      </c>
      <c r="BA38" s="135" t="n">
        <v>258</v>
      </c>
      <c r="BB38" s="135" t="n">
        <v>35</v>
      </c>
      <c r="BC38" s="136" t="n">
        <v>0.41</v>
      </c>
      <c r="BD38" s="137" t="n">
        <v>68</v>
      </c>
      <c r="BE38" s="137" t="n">
        <v>32</v>
      </c>
      <c r="BF38" s="137" t="n">
        <v>46.7</v>
      </c>
      <c r="BG38" s="137" t="n">
        <v>29.1</v>
      </c>
      <c r="BH38" s="135" t="n">
        <v>181</v>
      </c>
      <c r="BI38" s="138" t="n">
        <v>28.8</v>
      </c>
    </row>
    <row r="39" ht="30" customHeight="1">
      <c r="A39" s="3" t="inlineStr">
        <is>
          <t>SUD</t>
        </is>
      </c>
      <c r="B39" s="3" t="inlineStr">
        <is>
          <t>NOUVEAU ROUBAIX</t>
        </is>
      </c>
      <c r="C39" s="3" t="inlineStr">
        <is>
          <t>Nouveau Roubaix</t>
        </is>
      </c>
      <c r="D39" s="135" t="n">
        <v>977</v>
      </c>
      <c r="E39" s="135" t="n">
        <v>326</v>
      </c>
      <c r="F39" s="135" t="n">
        <v>161</v>
      </c>
      <c r="G39" s="135" t="n">
        <v>171</v>
      </c>
      <c r="H39" s="135" t="n">
        <v>21</v>
      </c>
      <c r="I39" s="135" t="n">
        <v>593</v>
      </c>
      <c r="J39" s="135" t="n">
        <v>80</v>
      </c>
      <c r="K39" s="135" t="n">
        <v>267</v>
      </c>
      <c r="L39" s="135" t="n">
        <v>247</v>
      </c>
      <c r="M39" s="135" t="n">
        <v>2565</v>
      </c>
      <c r="N39" s="135" t="n">
        <v>332</v>
      </c>
      <c r="O39" s="135" t="n">
        <v>161</v>
      </c>
      <c r="P39" s="135" t="n">
        <v>171</v>
      </c>
      <c r="Q39" s="135" t="n">
        <v>55</v>
      </c>
      <c r="R39" s="135" t="n">
        <v>2178</v>
      </c>
      <c r="S39" s="135" t="n">
        <v>169</v>
      </c>
      <c r="T39" s="135" t="n">
        <v>1265</v>
      </c>
      <c r="U39" s="135" t="n">
        <v>745</v>
      </c>
      <c r="V39" s="135" t="n">
        <v>596</v>
      </c>
      <c r="W39" s="135" t="n">
        <v>23</v>
      </c>
      <c r="X39" s="135" t="n">
        <v>151</v>
      </c>
      <c r="Y39" s="135" t="n">
        <v>110</v>
      </c>
      <c r="Z39" s="135" t="n">
        <v>170</v>
      </c>
      <c r="AA39" s="135" t="n">
        <v>833</v>
      </c>
      <c r="AB39" s="135" t="n">
        <v>0</v>
      </c>
      <c r="AC39" s="135" t="n">
        <v>24</v>
      </c>
      <c r="AD39" s="135" t="n">
        <v>44</v>
      </c>
      <c r="AE39" s="135" t="n">
        <v>134</v>
      </c>
      <c r="AF39" s="135" t="n">
        <v>171</v>
      </c>
      <c r="AG39" s="135" t="n">
        <v>217</v>
      </c>
      <c r="AH39" s="135" t="n">
        <v>199</v>
      </c>
      <c r="AI39" s="135" t="n">
        <v>158</v>
      </c>
      <c r="AJ39" s="135" t="n">
        <v>0</v>
      </c>
      <c r="AK39" s="135" t="n">
        <v>83</v>
      </c>
      <c r="AL39" s="135" t="n">
        <v>115</v>
      </c>
      <c r="AM39" s="135" t="n">
        <v>378</v>
      </c>
      <c r="AN39" s="135" t="n">
        <v>579</v>
      </c>
      <c r="AO39" s="135" t="n">
        <v>752</v>
      </c>
      <c r="AP39" s="135" t="n">
        <v>266</v>
      </c>
      <c r="AQ39" s="135" t="n">
        <v>392</v>
      </c>
      <c r="AR39" s="135" t="n">
        <v>608</v>
      </c>
      <c r="AS39" s="135" t="n">
        <v>267</v>
      </c>
      <c r="AT39" s="135" t="n">
        <v>257</v>
      </c>
      <c r="AU39" s="135" t="n">
        <v>84</v>
      </c>
      <c r="AV39" s="135" t="n">
        <v>166</v>
      </c>
      <c r="AW39" s="135" t="n">
        <v>102</v>
      </c>
      <c r="AX39" s="135" t="n">
        <v>123</v>
      </c>
      <c r="AY39" s="135" t="n">
        <v>131</v>
      </c>
      <c r="AZ39" s="135" t="n">
        <v>85</v>
      </c>
      <c r="BA39" s="135" t="n">
        <v>251</v>
      </c>
      <c r="BB39" s="135" t="n">
        <v>16</v>
      </c>
      <c r="BC39" s="136" t="n">
        <v>0.17</v>
      </c>
      <c r="BD39" s="137" t="n">
        <v>60.7</v>
      </c>
      <c r="BE39" s="137" t="n">
        <v>27.3</v>
      </c>
      <c r="BF39" s="137" t="n">
        <v>43.8</v>
      </c>
      <c r="BG39" s="137" t="n">
        <v>42.3</v>
      </c>
      <c r="BH39" s="135" t="n">
        <v>217</v>
      </c>
      <c r="BI39" s="138" t="n">
        <v>35.6</v>
      </c>
    </row>
    <row r="40" ht="30" customHeight="1">
      <c r="A40" s="50" t="inlineStr">
        <is>
          <t>SUD</t>
        </is>
      </c>
      <c r="B40" s="50" t="inlineStr">
        <is>
          <t>HAUTS CHAMPS/PETITES HAIES</t>
        </is>
      </c>
      <c r="C40" s="50" t="inlineStr">
        <is>
          <t>Hauts Champs</t>
        </is>
      </c>
      <c r="D40" s="139" t="n">
        <v>915</v>
      </c>
      <c r="E40" s="139" t="n">
        <v>403</v>
      </c>
      <c r="F40" s="139" t="n">
        <v>168</v>
      </c>
      <c r="G40" s="139" t="n">
        <v>267</v>
      </c>
      <c r="H40" s="139" t="n">
        <v>11</v>
      </c>
      <c r="I40" s="139" t="n">
        <v>458</v>
      </c>
      <c r="J40" s="139" t="n">
        <v>87</v>
      </c>
      <c r="K40" s="139" t="n">
        <v>211</v>
      </c>
      <c r="L40" s="139" t="n">
        <v>160</v>
      </c>
      <c r="M40" s="139" t="n">
        <v>2090</v>
      </c>
      <c r="N40" s="139" t="n">
        <v>435</v>
      </c>
      <c r="O40" s="139" t="n">
        <v>168</v>
      </c>
      <c r="P40" s="139" t="n">
        <v>267</v>
      </c>
      <c r="Q40" s="139" t="n">
        <v>23</v>
      </c>
      <c r="R40" s="139" t="n">
        <v>1633</v>
      </c>
      <c r="S40" s="139" t="n">
        <v>174</v>
      </c>
      <c r="T40" s="139" t="n">
        <v>999</v>
      </c>
      <c r="U40" s="139" t="n">
        <v>460</v>
      </c>
      <c r="V40" s="139" t="n">
        <v>598</v>
      </c>
      <c r="W40" s="139" t="n">
        <v>12</v>
      </c>
      <c r="X40" s="139" t="n">
        <v>95</v>
      </c>
      <c r="Y40" s="139" t="n">
        <v>97</v>
      </c>
      <c r="Z40" s="139" t="n">
        <v>189</v>
      </c>
      <c r="AA40" s="139" t="n">
        <v>701</v>
      </c>
      <c r="AB40" s="139" t="n">
        <v>0</v>
      </c>
      <c r="AC40" s="139" t="n">
        <v>35</v>
      </c>
      <c r="AD40" s="139" t="n">
        <v>14</v>
      </c>
      <c r="AE40" s="139" t="n">
        <v>67</v>
      </c>
      <c r="AF40" s="139" t="n">
        <v>197</v>
      </c>
      <c r="AG40" s="139" t="n">
        <v>262</v>
      </c>
      <c r="AH40" s="139" t="n">
        <v>242</v>
      </c>
      <c r="AI40" s="139" t="n">
        <v>87</v>
      </c>
      <c r="AJ40" s="139" t="n">
        <v>0</v>
      </c>
      <c r="AK40" s="139" t="n">
        <v>136</v>
      </c>
      <c r="AL40" s="139" t="n">
        <v>31</v>
      </c>
      <c r="AM40" s="139" t="n">
        <v>154</v>
      </c>
      <c r="AN40" s="139" t="n">
        <v>477</v>
      </c>
      <c r="AO40" s="139" t="n">
        <v>776</v>
      </c>
      <c r="AP40" s="139" t="n">
        <v>351</v>
      </c>
      <c r="AQ40" s="139" t="n">
        <v>165</v>
      </c>
      <c r="AR40" s="139" t="n">
        <v>465</v>
      </c>
      <c r="AS40" s="139" t="n">
        <v>211</v>
      </c>
      <c r="AT40" s="139" t="n">
        <v>162</v>
      </c>
      <c r="AU40" s="139" t="n">
        <v>92</v>
      </c>
      <c r="AV40" s="139" t="n">
        <v>119</v>
      </c>
      <c r="AW40" s="139" t="n">
        <v>97</v>
      </c>
      <c r="AX40" s="139" t="n">
        <v>118</v>
      </c>
      <c r="AY40" s="139" t="n">
        <v>88</v>
      </c>
      <c r="AZ40" s="139" t="n">
        <v>43</v>
      </c>
      <c r="BA40" s="139" t="n">
        <v>174</v>
      </c>
      <c r="BB40" s="139" t="n">
        <v>37</v>
      </c>
      <c r="BC40" s="140" t="n">
        <v>0.31</v>
      </c>
      <c r="BD40" s="141" t="n">
        <v>50.1</v>
      </c>
      <c r="BE40" s="141" t="n">
        <v>23.1</v>
      </c>
      <c r="BF40" s="141" t="n">
        <v>45.4</v>
      </c>
      <c r="BG40" s="141" t="n">
        <v>34.8</v>
      </c>
      <c r="BH40" s="139" t="n">
        <v>130</v>
      </c>
      <c r="BI40" s="142" t="n">
        <v>28.1</v>
      </c>
    </row>
  </sheetData>
  <mergeCells count="1">
    <mergeCell ref="A1:C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K40"/>
  <sheetViews>
    <sheetView topLeftCell="A1" workbookViewId="0">
      <pane xSplit="3" ySplit="2" topLeftCell="D3" activePane="bottomRight" state="frozen"/>
      <selection pane="topRight"/>
      <selection pane="bottomLeft"/>
      <selection pane="bottomRight" activeCell="H1" sqref="H1"/>
      <selection pane="bottomLeft" activeCell="A3" sqref="A3"/>
      <selection pane="bottomRight" activeCell="A1" sqref="A1"/>
    </sheetView>
  </sheetViews>
  <sheetFormatPr baseColWidth="10" defaultColWidth="9.140625" defaultRowHeight="15"/>
  <cols>
    <col width="13" customWidth="1" min="1" max="1"/>
    <col width="31" customWidth="1" min="2" max="2"/>
    <col width="26" customWidth="1" min="3" max="3"/>
    <col width="14" customWidth="1" min="4" max="4"/>
    <col width="14" customWidth="1" min="5" max="5"/>
    <col width="14" customWidth="1" min="6" max="6"/>
    <col width="14" customWidth="1" min="7" max="7"/>
    <col width="14" customWidth="1" min="8" max="9"/>
    <col width="14" customWidth="1" min="9" max="9"/>
    <col width="14" customWidth="1" min="10" max="13"/>
    <col width="14" customWidth="1" min="11" max="11"/>
    <col width="14" customWidth="1" min="12" max="12"/>
    <col width="14" customWidth="1" min="13" max="13"/>
    <col width="14" customWidth="1" min="14" max="14"/>
    <col width="14" customWidth="1" min="15" max="15"/>
    <col width="14" customWidth="1" min="16" max="16"/>
    <col width="14" customWidth="1" min="17" max="20"/>
    <col width="14" customWidth="1" min="18" max="18"/>
    <col width="18" customWidth="1" min="19" max="19"/>
    <col width="20" customWidth="1" min="20" max="20"/>
    <col width="17" customWidth="1" min="21" max="21"/>
    <col width="18" customWidth="1" min="22" max="22"/>
    <col width="21" customWidth="1" min="23" max="23"/>
    <col width="23" customWidth="1" min="24" max="24"/>
    <col width="27" customWidth="1" min="25" max="25"/>
    <col width="14" customWidth="1" min="26" max="26"/>
    <col width="18" customWidth="1" min="27" max="27"/>
    <col width="17" customWidth="1" min="28" max="28"/>
    <col width="20" customWidth="1" min="29" max="29"/>
    <col width="14" customWidth="1" min="30" max="30"/>
    <col width="18" customWidth="1" min="31" max="31"/>
    <col width="17" customWidth="1" min="32" max="32"/>
    <col width="20" customWidth="1" min="33" max="33"/>
    <col width="14" customWidth="1" min="34" max="34"/>
    <col width="19" customWidth="1" min="35" max="35"/>
    <col width="15" customWidth="1" min="36" max="36"/>
    <col width="17" customWidth="1" min="37" max="37"/>
    <col width="36.5703125" customWidth="1" min="38" max="38"/>
    <col width="50.42578125" customWidth="1" min="39" max="39"/>
    <col width="59.5703125" customWidth="1" min="40" max="40"/>
    <col width="48.42578125" customWidth="1" min="41" max="41"/>
    <col width="54.7109375" customWidth="1" min="42" max="42"/>
    <col width="63.85546875" customWidth="1" min="43" max="43"/>
    <col width="68" customWidth="1" min="44" max="44"/>
    <col width="70.7109375" customWidth="1" min="45" max="45"/>
    <col width="18.7109375" customWidth="1" min="46" max="46"/>
    <col width="52.140625" customWidth="1" min="47" max="47"/>
    <col width="38" customWidth="1" min="48" max="48"/>
    <col width="45" customWidth="1" min="49" max="49"/>
  </cols>
  <sheetData>
    <row r="1" ht="21" customHeight="1">
      <c r="A1" s="124" t="inlineStr">
        <is>
          <t>Données infra-communales - Diplômes - Formation</t>
        </is>
      </c>
      <c r="B1" s="125" t="n"/>
      <c r="C1" s="126" t="n"/>
      <c r="D1" s="127">
        <f>SUBTOTAL(9,D3:D40)</f>
        <v/>
      </c>
      <c r="E1" s="127">
        <f>SUBTOTAL(9,E3:E40)</f>
        <v/>
      </c>
      <c r="F1" s="127">
        <f>SUBTOTAL(9,F3:F40)</f>
        <v/>
      </c>
      <c r="G1" s="127">
        <f>SUBTOTAL(9,G3:G40)</f>
        <v/>
      </c>
      <c r="H1" s="127">
        <f>SUBTOTAL(9,H3:H40)</f>
        <v/>
      </c>
      <c r="I1" s="127">
        <f>SUBTOTAL(9,I3:I40)</f>
        <v/>
      </c>
      <c r="J1" s="127">
        <f>SUBTOTAL(9,J3:J40)</f>
        <v/>
      </c>
      <c r="K1" s="127">
        <f>SUBTOTAL(9,K3:K40)</f>
        <v/>
      </c>
      <c r="L1" s="127">
        <f>SUBTOTAL(9,L3:L40)</f>
        <v/>
      </c>
      <c r="M1" s="127">
        <f>SUBTOTAL(9,M3:M40)</f>
        <v/>
      </c>
      <c r="N1" s="127">
        <f>SUBTOTAL(9,N3:N40)</f>
        <v/>
      </c>
      <c r="O1" s="127">
        <f>SUBTOTAL(9,O3:O40)</f>
        <v/>
      </c>
      <c r="P1" s="127">
        <f>SUBTOTAL(9,P3:P40)</f>
        <v/>
      </c>
      <c r="Q1" s="127">
        <f>SUBTOTAL(9,Q3:Q40)</f>
        <v/>
      </c>
      <c r="R1" s="127">
        <f>SUBTOTAL(9,R3:R40)</f>
        <v/>
      </c>
      <c r="S1" s="127">
        <f>SUBTOTAL(9,S3:S40)</f>
        <v/>
      </c>
      <c r="T1" s="127">
        <f>SUBTOTAL(9,T3:T40)</f>
        <v/>
      </c>
      <c r="U1" s="127">
        <f>SUBTOTAL(9,U3:U40)</f>
        <v/>
      </c>
      <c r="V1" s="127">
        <f>SUBTOTAL(9,V3:V40)</f>
        <v/>
      </c>
      <c r="W1" s="127">
        <f>SUBTOTAL(9,W3:W40)</f>
        <v/>
      </c>
      <c r="X1" s="127">
        <f>SUBTOTAL(9,X3:X40)</f>
        <v/>
      </c>
      <c r="Y1" s="127">
        <f>SUBTOTAL(9,Y3:Y40)</f>
        <v/>
      </c>
      <c r="Z1" s="127">
        <f>SUBTOTAL(9,Z3:Z40)</f>
        <v/>
      </c>
      <c r="AA1" s="127">
        <f>SUBTOTAL(9,AA3:AA40)</f>
        <v/>
      </c>
      <c r="AB1" s="127">
        <f>SUBTOTAL(9,AB3:AB40)</f>
        <v/>
      </c>
      <c r="AC1" s="127">
        <f>SUBTOTAL(9,AC3:AC40)</f>
        <v/>
      </c>
      <c r="AD1" s="127">
        <f>SUBTOTAL(9,AD3:AD40)</f>
        <v/>
      </c>
      <c r="AE1" s="127">
        <f>SUBTOTAL(9,AE3:AE40)</f>
        <v/>
      </c>
      <c r="AF1" s="127">
        <f>SUBTOTAL(9,AF3:AF40)</f>
        <v/>
      </c>
      <c r="AG1" s="127">
        <f>SUBTOTAL(9,AG3:AG40)</f>
        <v/>
      </c>
      <c r="AH1" s="128">
        <f>SUBTOTAL(9,AH3:AH40)</f>
        <v/>
      </c>
      <c r="AI1" s="129" t="n"/>
      <c r="AJ1" s="127">
        <f>SUBTOTAL(9,AJ3:AJ40)</f>
        <v/>
      </c>
      <c r="AK1" s="129" t="n"/>
    </row>
    <row r="2" ht="70" customHeight="1">
      <c r="A2" s="45" t="inlineStr">
        <is>
          <t>Mairies de quartiers</t>
        </is>
      </c>
      <c r="B2" s="45" t="inlineStr">
        <is>
          <t>Grands quartiers</t>
        </is>
      </c>
      <c r="C2" s="45" t="inlineStr">
        <is>
          <t>Libellé de l'Iris</t>
        </is>
      </c>
      <c r="D2" s="46" t="inlineStr">
        <is>
          <t>Pop 2-5 ans</t>
        </is>
      </c>
      <c r="E2" s="46" t="inlineStr">
        <is>
          <t>Pop 6-10 ans</t>
        </is>
      </c>
      <c r="F2" s="46" t="inlineStr">
        <is>
          <t>Pop 11-14 ans</t>
        </is>
      </c>
      <c r="G2" s="46" t="inlineStr">
        <is>
          <t>Pop 15-17 ans</t>
        </is>
      </c>
      <c r="H2" s="46" t="inlineStr">
        <is>
          <t>Pop 18-24 ans</t>
        </is>
      </c>
      <c r="I2" s="46" t="inlineStr">
        <is>
          <t>Pop 25-29 ans</t>
        </is>
      </c>
      <c r="J2" s="46" t="inlineStr">
        <is>
          <t>Pop 30 ans ou plus</t>
        </is>
      </c>
      <c r="K2" s="46" t="inlineStr">
        <is>
          <t>Pop scolarisée 2-5 ans</t>
        </is>
      </c>
      <c r="L2" s="46" t="inlineStr">
        <is>
          <t>Pop scolarisée 6-10 ans</t>
        </is>
      </c>
      <c r="M2" s="46" t="inlineStr">
        <is>
          <t>Pop scolarisée 11-14 ans</t>
        </is>
      </c>
      <c r="N2" s="46" t="inlineStr">
        <is>
          <t>Pop scolarisée 15-17 ans</t>
        </is>
      </c>
      <c r="O2" s="46" t="inlineStr">
        <is>
          <t>Pop scolarisée 18-24 ans</t>
        </is>
      </c>
      <c r="P2" s="46" t="inlineStr">
        <is>
          <t>Pop scolarisée 25-29 ans</t>
        </is>
      </c>
      <c r="Q2" s="46" t="inlineStr">
        <is>
          <t>Pop scolarisée 30 ans ou plus</t>
        </is>
      </c>
      <c r="R2" s="46" t="inlineStr">
        <is>
          <t>Pop 15 ans ou plus non scolarisée</t>
        </is>
      </c>
      <c r="S2" s="46" t="inlineStr">
        <is>
          <t>Pop 15 ans ou plus non scol. Sans diplôme ou CEP</t>
        </is>
      </c>
      <c r="T2" s="46" t="inlineStr">
        <is>
          <t>Pop 15 ans ou plus non scol. BEPC, brevet des collèges, DNB</t>
        </is>
      </c>
      <c r="U2" s="46" t="inlineStr">
        <is>
          <t>Pop 15 ans ou plus non scol. CAP-BEP ou équiv.</t>
        </is>
      </c>
      <c r="V2" s="46" t="inlineStr">
        <is>
          <t>Pop 15 ans ou plus non scol. Bac, brevet pro. ou équiv.</t>
        </is>
      </c>
      <c r="W2" s="46" t="inlineStr">
        <is>
          <t>Pop 15 ans ou plus non scol. Enseignement sup de niveau bac + 2</t>
        </is>
      </c>
      <c r="X2" s="46" t="inlineStr">
        <is>
          <t>Pop 15 ans ou plus non scol. Enseignement sup de niveau bac + 3 ou 4</t>
        </is>
      </c>
      <c r="Y2" s="46" t="inlineStr">
        <is>
          <t>Pop 15 ans ou plus non scol. Enseignement sup de niveau bac + 5 ou plus</t>
        </is>
      </c>
      <c r="Z2" s="46" t="inlineStr">
        <is>
          <t>Hommes 15 ans ou plus non scolarisée</t>
        </is>
      </c>
      <c r="AA2" s="46" t="inlineStr">
        <is>
          <t>Hommes 15 ans ou plus non scol. Sans diplôme ou CEP</t>
        </is>
      </c>
      <c r="AB2" s="46" t="inlineStr">
        <is>
          <t>Hommes 15 ans ou plus non scol. CAP-BEP ou équiv.</t>
        </is>
      </c>
      <c r="AC2" s="46" t="inlineStr">
        <is>
          <t>Hommes 15 ans ou plus non scol. Bac, brevet pro. ou équiv.</t>
        </is>
      </c>
      <c r="AD2" s="46" t="inlineStr">
        <is>
          <t>Femmes 15 ans ou plus non scolarisée</t>
        </is>
      </c>
      <c r="AE2" s="46" t="inlineStr">
        <is>
          <t>Femmes 15 ans ou plus non scol. Sans diplôme ou CEP</t>
        </is>
      </c>
      <c r="AF2" s="46" t="inlineStr">
        <is>
          <t>Femmes 15 ans ou plus non scol. CAP-BEP ou équiv.</t>
        </is>
      </c>
      <c r="AG2" s="46" t="inlineStr">
        <is>
          <t>Femmes 15 ans ou plus non scol. Bac, brevet pro. ou équiv.</t>
        </is>
      </c>
      <c r="AH2" s="47" t="inlineStr">
        <is>
          <t>Superficie en km²</t>
        </is>
      </c>
      <c r="AI2" s="130" t="inlineStr">
        <is>
          <t>Part pop 15 ans et plus non scol sans dip ou CEP max (%)</t>
        </is>
      </c>
      <c r="AJ2" s="47" t="inlineStr">
        <is>
          <t>Pop 15 ans ou plus non scol dipl Ens Sup</t>
        </is>
      </c>
      <c r="AK2" s="131" t="inlineStr">
        <is>
          <t>Part pop 15 ans et plus non scol dipl Ens Sup (%)</t>
        </is>
      </c>
    </row>
    <row r="3" ht="30" customHeight="1">
      <c r="A3" s="3" t="inlineStr">
        <is>
          <t>OUEST</t>
        </is>
      </c>
      <c r="B3" s="3" t="inlineStr">
        <is>
          <t>FRESNOY MACKELLERIE</t>
        </is>
      </c>
      <c r="C3" s="3" t="inlineStr">
        <is>
          <t>Mackellerie</t>
        </is>
      </c>
      <c r="D3" s="135" t="n">
        <v>204</v>
      </c>
      <c r="E3" s="135" t="n">
        <v>235</v>
      </c>
      <c r="F3" s="135" t="n">
        <v>188</v>
      </c>
      <c r="G3" s="135" t="n">
        <v>117</v>
      </c>
      <c r="H3" s="135" t="n">
        <v>256</v>
      </c>
      <c r="I3" s="135" t="n">
        <v>187</v>
      </c>
      <c r="J3" s="135" t="n">
        <v>1216</v>
      </c>
      <c r="K3" s="135" t="n">
        <v>157</v>
      </c>
      <c r="L3" s="135" t="n">
        <v>235</v>
      </c>
      <c r="M3" s="135" t="n">
        <v>188</v>
      </c>
      <c r="N3" s="135" t="n">
        <v>101</v>
      </c>
      <c r="O3" s="135" t="n">
        <v>110</v>
      </c>
      <c r="P3" s="135" t="n">
        <v>18</v>
      </c>
      <c r="Q3" s="135" t="n">
        <v>54</v>
      </c>
      <c r="R3" s="135" t="n">
        <v>1492</v>
      </c>
      <c r="S3" s="135" t="n">
        <v>487</v>
      </c>
      <c r="T3" s="135" t="n">
        <v>84</v>
      </c>
      <c r="U3" s="135" t="n">
        <v>363</v>
      </c>
      <c r="V3" s="135" t="n">
        <v>286</v>
      </c>
      <c r="W3" s="135" t="n">
        <v>103</v>
      </c>
      <c r="X3" s="135" t="n">
        <v>93</v>
      </c>
      <c r="Y3" s="135" t="n">
        <v>75</v>
      </c>
      <c r="Z3" s="135" t="n">
        <v>729</v>
      </c>
      <c r="AA3" s="135" t="n">
        <v>228</v>
      </c>
      <c r="AB3" s="135" t="n">
        <v>208</v>
      </c>
      <c r="AC3" s="135" t="n">
        <v>123</v>
      </c>
      <c r="AD3" s="135" t="n">
        <v>763</v>
      </c>
      <c r="AE3" s="135" t="n">
        <v>259</v>
      </c>
      <c r="AF3" s="135" t="n">
        <v>155</v>
      </c>
      <c r="AG3" s="135" t="n">
        <v>163</v>
      </c>
      <c r="AH3" s="136" t="n">
        <v>0.32</v>
      </c>
      <c r="AI3" s="137" t="n">
        <v>32.6</v>
      </c>
      <c r="AJ3" s="135" t="n">
        <v>271</v>
      </c>
      <c r="AK3" s="138" t="n">
        <v>18.2</v>
      </c>
    </row>
    <row r="4" ht="30" customHeight="1">
      <c r="A4" s="3" t="inlineStr">
        <is>
          <t>OUEST</t>
        </is>
      </c>
      <c r="B4" s="3" t="inlineStr">
        <is>
          <t>ARMENTIERES</t>
        </is>
      </c>
      <c r="C4" s="3" t="inlineStr">
        <is>
          <t>Fresnoy</t>
        </is>
      </c>
      <c r="D4" s="135" t="n">
        <v>174</v>
      </c>
      <c r="E4" s="135" t="n">
        <v>338</v>
      </c>
      <c r="F4" s="135" t="n">
        <v>253</v>
      </c>
      <c r="G4" s="135" t="n">
        <v>195</v>
      </c>
      <c r="H4" s="135" t="n">
        <v>784</v>
      </c>
      <c r="I4" s="135" t="n">
        <v>346</v>
      </c>
      <c r="J4" s="135" t="n">
        <v>2079</v>
      </c>
      <c r="K4" s="135" t="n">
        <v>148</v>
      </c>
      <c r="L4" s="135" t="n">
        <v>310</v>
      </c>
      <c r="M4" s="135" t="n">
        <v>239</v>
      </c>
      <c r="N4" s="135" t="n">
        <v>177</v>
      </c>
      <c r="O4" s="135" t="n">
        <v>511</v>
      </c>
      <c r="P4" s="135" t="n">
        <v>78</v>
      </c>
      <c r="Q4" s="135" t="n">
        <v>31</v>
      </c>
      <c r="R4" s="135" t="n">
        <v>2606</v>
      </c>
      <c r="S4" s="135" t="n">
        <v>631</v>
      </c>
      <c r="T4" s="135" t="n">
        <v>174</v>
      </c>
      <c r="U4" s="135" t="n">
        <v>580</v>
      </c>
      <c r="V4" s="135" t="n">
        <v>412</v>
      </c>
      <c r="W4" s="135" t="n">
        <v>294</v>
      </c>
      <c r="X4" s="135" t="n">
        <v>236</v>
      </c>
      <c r="Y4" s="135" t="n">
        <v>281</v>
      </c>
      <c r="Z4" s="135" t="n">
        <v>1306</v>
      </c>
      <c r="AA4" s="135" t="n">
        <v>297</v>
      </c>
      <c r="AB4" s="135" t="n">
        <v>313</v>
      </c>
      <c r="AC4" s="135" t="n">
        <v>188</v>
      </c>
      <c r="AD4" s="135" t="n">
        <v>1300</v>
      </c>
      <c r="AE4" s="135" t="n">
        <v>334</v>
      </c>
      <c r="AF4" s="135" t="n">
        <v>267</v>
      </c>
      <c r="AG4" s="135" t="n">
        <v>223</v>
      </c>
      <c r="AH4" s="136" t="n">
        <v>0.53</v>
      </c>
      <c r="AI4" s="137" t="n">
        <v>24.2</v>
      </c>
      <c r="AJ4" s="135" t="n">
        <v>810</v>
      </c>
      <c r="AK4" s="138" t="n">
        <v>31.1</v>
      </c>
    </row>
    <row r="5" ht="30" customHeight="1">
      <c r="A5" s="3" t="inlineStr">
        <is>
          <t>NORD</t>
        </is>
      </c>
      <c r="B5" s="3" t="inlineStr">
        <is>
          <t>FOSSE AUX CHENES</t>
        </is>
      </c>
      <c r="C5" s="3" t="inlineStr">
        <is>
          <t>Fosse aux Chênes</t>
        </is>
      </c>
      <c r="D5" s="135" t="n">
        <v>189</v>
      </c>
      <c r="E5" s="135" t="n">
        <v>181</v>
      </c>
      <c r="F5" s="135" t="n">
        <v>185</v>
      </c>
      <c r="G5" s="135" t="n">
        <v>127</v>
      </c>
      <c r="H5" s="135" t="n">
        <v>332</v>
      </c>
      <c r="I5" s="135" t="n">
        <v>193</v>
      </c>
      <c r="J5" s="135" t="n">
        <v>1538</v>
      </c>
      <c r="K5" s="135" t="n">
        <v>133</v>
      </c>
      <c r="L5" s="135" t="n">
        <v>153</v>
      </c>
      <c r="M5" s="135" t="n">
        <v>167</v>
      </c>
      <c r="N5" s="135" t="n">
        <v>119</v>
      </c>
      <c r="O5" s="135" t="n">
        <v>186</v>
      </c>
      <c r="P5" s="135" t="n">
        <v>19</v>
      </c>
      <c r="Q5" s="135" t="n">
        <v>17</v>
      </c>
      <c r="R5" s="135" t="n">
        <v>1850</v>
      </c>
      <c r="S5" s="135" t="n">
        <v>848</v>
      </c>
      <c r="T5" s="135" t="n">
        <v>104</v>
      </c>
      <c r="U5" s="135" t="n">
        <v>390</v>
      </c>
      <c r="V5" s="135" t="n">
        <v>290</v>
      </c>
      <c r="W5" s="135" t="n">
        <v>86</v>
      </c>
      <c r="X5" s="135" t="n">
        <v>88</v>
      </c>
      <c r="Y5" s="135" t="n">
        <v>43</v>
      </c>
      <c r="Z5" s="135" t="n">
        <v>893</v>
      </c>
      <c r="AA5" s="135" t="n">
        <v>415</v>
      </c>
      <c r="AB5" s="135" t="n">
        <v>215</v>
      </c>
      <c r="AC5" s="135" t="n">
        <v>137</v>
      </c>
      <c r="AD5" s="135" t="n">
        <v>956</v>
      </c>
      <c r="AE5" s="135" t="n">
        <v>433</v>
      </c>
      <c r="AF5" s="135" t="n">
        <v>175</v>
      </c>
      <c r="AG5" s="135" t="n">
        <v>153</v>
      </c>
      <c r="AH5" s="136" t="n">
        <v>0.41</v>
      </c>
      <c r="AI5" s="137" t="n">
        <v>45.8</v>
      </c>
      <c r="AJ5" s="135" t="n">
        <v>217</v>
      </c>
      <c r="AK5" s="138" t="n">
        <v>11.8</v>
      </c>
    </row>
    <row r="6" ht="30" customHeight="1">
      <c r="A6" s="3" t="inlineStr">
        <is>
          <t>NORD</t>
        </is>
      </c>
      <c r="B6" s="3" t="inlineStr">
        <is>
          <t>ALMA GARE</t>
        </is>
      </c>
      <c r="C6" s="3" t="inlineStr">
        <is>
          <t>Alma Sud</t>
        </is>
      </c>
      <c r="D6" s="135" t="n">
        <v>124</v>
      </c>
      <c r="E6" s="135" t="n">
        <v>173</v>
      </c>
      <c r="F6" s="135" t="n">
        <v>90</v>
      </c>
      <c r="G6" s="135" t="n">
        <v>81</v>
      </c>
      <c r="H6" s="135" t="n">
        <v>217</v>
      </c>
      <c r="I6" s="135" t="n">
        <v>99</v>
      </c>
      <c r="J6" s="135" t="n">
        <v>679</v>
      </c>
      <c r="K6" s="135" t="n">
        <v>111</v>
      </c>
      <c r="L6" s="135" t="n">
        <v>173</v>
      </c>
      <c r="M6" s="135" t="n">
        <v>86</v>
      </c>
      <c r="N6" s="135" t="n">
        <v>73</v>
      </c>
      <c r="O6" s="135" t="n">
        <v>106</v>
      </c>
      <c r="P6" s="135" t="n">
        <v>4</v>
      </c>
      <c r="Q6" s="135" t="n">
        <v>9</v>
      </c>
      <c r="R6" s="135" t="n">
        <v>884</v>
      </c>
      <c r="S6" s="135" t="n">
        <v>456</v>
      </c>
      <c r="T6" s="135" t="n">
        <v>54</v>
      </c>
      <c r="U6" s="135" t="n">
        <v>157</v>
      </c>
      <c r="V6" s="135" t="n">
        <v>138</v>
      </c>
      <c r="W6" s="135" t="n">
        <v>50</v>
      </c>
      <c r="X6" s="135" t="n">
        <v>17</v>
      </c>
      <c r="Y6" s="135" t="n">
        <v>13</v>
      </c>
      <c r="Z6" s="135" t="n">
        <v>427</v>
      </c>
      <c r="AA6" s="135" t="n">
        <v>221</v>
      </c>
      <c r="AB6" s="135" t="n">
        <v>84</v>
      </c>
      <c r="AC6" s="135" t="n">
        <v>67</v>
      </c>
      <c r="AD6" s="135" t="n">
        <v>458</v>
      </c>
      <c r="AE6" s="135" t="n">
        <v>235</v>
      </c>
      <c r="AF6" s="135" t="n">
        <v>73</v>
      </c>
      <c r="AG6" s="135" t="n">
        <v>71</v>
      </c>
      <c r="AH6" s="136" t="n">
        <v>0.09</v>
      </c>
      <c r="AI6" s="137" t="n">
        <v>51.5</v>
      </c>
      <c r="AJ6" s="135" t="n">
        <v>80</v>
      </c>
      <c r="AK6" s="138" t="n">
        <v>9</v>
      </c>
    </row>
    <row r="7" ht="30" customHeight="1">
      <c r="A7" s="3" t="inlineStr">
        <is>
          <t>NORD</t>
        </is>
      </c>
      <c r="B7" s="3" t="inlineStr">
        <is>
          <t>ALMA GARE</t>
        </is>
      </c>
      <c r="C7" s="3" t="inlineStr">
        <is>
          <t>Alma Nord</t>
        </is>
      </c>
      <c r="D7" s="135" t="n">
        <v>110</v>
      </c>
      <c r="E7" s="135" t="n">
        <v>161</v>
      </c>
      <c r="F7" s="135" t="n">
        <v>125</v>
      </c>
      <c r="G7" s="135" t="n">
        <v>123</v>
      </c>
      <c r="H7" s="135" t="n">
        <v>171</v>
      </c>
      <c r="I7" s="135" t="n">
        <v>92</v>
      </c>
      <c r="J7" s="135" t="n">
        <v>786</v>
      </c>
      <c r="K7" s="135" t="n">
        <v>97</v>
      </c>
      <c r="L7" s="135" t="n">
        <v>158</v>
      </c>
      <c r="M7" s="135" t="n">
        <v>121</v>
      </c>
      <c r="N7" s="135" t="n">
        <v>116</v>
      </c>
      <c r="O7" s="135" t="n">
        <v>67</v>
      </c>
      <c r="P7" s="135" t="n">
        <v>7</v>
      </c>
      <c r="Q7" s="135" t="n">
        <v>7</v>
      </c>
      <c r="R7" s="135" t="n">
        <v>975</v>
      </c>
      <c r="S7" s="135" t="n">
        <v>474</v>
      </c>
      <c r="T7" s="135" t="n">
        <v>32</v>
      </c>
      <c r="U7" s="135" t="n">
        <v>219</v>
      </c>
      <c r="V7" s="135" t="n">
        <v>118</v>
      </c>
      <c r="W7" s="135" t="n">
        <v>46</v>
      </c>
      <c r="X7" s="135" t="n">
        <v>51</v>
      </c>
      <c r="Y7" s="135" t="n">
        <v>35</v>
      </c>
      <c r="Z7" s="135" t="n">
        <v>490</v>
      </c>
      <c r="AA7" s="135" t="n">
        <v>225</v>
      </c>
      <c r="AB7" s="135" t="n">
        <v>127</v>
      </c>
      <c r="AC7" s="135" t="n">
        <v>54</v>
      </c>
      <c r="AD7" s="135" t="n">
        <v>485</v>
      </c>
      <c r="AE7" s="135" t="n">
        <v>249</v>
      </c>
      <c r="AF7" s="135" t="n">
        <v>92</v>
      </c>
      <c r="AG7" s="135" t="n">
        <v>64</v>
      </c>
      <c r="AH7" s="136" t="n">
        <v>0.42</v>
      </c>
      <c r="AI7" s="137" t="n">
        <v>48.6</v>
      </c>
      <c r="AJ7" s="135" t="n">
        <v>132</v>
      </c>
      <c r="AK7" s="138" t="n">
        <v>13.5</v>
      </c>
    </row>
    <row r="8" ht="30" customHeight="1">
      <c r="A8" s="3" t="inlineStr">
        <is>
          <t>NORD</t>
        </is>
      </c>
      <c r="B8" s="3" t="inlineStr">
        <is>
          <t>ENTREPONT</t>
        </is>
      </c>
      <c r="C8" s="3" t="inlineStr">
        <is>
          <t>Entrepont-Cartigny</t>
        </is>
      </c>
      <c r="D8" s="135" t="n">
        <v>145</v>
      </c>
      <c r="E8" s="135" t="n">
        <v>231</v>
      </c>
      <c r="F8" s="135" t="n">
        <v>181</v>
      </c>
      <c r="G8" s="135" t="n">
        <v>124</v>
      </c>
      <c r="H8" s="135" t="n">
        <v>233</v>
      </c>
      <c r="I8" s="135" t="n">
        <v>151</v>
      </c>
      <c r="J8" s="135" t="n">
        <v>1247</v>
      </c>
      <c r="K8" s="135" t="n">
        <v>121</v>
      </c>
      <c r="L8" s="135" t="n">
        <v>220</v>
      </c>
      <c r="M8" s="135" t="n">
        <v>175</v>
      </c>
      <c r="N8" s="135" t="n">
        <v>114</v>
      </c>
      <c r="O8" s="135" t="n">
        <v>122</v>
      </c>
      <c r="P8" s="135" t="n">
        <v>17</v>
      </c>
      <c r="Q8" s="135" t="n">
        <v>20</v>
      </c>
      <c r="R8" s="135" t="n">
        <v>1481</v>
      </c>
      <c r="S8" s="135" t="n">
        <v>726</v>
      </c>
      <c r="T8" s="135" t="n">
        <v>39</v>
      </c>
      <c r="U8" s="135" t="n">
        <v>332</v>
      </c>
      <c r="V8" s="135" t="n">
        <v>181</v>
      </c>
      <c r="W8" s="135" t="n">
        <v>109</v>
      </c>
      <c r="X8" s="135" t="n">
        <v>56</v>
      </c>
      <c r="Y8" s="135" t="n">
        <v>38</v>
      </c>
      <c r="Z8" s="135" t="n">
        <v>728</v>
      </c>
      <c r="AA8" s="135" t="n">
        <v>363</v>
      </c>
      <c r="AB8" s="135" t="n">
        <v>175</v>
      </c>
      <c r="AC8" s="135" t="n">
        <v>65</v>
      </c>
      <c r="AD8" s="135" t="n">
        <v>753</v>
      </c>
      <c r="AE8" s="135" t="n">
        <v>363</v>
      </c>
      <c r="AF8" s="135" t="n">
        <v>157</v>
      </c>
      <c r="AG8" s="135" t="n">
        <v>116</v>
      </c>
      <c r="AH8" s="136" t="n">
        <v>0.85</v>
      </c>
      <c r="AI8" s="137" t="n">
        <v>49.1</v>
      </c>
      <c r="AJ8" s="135" t="n">
        <v>203</v>
      </c>
      <c r="AK8" s="138" t="n">
        <v>13.7</v>
      </c>
    </row>
    <row r="9" ht="30" customHeight="1">
      <c r="A9" s="3" t="inlineStr">
        <is>
          <t>NORD</t>
        </is>
      </c>
      <c r="B9" s="3" t="inlineStr">
        <is>
          <t>HUTIN - ORAN - CARTIGNY</t>
        </is>
      </c>
      <c r="C9" s="3" t="inlineStr">
        <is>
          <t>Hutin-Oran</t>
        </is>
      </c>
      <c r="D9" s="135" t="n">
        <v>144</v>
      </c>
      <c r="E9" s="135" t="n">
        <v>166</v>
      </c>
      <c r="F9" s="135" t="n">
        <v>198</v>
      </c>
      <c r="G9" s="135" t="n">
        <v>112</v>
      </c>
      <c r="H9" s="135" t="n">
        <v>196</v>
      </c>
      <c r="I9" s="135" t="n">
        <v>99</v>
      </c>
      <c r="J9" s="135" t="n">
        <v>1175</v>
      </c>
      <c r="K9" s="135" t="n">
        <v>117</v>
      </c>
      <c r="L9" s="135" t="n">
        <v>166</v>
      </c>
      <c r="M9" s="135" t="n">
        <v>198</v>
      </c>
      <c r="N9" s="135" t="n">
        <v>103</v>
      </c>
      <c r="O9" s="135" t="n">
        <v>78</v>
      </c>
      <c r="P9" s="135" t="n">
        <v>0</v>
      </c>
      <c r="Q9" s="135" t="n">
        <v>1</v>
      </c>
      <c r="R9" s="135" t="n">
        <v>1401</v>
      </c>
      <c r="S9" s="135" t="n">
        <v>707</v>
      </c>
      <c r="T9" s="135" t="n">
        <v>38</v>
      </c>
      <c r="U9" s="135" t="n">
        <v>293</v>
      </c>
      <c r="V9" s="135" t="n">
        <v>228</v>
      </c>
      <c r="W9" s="135" t="n">
        <v>82</v>
      </c>
      <c r="X9" s="135" t="n">
        <v>27</v>
      </c>
      <c r="Y9" s="135" t="n">
        <v>25</v>
      </c>
      <c r="Z9" s="135" t="n">
        <v>650</v>
      </c>
      <c r="AA9" s="135" t="n">
        <v>329</v>
      </c>
      <c r="AB9" s="135" t="n">
        <v>176</v>
      </c>
      <c r="AC9" s="135" t="n">
        <v>85</v>
      </c>
      <c r="AD9" s="135" t="n">
        <v>750</v>
      </c>
      <c r="AE9" s="135" t="n">
        <v>378</v>
      </c>
      <c r="AF9" s="135" t="n">
        <v>117</v>
      </c>
      <c r="AG9" s="135" t="n">
        <v>143</v>
      </c>
      <c r="AH9" s="136" t="n">
        <v>0.42</v>
      </c>
      <c r="AI9" s="137" t="n">
        <v>50.5</v>
      </c>
      <c r="AJ9" s="135" t="n">
        <v>134</v>
      </c>
      <c r="AK9" s="138" t="n">
        <v>9.6</v>
      </c>
    </row>
    <row r="10" ht="30" customHeight="1">
      <c r="A10" s="3" t="inlineStr">
        <is>
          <t>NORD</t>
        </is>
      </c>
      <c r="B10" s="3" t="inlineStr">
        <is>
          <t>CUL DE FOUR</t>
        </is>
      </c>
      <c r="C10" s="3" t="inlineStr">
        <is>
          <t>Cul de Four</t>
        </is>
      </c>
      <c r="D10" s="135" t="n">
        <v>274</v>
      </c>
      <c r="E10" s="135" t="n">
        <v>298</v>
      </c>
      <c r="F10" s="135" t="n">
        <v>311</v>
      </c>
      <c r="G10" s="135" t="n">
        <v>214</v>
      </c>
      <c r="H10" s="135" t="n">
        <v>429</v>
      </c>
      <c r="I10" s="135" t="n">
        <v>209</v>
      </c>
      <c r="J10" s="135" t="n">
        <v>1628</v>
      </c>
      <c r="K10" s="135" t="n">
        <v>231</v>
      </c>
      <c r="L10" s="135" t="n">
        <v>287</v>
      </c>
      <c r="M10" s="135" t="n">
        <v>296</v>
      </c>
      <c r="N10" s="135" t="n">
        <v>191</v>
      </c>
      <c r="O10" s="135" t="n">
        <v>189</v>
      </c>
      <c r="P10" s="135" t="n">
        <v>16</v>
      </c>
      <c r="Q10" s="135" t="n">
        <v>35</v>
      </c>
      <c r="R10" s="135" t="n">
        <v>2049</v>
      </c>
      <c r="S10" s="135" t="n">
        <v>1068</v>
      </c>
      <c r="T10" s="135" t="n">
        <v>113</v>
      </c>
      <c r="U10" s="135" t="n">
        <v>286</v>
      </c>
      <c r="V10" s="135" t="n">
        <v>346</v>
      </c>
      <c r="W10" s="135" t="n">
        <v>133</v>
      </c>
      <c r="X10" s="135" t="n">
        <v>61</v>
      </c>
      <c r="Y10" s="135" t="n">
        <v>42</v>
      </c>
      <c r="Z10" s="135" t="n">
        <v>1037</v>
      </c>
      <c r="AA10" s="135" t="n">
        <v>484</v>
      </c>
      <c r="AB10" s="135" t="n">
        <v>167</v>
      </c>
      <c r="AC10" s="135" t="n">
        <v>196</v>
      </c>
      <c r="AD10" s="135" t="n">
        <v>1011</v>
      </c>
      <c r="AE10" s="135" t="n">
        <v>585</v>
      </c>
      <c r="AF10" s="135" t="n">
        <v>120</v>
      </c>
      <c r="AG10" s="135" t="n">
        <v>150</v>
      </c>
      <c r="AH10" s="136" t="n">
        <v>0.5600000000000001</v>
      </c>
      <c r="AI10" s="137" t="n">
        <v>52.1</v>
      </c>
      <c r="AJ10" s="135" t="n">
        <v>235</v>
      </c>
      <c r="AK10" s="138" t="n">
        <v>11.5</v>
      </c>
    </row>
    <row r="11" ht="30" customHeight="1">
      <c r="A11" s="3" t="inlineStr">
        <is>
          <t>NORD</t>
        </is>
      </c>
      <c r="B11" s="3" t="inlineStr">
        <is>
          <t>HOMMELET</t>
        </is>
      </c>
      <c r="C11" s="3" t="inlineStr">
        <is>
          <t>Hommelet Nord</t>
        </is>
      </c>
      <c r="D11" s="135" t="n">
        <v>180</v>
      </c>
      <c r="E11" s="135" t="n">
        <v>219</v>
      </c>
      <c r="F11" s="135" t="n">
        <v>169</v>
      </c>
      <c r="G11" s="135" t="n">
        <v>129</v>
      </c>
      <c r="H11" s="135" t="n">
        <v>260</v>
      </c>
      <c r="I11" s="135" t="n">
        <v>146</v>
      </c>
      <c r="J11" s="135" t="n">
        <v>1138</v>
      </c>
      <c r="K11" s="135" t="n">
        <v>151</v>
      </c>
      <c r="L11" s="135" t="n">
        <v>212</v>
      </c>
      <c r="M11" s="135" t="n">
        <v>138</v>
      </c>
      <c r="N11" s="135" t="n">
        <v>110</v>
      </c>
      <c r="O11" s="135" t="n">
        <v>109</v>
      </c>
      <c r="P11" s="135" t="n">
        <v>19</v>
      </c>
      <c r="Q11" s="135" t="n">
        <v>29</v>
      </c>
      <c r="R11" s="135" t="n">
        <v>1406</v>
      </c>
      <c r="S11" s="135" t="n">
        <v>680</v>
      </c>
      <c r="T11" s="135" t="n">
        <v>63</v>
      </c>
      <c r="U11" s="135" t="n">
        <v>257</v>
      </c>
      <c r="V11" s="135" t="n">
        <v>203</v>
      </c>
      <c r="W11" s="135" t="n">
        <v>66</v>
      </c>
      <c r="X11" s="135" t="n">
        <v>35</v>
      </c>
      <c r="Y11" s="135" t="n">
        <v>101</v>
      </c>
      <c r="Z11" s="135" t="n">
        <v>742</v>
      </c>
      <c r="AA11" s="135" t="n">
        <v>366</v>
      </c>
      <c r="AB11" s="135" t="n">
        <v>125</v>
      </c>
      <c r="AC11" s="135" t="n">
        <v>107</v>
      </c>
      <c r="AD11" s="135" t="n">
        <v>664</v>
      </c>
      <c r="AE11" s="135" t="n">
        <v>314</v>
      </c>
      <c r="AF11" s="135" t="n">
        <v>132</v>
      </c>
      <c r="AG11" s="135" t="n">
        <v>97</v>
      </c>
      <c r="AH11" s="136" t="n">
        <v>0.18</v>
      </c>
      <c r="AI11" s="137" t="n">
        <v>48.4</v>
      </c>
      <c r="AJ11" s="135" t="n">
        <v>202</v>
      </c>
      <c r="AK11" s="138" t="n">
        <v>14.4</v>
      </c>
    </row>
    <row r="12" ht="30" customHeight="1">
      <c r="A12" s="3" t="inlineStr">
        <is>
          <t>NORD</t>
        </is>
      </c>
      <c r="B12" s="3" t="inlineStr">
        <is>
          <t>HOMMELET</t>
        </is>
      </c>
      <c r="C12" s="3" t="inlineStr">
        <is>
          <t>Hommelet Centre</t>
        </is>
      </c>
      <c r="D12" s="135" t="n">
        <v>204</v>
      </c>
      <c r="E12" s="135" t="n">
        <v>247</v>
      </c>
      <c r="F12" s="135" t="n">
        <v>226</v>
      </c>
      <c r="G12" s="135" t="n">
        <v>210</v>
      </c>
      <c r="H12" s="135" t="n">
        <v>267</v>
      </c>
      <c r="I12" s="135" t="n">
        <v>113</v>
      </c>
      <c r="J12" s="135" t="n">
        <v>1439</v>
      </c>
      <c r="K12" s="135" t="n">
        <v>175</v>
      </c>
      <c r="L12" s="135" t="n">
        <v>237</v>
      </c>
      <c r="M12" s="135" t="n">
        <v>224</v>
      </c>
      <c r="N12" s="135" t="n">
        <v>199</v>
      </c>
      <c r="O12" s="135" t="n">
        <v>122</v>
      </c>
      <c r="P12" s="135" t="n">
        <v>8</v>
      </c>
      <c r="Q12" s="135" t="n">
        <v>9</v>
      </c>
      <c r="R12" s="135" t="n">
        <v>1691</v>
      </c>
      <c r="S12" s="135" t="n">
        <v>882</v>
      </c>
      <c r="T12" s="135" t="n">
        <v>83</v>
      </c>
      <c r="U12" s="135" t="n">
        <v>285</v>
      </c>
      <c r="V12" s="135" t="n">
        <v>227</v>
      </c>
      <c r="W12" s="135" t="n">
        <v>82</v>
      </c>
      <c r="X12" s="135" t="n">
        <v>78</v>
      </c>
      <c r="Y12" s="135" t="n">
        <v>55</v>
      </c>
      <c r="Z12" s="135" t="n">
        <v>759</v>
      </c>
      <c r="AA12" s="135" t="n">
        <v>359</v>
      </c>
      <c r="AB12" s="135" t="n">
        <v>135</v>
      </c>
      <c r="AC12" s="135" t="n">
        <v>110</v>
      </c>
      <c r="AD12" s="135" t="n">
        <v>932</v>
      </c>
      <c r="AE12" s="135" t="n">
        <v>523</v>
      </c>
      <c r="AF12" s="135" t="n">
        <v>150</v>
      </c>
      <c r="AG12" s="135" t="n">
        <v>116</v>
      </c>
      <c r="AH12" s="136" t="n">
        <v>0.28</v>
      </c>
      <c r="AI12" s="137" t="n">
        <v>52.2</v>
      </c>
      <c r="AJ12" s="135" t="n">
        <v>214</v>
      </c>
      <c r="AK12" s="138" t="n">
        <v>12.7</v>
      </c>
    </row>
    <row r="13" ht="30" customHeight="1">
      <c r="A13" s="3" t="inlineStr">
        <is>
          <t>NORD</t>
        </is>
      </c>
      <c r="B13" s="3" t="inlineStr">
        <is>
          <t>HOMMELET</t>
        </is>
      </c>
      <c r="C13" s="3" t="inlineStr">
        <is>
          <t>Hommelet Sud</t>
        </is>
      </c>
      <c r="D13" s="135" t="n">
        <v>132</v>
      </c>
      <c r="E13" s="135" t="n">
        <v>197</v>
      </c>
      <c r="F13" s="135" t="n">
        <v>147</v>
      </c>
      <c r="G13" s="135" t="n">
        <v>155</v>
      </c>
      <c r="H13" s="135" t="n">
        <v>302</v>
      </c>
      <c r="I13" s="135" t="n">
        <v>139</v>
      </c>
      <c r="J13" s="135" t="n">
        <v>1225</v>
      </c>
      <c r="K13" s="135" t="n">
        <v>108</v>
      </c>
      <c r="L13" s="135" t="n">
        <v>197</v>
      </c>
      <c r="M13" s="135" t="n">
        <v>140</v>
      </c>
      <c r="N13" s="135" t="n">
        <v>136</v>
      </c>
      <c r="O13" s="135" t="n">
        <v>159</v>
      </c>
      <c r="P13" s="135" t="n">
        <v>24</v>
      </c>
      <c r="Q13" s="135" t="n">
        <v>17</v>
      </c>
      <c r="R13" s="135" t="n">
        <v>1485</v>
      </c>
      <c r="S13" s="135" t="n">
        <v>675</v>
      </c>
      <c r="T13" s="135" t="n">
        <v>64</v>
      </c>
      <c r="U13" s="135" t="n">
        <v>251</v>
      </c>
      <c r="V13" s="135" t="n">
        <v>208</v>
      </c>
      <c r="W13" s="135" t="n">
        <v>93</v>
      </c>
      <c r="X13" s="135" t="n">
        <v>86</v>
      </c>
      <c r="Y13" s="135" t="n">
        <v>108</v>
      </c>
      <c r="Z13" s="135" t="n">
        <v>780</v>
      </c>
      <c r="AA13" s="135" t="n">
        <v>327</v>
      </c>
      <c r="AB13" s="135" t="n">
        <v>145</v>
      </c>
      <c r="AC13" s="135" t="n">
        <v>120</v>
      </c>
      <c r="AD13" s="135" t="n">
        <v>706</v>
      </c>
      <c r="AE13" s="135" t="n">
        <v>348</v>
      </c>
      <c r="AF13" s="135" t="n">
        <v>106</v>
      </c>
      <c r="AG13" s="135" t="n">
        <v>88</v>
      </c>
      <c r="AH13" s="136" t="n">
        <v>0.21</v>
      </c>
      <c r="AI13" s="137" t="n">
        <v>45.5</v>
      </c>
      <c r="AJ13" s="135" t="n">
        <v>287</v>
      </c>
      <c r="AK13" s="138" t="n">
        <v>19.3</v>
      </c>
    </row>
    <row r="14" ht="30" customHeight="1">
      <c r="A14" s="3" t="inlineStr">
        <is>
          <t>OUEST</t>
        </is>
      </c>
      <c r="B14" s="3" t="inlineStr">
        <is>
          <t>EPEULE</t>
        </is>
      </c>
      <c r="C14" s="3" t="inlineStr">
        <is>
          <t>Épeule Nord</t>
        </is>
      </c>
      <c r="D14" s="135" t="n">
        <v>124</v>
      </c>
      <c r="E14" s="135" t="n">
        <v>198</v>
      </c>
      <c r="F14" s="135" t="n">
        <v>107</v>
      </c>
      <c r="G14" s="135" t="n">
        <v>104</v>
      </c>
      <c r="H14" s="135" t="n">
        <v>204</v>
      </c>
      <c r="I14" s="135" t="n">
        <v>124</v>
      </c>
      <c r="J14" s="135" t="n">
        <v>1040</v>
      </c>
      <c r="K14" s="135" t="n">
        <v>84</v>
      </c>
      <c r="L14" s="135" t="n">
        <v>189</v>
      </c>
      <c r="M14" s="135" t="n">
        <v>103</v>
      </c>
      <c r="N14" s="135" t="n">
        <v>87</v>
      </c>
      <c r="O14" s="135" t="n">
        <v>85</v>
      </c>
      <c r="P14" s="135" t="n">
        <v>13</v>
      </c>
      <c r="Q14" s="135" t="n">
        <v>22</v>
      </c>
      <c r="R14" s="135" t="n">
        <v>1266</v>
      </c>
      <c r="S14" s="135" t="n">
        <v>591</v>
      </c>
      <c r="T14" s="135" t="n">
        <v>95</v>
      </c>
      <c r="U14" s="135" t="n">
        <v>267</v>
      </c>
      <c r="V14" s="135" t="n">
        <v>182</v>
      </c>
      <c r="W14" s="135" t="n">
        <v>70</v>
      </c>
      <c r="X14" s="135" t="n">
        <v>40</v>
      </c>
      <c r="Y14" s="135" t="n">
        <v>21</v>
      </c>
      <c r="Z14" s="135" t="n">
        <v>641</v>
      </c>
      <c r="AA14" s="135" t="n">
        <v>305</v>
      </c>
      <c r="AB14" s="135" t="n">
        <v>159</v>
      </c>
      <c r="AC14" s="135" t="n">
        <v>90</v>
      </c>
      <c r="AD14" s="135" t="n">
        <v>625</v>
      </c>
      <c r="AE14" s="135" t="n">
        <v>285</v>
      </c>
      <c r="AF14" s="135" t="n">
        <v>108</v>
      </c>
      <c r="AG14" s="135" t="n">
        <v>92</v>
      </c>
      <c r="AH14" s="136" t="n">
        <v>0.15</v>
      </c>
      <c r="AI14" s="137" t="n">
        <v>46.7</v>
      </c>
      <c r="AJ14" s="135" t="n">
        <v>130</v>
      </c>
      <c r="AK14" s="138" t="n">
        <v>10.3</v>
      </c>
    </row>
    <row r="15" ht="30" customHeight="1">
      <c r="A15" s="3" t="inlineStr">
        <is>
          <t>OUEST</t>
        </is>
      </c>
      <c r="B15" s="3" t="inlineStr">
        <is>
          <t>EPEULE</t>
        </is>
      </c>
      <c r="C15" s="3" t="inlineStr">
        <is>
          <t>Épeule Centre</t>
        </is>
      </c>
      <c r="D15" s="135" t="n">
        <v>200</v>
      </c>
      <c r="E15" s="135" t="n">
        <v>198</v>
      </c>
      <c r="F15" s="135" t="n">
        <v>160</v>
      </c>
      <c r="G15" s="135" t="n">
        <v>109</v>
      </c>
      <c r="H15" s="135" t="n">
        <v>288</v>
      </c>
      <c r="I15" s="135" t="n">
        <v>156</v>
      </c>
      <c r="J15" s="135" t="n">
        <v>1283</v>
      </c>
      <c r="K15" s="135" t="n">
        <v>155</v>
      </c>
      <c r="L15" s="135" t="n">
        <v>193</v>
      </c>
      <c r="M15" s="135" t="n">
        <v>155</v>
      </c>
      <c r="N15" s="135" t="n">
        <v>100</v>
      </c>
      <c r="O15" s="135" t="n">
        <v>80</v>
      </c>
      <c r="P15" s="135" t="n">
        <v>6</v>
      </c>
      <c r="Q15" s="135" t="n">
        <v>20</v>
      </c>
      <c r="R15" s="135" t="n">
        <v>1630</v>
      </c>
      <c r="S15" s="135" t="n">
        <v>567</v>
      </c>
      <c r="T15" s="135" t="n">
        <v>123</v>
      </c>
      <c r="U15" s="135" t="n">
        <v>388</v>
      </c>
      <c r="V15" s="135" t="n">
        <v>258</v>
      </c>
      <c r="W15" s="135" t="n">
        <v>111</v>
      </c>
      <c r="X15" s="135" t="n">
        <v>122</v>
      </c>
      <c r="Y15" s="135" t="n">
        <v>62</v>
      </c>
      <c r="Z15" s="135" t="n">
        <v>779</v>
      </c>
      <c r="AA15" s="135" t="n">
        <v>232</v>
      </c>
      <c r="AB15" s="135" t="n">
        <v>208</v>
      </c>
      <c r="AC15" s="135" t="n">
        <v>140</v>
      </c>
      <c r="AD15" s="135" t="n">
        <v>851</v>
      </c>
      <c r="AE15" s="135" t="n">
        <v>334</v>
      </c>
      <c r="AF15" s="135" t="n">
        <v>180</v>
      </c>
      <c r="AG15" s="135" t="n">
        <v>118</v>
      </c>
      <c r="AH15" s="136" t="n">
        <v>0.2</v>
      </c>
      <c r="AI15" s="137" t="n">
        <v>34.8</v>
      </c>
      <c r="AJ15" s="135" t="n">
        <v>295</v>
      </c>
      <c r="AK15" s="138" t="n">
        <v>18.1</v>
      </c>
    </row>
    <row r="16" ht="30" customHeight="1">
      <c r="A16" s="3" t="inlineStr">
        <is>
          <t>OUEST</t>
        </is>
      </c>
      <c r="B16" s="3" t="inlineStr">
        <is>
          <t>EPEULE</t>
        </is>
      </c>
      <c r="C16" s="3" t="inlineStr">
        <is>
          <t>Épeule Sud</t>
        </is>
      </c>
      <c r="D16" s="135" t="n">
        <v>89</v>
      </c>
      <c r="E16" s="135" t="n">
        <v>120</v>
      </c>
      <c r="F16" s="135" t="n">
        <v>108</v>
      </c>
      <c r="G16" s="135" t="n">
        <v>109</v>
      </c>
      <c r="H16" s="135" t="n">
        <v>339</v>
      </c>
      <c r="I16" s="135" t="n">
        <v>106</v>
      </c>
      <c r="J16" s="135" t="n">
        <v>1097</v>
      </c>
      <c r="K16" s="135" t="n">
        <v>54</v>
      </c>
      <c r="L16" s="135" t="n">
        <v>120</v>
      </c>
      <c r="M16" s="135" t="n">
        <v>108</v>
      </c>
      <c r="N16" s="135" t="n">
        <v>106</v>
      </c>
      <c r="O16" s="135" t="n">
        <v>190</v>
      </c>
      <c r="P16" s="135" t="n">
        <v>23</v>
      </c>
      <c r="Q16" s="135" t="n">
        <v>16</v>
      </c>
      <c r="R16" s="135" t="n">
        <v>1316</v>
      </c>
      <c r="S16" s="135" t="n">
        <v>454</v>
      </c>
      <c r="T16" s="135" t="n">
        <v>106</v>
      </c>
      <c r="U16" s="135" t="n">
        <v>258</v>
      </c>
      <c r="V16" s="135" t="n">
        <v>191</v>
      </c>
      <c r="W16" s="135" t="n">
        <v>97</v>
      </c>
      <c r="X16" s="135" t="n">
        <v>106</v>
      </c>
      <c r="Y16" s="135" t="n">
        <v>104</v>
      </c>
      <c r="Z16" s="135" t="n">
        <v>670</v>
      </c>
      <c r="AA16" s="135" t="n">
        <v>252</v>
      </c>
      <c r="AB16" s="135" t="n">
        <v>140</v>
      </c>
      <c r="AC16" s="135" t="n">
        <v>72</v>
      </c>
      <c r="AD16" s="135" t="n">
        <v>647</v>
      </c>
      <c r="AE16" s="135" t="n">
        <v>202</v>
      </c>
      <c r="AF16" s="135" t="n">
        <v>117</v>
      </c>
      <c r="AG16" s="135" t="n">
        <v>119</v>
      </c>
      <c r="AH16" s="136" t="n">
        <v>0.15</v>
      </c>
      <c r="AI16" s="137" t="n">
        <v>34.5</v>
      </c>
      <c r="AJ16" s="135" t="n">
        <v>307</v>
      </c>
      <c r="AK16" s="138" t="n">
        <v>23.3</v>
      </c>
    </row>
    <row r="17" ht="30" customHeight="1">
      <c r="A17" s="3" t="inlineStr">
        <is>
          <t>OUEST</t>
        </is>
      </c>
      <c r="B17" s="3" t="inlineStr">
        <is>
          <t>TRICHON</t>
        </is>
      </c>
      <c r="C17" s="3" t="inlineStr">
        <is>
          <t>Trichon</t>
        </is>
      </c>
      <c r="D17" s="135" t="n">
        <v>162</v>
      </c>
      <c r="E17" s="135" t="n">
        <v>258</v>
      </c>
      <c r="F17" s="135" t="n">
        <v>202</v>
      </c>
      <c r="G17" s="135" t="n">
        <v>143</v>
      </c>
      <c r="H17" s="135" t="n">
        <v>423</v>
      </c>
      <c r="I17" s="135" t="n">
        <v>263</v>
      </c>
      <c r="J17" s="135" t="n">
        <v>1355</v>
      </c>
      <c r="K17" s="135" t="n">
        <v>115</v>
      </c>
      <c r="L17" s="135" t="n">
        <v>255</v>
      </c>
      <c r="M17" s="135" t="n">
        <v>197</v>
      </c>
      <c r="N17" s="135" t="n">
        <v>129</v>
      </c>
      <c r="O17" s="135" t="n">
        <v>182</v>
      </c>
      <c r="P17" s="135" t="n">
        <v>35</v>
      </c>
      <c r="Q17" s="135" t="n">
        <v>25</v>
      </c>
      <c r="R17" s="135" t="n">
        <v>1812</v>
      </c>
      <c r="S17" s="135" t="n">
        <v>514</v>
      </c>
      <c r="T17" s="135" t="n">
        <v>120</v>
      </c>
      <c r="U17" s="135" t="n">
        <v>329</v>
      </c>
      <c r="V17" s="135" t="n">
        <v>336</v>
      </c>
      <c r="W17" s="135" t="n">
        <v>146</v>
      </c>
      <c r="X17" s="135" t="n">
        <v>190</v>
      </c>
      <c r="Y17" s="135" t="n">
        <v>176</v>
      </c>
      <c r="Z17" s="135" t="n">
        <v>938</v>
      </c>
      <c r="AA17" s="135" t="n">
        <v>279</v>
      </c>
      <c r="AB17" s="135" t="n">
        <v>196</v>
      </c>
      <c r="AC17" s="135" t="n">
        <v>141</v>
      </c>
      <c r="AD17" s="135" t="n">
        <v>874</v>
      </c>
      <c r="AE17" s="135" t="n">
        <v>235</v>
      </c>
      <c r="AF17" s="135" t="n">
        <v>134</v>
      </c>
      <c r="AG17" s="135" t="n">
        <v>196</v>
      </c>
      <c r="AH17" s="136" t="n">
        <v>0.33</v>
      </c>
      <c r="AI17" s="137" t="n">
        <v>28.4</v>
      </c>
      <c r="AJ17" s="135" t="n">
        <v>512</v>
      </c>
      <c r="AK17" s="138" t="n">
        <v>28.3</v>
      </c>
    </row>
    <row r="18" ht="30" customHeight="1">
      <c r="A18" s="3" t="inlineStr">
        <is>
          <t>CENTRE</t>
        </is>
      </c>
      <c r="B18" s="3" t="inlineStr">
        <is>
          <t>ESPERANCE/CROUY/CENTRE VILLE</t>
        </is>
      </c>
      <c r="C18" s="3" t="inlineStr">
        <is>
          <t>Espérance Centre</t>
        </is>
      </c>
      <c r="D18" s="135" t="n">
        <v>191</v>
      </c>
      <c r="E18" s="135" t="n">
        <v>230</v>
      </c>
      <c r="F18" s="135" t="n">
        <v>136</v>
      </c>
      <c r="G18" s="135" t="n">
        <v>121</v>
      </c>
      <c r="H18" s="135" t="n">
        <v>721</v>
      </c>
      <c r="I18" s="135" t="n">
        <v>309</v>
      </c>
      <c r="J18" s="135" t="n">
        <v>1708</v>
      </c>
      <c r="K18" s="135" t="n">
        <v>139</v>
      </c>
      <c r="L18" s="135" t="n">
        <v>218</v>
      </c>
      <c r="M18" s="135" t="n">
        <v>124</v>
      </c>
      <c r="N18" s="135" t="n">
        <v>110</v>
      </c>
      <c r="O18" s="135" t="n">
        <v>500</v>
      </c>
      <c r="P18" s="135" t="n">
        <v>37</v>
      </c>
      <c r="Q18" s="135" t="n">
        <v>34</v>
      </c>
      <c r="R18" s="135" t="n">
        <v>2179</v>
      </c>
      <c r="S18" s="135" t="n">
        <v>537</v>
      </c>
      <c r="T18" s="135" t="n">
        <v>136</v>
      </c>
      <c r="U18" s="135" t="n">
        <v>424</v>
      </c>
      <c r="V18" s="135" t="n">
        <v>468</v>
      </c>
      <c r="W18" s="135" t="n">
        <v>191</v>
      </c>
      <c r="X18" s="135" t="n">
        <v>182</v>
      </c>
      <c r="Y18" s="135" t="n">
        <v>241</v>
      </c>
      <c r="Z18" s="135" t="n">
        <v>1161</v>
      </c>
      <c r="AA18" s="135" t="n">
        <v>279</v>
      </c>
      <c r="AB18" s="135" t="n">
        <v>219</v>
      </c>
      <c r="AC18" s="135" t="n">
        <v>283</v>
      </c>
      <c r="AD18" s="135" t="n">
        <v>1018</v>
      </c>
      <c r="AE18" s="135" t="n">
        <v>259</v>
      </c>
      <c r="AF18" s="135" t="n">
        <v>205</v>
      </c>
      <c r="AG18" s="135" t="n">
        <v>185</v>
      </c>
      <c r="AH18" s="136" t="n">
        <v>0.45</v>
      </c>
      <c r="AI18" s="137" t="n">
        <v>24.6</v>
      </c>
      <c r="AJ18" s="135" t="n">
        <v>614</v>
      </c>
      <c r="AK18" s="138" t="n">
        <v>28.2</v>
      </c>
    </row>
    <row r="19" ht="30" customHeight="1">
      <c r="A19" s="3" t="inlineStr">
        <is>
          <t>CENTRE</t>
        </is>
      </c>
      <c r="B19" s="3" t="inlineStr">
        <is>
          <t>NATIONS UNIES</t>
        </is>
      </c>
      <c r="C19" s="3" t="inlineStr">
        <is>
          <t>Nations Unies</t>
        </is>
      </c>
      <c r="D19" s="135" t="n">
        <v>181</v>
      </c>
      <c r="E19" s="135" t="n">
        <v>210</v>
      </c>
      <c r="F19" s="135" t="n">
        <v>130</v>
      </c>
      <c r="G19" s="135" t="n">
        <v>66</v>
      </c>
      <c r="H19" s="135" t="n">
        <v>457</v>
      </c>
      <c r="I19" s="135" t="n">
        <v>286</v>
      </c>
      <c r="J19" s="135" t="n">
        <v>1492</v>
      </c>
      <c r="K19" s="135" t="n">
        <v>146</v>
      </c>
      <c r="L19" s="135" t="n">
        <v>209</v>
      </c>
      <c r="M19" s="135" t="n">
        <v>130</v>
      </c>
      <c r="N19" s="135" t="n">
        <v>52</v>
      </c>
      <c r="O19" s="135" t="n">
        <v>217</v>
      </c>
      <c r="P19" s="135" t="n">
        <v>10</v>
      </c>
      <c r="Q19" s="135" t="n">
        <v>25</v>
      </c>
      <c r="R19" s="135" t="n">
        <v>1997</v>
      </c>
      <c r="S19" s="135" t="n">
        <v>646</v>
      </c>
      <c r="T19" s="135" t="n">
        <v>101</v>
      </c>
      <c r="U19" s="135" t="n">
        <v>354</v>
      </c>
      <c r="V19" s="135" t="n">
        <v>324</v>
      </c>
      <c r="W19" s="135" t="n">
        <v>209</v>
      </c>
      <c r="X19" s="135" t="n">
        <v>154</v>
      </c>
      <c r="Y19" s="135" t="n">
        <v>209</v>
      </c>
      <c r="Z19" s="135" t="n">
        <v>1010</v>
      </c>
      <c r="AA19" s="135" t="n">
        <v>321</v>
      </c>
      <c r="AB19" s="135" t="n">
        <v>207</v>
      </c>
      <c r="AC19" s="135" t="n">
        <v>190</v>
      </c>
      <c r="AD19" s="135" t="n">
        <v>987</v>
      </c>
      <c r="AE19" s="135" t="n">
        <v>326</v>
      </c>
      <c r="AF19" s="135" t="n">
        <v>147</v>
      </c>
      <c r="AG19" s="135" t="n">
        <v>134</v>
      </c>
      <c r="AH19" s="136" t="n">
        <v>0.32</v>
      </c>
      <c r="AI19" s="137" t="n">
        <v>32.4</v>
      </c>
      <c r="AJ19" s="135" t="n">
        <v>572</v>
      </c>
      <c r="AK19" s="138" t="n">
        <v>28.6</v>
      </c>
    </row>
    <row r="20" ht="30" customHeight="1">
      <c r="A20" s="3" t="inlineStr">
        <is>
          <t>CENTRE</t>
        </is>
      </c>
      <c r="B20" s="3" t="inlineStr">
        <is>
          <t>ANSEELE MOTTE BOSSUT</t>
        </is>
      </c>
      <c r="C20" s="3" t="inlineStr">
        <is>
          <t>Anseele</t>
        </is>
      </c>
      <c r="D20" s="135" t="n">
        <v>312</v>
      </c>
      <c r="E20" s="135" t="n">
        <v>340</v>
      </c>
      <c r="F20" s="135" t="n">
        <v>214</v>
      </c>
      <c r="G20" s="135" t="n">
        <v>146</v>
      </c>
      <c r="H20" s="135" t="n">
        <v>480</v>
      </c>
      <c r="I20" s="135" t="n">
        <v>285</v>
      </c>
      <c r="J20" s="135" t="n">
        <v>2032</v>
      </c>
      <c r="K20" s="135" t="n">
        <v>216</v>
      </c>
      <c r="L20" s="135" t="n">
        <v>333</v>
      </c>
      <c r="M20" s="135" t="n">
        <v>209</v>
      </c>
      <c r="N20" s="135" t="n">
        <v>137</v>
      </c>
      <c r="O20" s="135" t="n">
        <v>270</v>
      </c>
      <c r="P20" s="135" t="n">
        <v>17</v>
      </c>
      <c r="Q20" s="135" t="n">
        <v>38</v>
      </c>
      <c r="R20" s="135" t="n">
        <v>2482</v>
      </c>
      <c r="S20" s="135" t="n">
        <v>901</v>
      </c>
      <c r="T20" s="135" t="n">
        <v>157</v>
      </c>
      <c r="U20" s="135" t="n">
        <v>520</v>
      </c>
      <c r="V20" s="135" t="n">
        <v>459</v>
      </c>
      <c r="W20" s="135" t="n">
        <v>175</v>
      </c>
      <c r="X20" s="135" t="n">
        <v>139</v>
      </c>
      <c r="Y20" s="135" t="n">
        <v>132</v>
      </c>
      <c r="Z20" s="135" t="n">
        <v>1205</v>
      </c>
      <c r="AA20" s="135" t="n">
        <v>409</v>
      </c>
      <c r="AB20" s="135" t="n">
        <v>290</v>
      </c>
      <c r="AC20" s="135" t="n">
        <v>206</v>
      </c>
      <c r="AD20" s="135" t="n">
        <v>1277</v>
      </c>
      <c r="AE20" s="135" t="n">
        <v>491</v>
      </c>
      <c r="AF20" s="135" t="n">
        <v>230</v>
      </c>
      <c r="AG20" s="135" t="n">
        <v>253</v>
      </c>
      <c r="AH20" s="136" t="n">
        <v>0.29</v>
      </c>
      <c r="AI20" s="137" t="n">
        <v>36.3</v>
      </c>
      <c r="AJ20" s="135" t="n">
        <v>446</v>
      </c>
      <c r="AK20" s="138" t="n">
        <v>18</v>
      </c>
    </row>
    <row r="21" ht="30" customHeight="1">
      <c r="A21" s="3" t="inlineStr">
        <is>
          <t>CENTRE</t>
        </is>
      </c>
      <c r="B21" s="3" t="inlineStr">
        <is>
          <t>VAUBAN</t>
        </is>
      </c>
      <c r="C21" s="3" t="inlineStr">
        <is>
          <t>Barbieux-Vauban</t>
        </is>
      </c>
      <c r="D21" s="135" t="n">
        <v>121</v>
      </c>
      <c r="E21" s="135" t="n">
        <v>153</v>
      </c>
      <c r="F21" s="135" t="n">
        <v>145</v>
      </c>
      <c r="G21" s="135" t="n">
        <v>108</v>
      </c>
      <c r="H21" s="135" t="n">
        <v>507</v>
      </c>
      <c r="I21" s="135" t="n">
        <v>192</v>
      </c>
      <c r="J21" s="135" t="n">
        <v>2381</v>
      </c>
      <c r="K21" s="135" t="n">
        <v>95</v>
      </c>
      <c r="L21" s="135" t="n">
        <v>150</v>
      </c>
      <c r="M21" s="135" t="n">
        <v>145</v>
      </c>
      <c r="N21" s="135" t="n">
        <v>100</v>
      </c>
      <c r="O21" s="135" t="n">
        <v>353</v>
      </c>
      <c r="P21" s="135" t="n">
        <v>26</v>
      </c>
      <c r="Q21" s="135" t="n">
        <v>30</v>
      </c>
      <c r="R21" s="135" t="n">
        <v>2679</v>
      </c>
      <c r="S21" s="135" t="n">
        <v>358</v>
      </c>
      <c r="T21" s="135" t="n">
        <v>129</v>
      </c>
      <c r="U21" s="135" t="n">
        <v>290</v>
      </c>
      <c r="V21" s="135" t="n">
        <v>438</v>
      </c>
      <c r="W21" s="135" t="n">
        <v>323</v>
      </c>
      <c r="X21" s="135" t="n">
        <v>455</v>
      </c>
      <c r="Y21" s="135" t="n">
        <v>686</v>
      </c>
      <c r="Z21" s="135" t="n">
        <v>1218</v>
      </c>
      <c r="AA21" s="135" t="n">
        <v>144</v>
      </c>
      <c r="AB21" s="135" t="n">
        <v>155</v>
      </c>
      <c r="AC21" s="135" t="n">
        <v>190</v>
      </c>
      <c r="AD21" s="135" t="n">
        <v>1461</v>
      </c>
      <c r="AE21" s="135" t="n">
        <v>215</v>
      </c>
      <c r="AF21" s="135" t="n">
        <v>135</v>
      </c>
      <c r="AG21" s="135" t="n">
        <v>248</v>
      </c>
      <c r="AH21" s="136" t="n">
        <v>0.91</v>
      </c>
      <c r="AI21" s="137" t="n">
        <v>13.4</v>
      </c>
      <c r="AJ21" s="135" t="n">
        <v>1464</v>
      </c>
      <c r="AK21" s="138" t="n">
        <v>54.6</v>
      </c>
    </row>
    <row r="22" ht="30" customHeight="1">
      <c r="A22" s="3" t="inlineStr">
        <is>
          <t>SUD</t>
        </is>
      </c>
      <c r="B22" s="3" t="inlineStr">
        <is>
          <t>BARBIEUX</t>
        </is>
      </c>
      <c r="C22" s="3" t="inlineStr">
        <is>
          <t>Barbieux Sud</t>
        </is>
      </c>
      <c r="D22" s="135" t="n">
        <v>92</v>
      </c>
      <c r="E22" s="135" t="n">
        <v>102</v>
      </c>
      <c r="F22" s="135" t="n">
        <v>109</v>
      </c>
      <c r="G22" s="135" t="n">
        <v>71</v>
      </c>
      <c r="H22" s="135" t="n">
        <v>266</v>
      </c>
      <c r="I22" s="135" t="n">
        <v>97</v>
      </c>
      <c r="J22" s="135" t="n">
        <v>1709</v>
      </c>
      <c r="K22" s="135" t="n">
        <v>72</v>
      </c>
      <c r="L22" s="135" t="n">
        <v>102</v>
      </c>
      <c r="M22" s="135" t="n">
        <v>109</v>
      </c>
      <c r="N22" s="135" t="n">
        <v>66</v>
      </c>
      <c r="O22" s="135" t="n">
        <v>182</v>
      </c>
      <c r="P22" s="135" t="n">
        <v>16</v>
      </c>
      <c r="Q22" s="135" t="n">
        <v>22</v>
      </c>
      <c r="R22" s="135" t="n">
        <v>1857</v>
      </c>
      <c r="S22" s="135" t="n">
        <v>291</v>
      </c>
      <c r="T22" s="135" t="n">
        <v>114</v>
      </c>
      <c r="U22" s="135" t="n">
        <v>248</v>
      </c>
      <c r="V22" s="135" t="n">
        <v>244</v>
      </c>
      <c r="W22" s="135" t="n">
        <v>242</v>
      </c>
      <c r="X22" s="135" t="n">
        <v>257</v>
      </c>
      <c r="Y22" s="135" t="n">
        <v>461</v>
      </c>
      <c r="Z22" s="135" t="n">
        <v>805</v>
      </c>
      <c r="AA22" s="135" t="n">
        <v>93</v>
      </c>
      <c r="AB22" s="135" t="n">
        <v>111</v>
      </c>
      <c r="AC22" s="135" t="n">
        <v>108</v>
      </c>
      <c r="AD22" s="135" t="n">
        <v>1051</v>
      </c>
      <c r="AE22" s="135" t="n">
        <v>198</v>
      </c>
      <c r="AF22" s="135" t="n">
        <v>137</v>
      </c>
      <c r="AG22" s="135" t="n">
        <v>135</v>
      </c>
      <c r="AH22" s="136" t="n">
        <v>0.5600000000000001</v>
      </c>
      <c r="AI22" s="137" t="n">
        <v>15.6</v>
      </c>
      <c r="AJ22" s="135" t="n">
        <v>961</v>
      </c>
      <c r="AK22" s="138" t="n">
        <v>51.7</v>
      </c>
    </row>
    <row r="23" ht="30" customHeight="1">
      <c r="A23" s="3" t="inlineStr">
        <is>
          <t>SUD</t>
        </is>
      </c>
      <c r="B23" s="3" t="inlineStr">
        <is>
          <t>EDOUARD VAILLANT</t>
        </is>
      </c>
      <c r="C23" s="3" t="inlineStr">
        <is>
          <t>Édouard Vaillant</t>
        </is>
      </c>
      <c r="D23" s="135" t="n">
        <v>243</v>
      </c>
      <c r="E23" s="135" t="n">
        <v>306</v>
      </c>
      <c r="F23" s="135" t="n">
        <v>229</v>
      </c>
      <c r="G23" s="135" t="n">
        <v>144</v>
      </c>
      <c r="H23" s="135" t="n">
        <v>618</v>
      </c>
      <c r="I23" s="135" t="n">
        <v>315</v>
      </c>
      <c r="J23" s="135" t="n">
        <v>2263</v>
      </c>
      <c r="K23" s="135" t="n">
        <v>170</v>
      </c>
      <c r="L23" s="135" t="n">
        <v>302</v>
      </c>
      <c r="M23" s="135" t="n">
        <v>226</v>
      </c>
      <c r="N23" s="135" t="n">
        <v>136</v>
      </c>
      <c r="O23" s="135" t="n">
        <v>429</v>
      </c>
      <c r="P23" s="135" t="n">
        <v>42</v>
      </c>
      <c r="Q23" s="135" t="n">
        <v>31</v>
      </c>
      <c r="R23" s="135" t="n">
        <v>2701</v>
      </c>
      <c r="S23" s="135" t="n">
        <v>532</v>
      </c>
      <c r="T23" s="135" t="n">
        <v>104</v>
      </c>
      <c r="U23" s="135" t="n">
        <v>501</v>
      </c>
      <c r="V23" s="135" t="n">
        <v>489</v>
      </c>
      <c r="W23" s="135" t="n">
        <v>356</v>
      </c>
      <c r="X23" s="135" t="n">
        <v>334</v>
      </c>
      <c r="Y23" s="135" t="n">
        <v>385</v>
      </c>
      <c r="Z23" s="135" t="n">
        <v>1247</v>
      </c>
      <c r="AA23" s="135" t="n">
        <v>235</v>
      </c>
      <c r="AB23" s="135" t="n">
        <v>245</v>
      </c>
      <c r="AC23" s="135" t="n">
        <v>231</v>
      </c>
      <c r="AD23" s="135" t="n">
        <v>1454</v>
      </c>
      <c r="AE23" s="135" t="n">
        <v>297</v>
      </c>
      <c r="AF23" s="135" t="n">
        <v>257</v>
      </c>
      <c r="AG23" s="135" t="n">
        <v>258</v>
      </c>
      <c r="AH23" s="136" t="n">
        <v>0.53</v>
      </c>
      <c r="AI23" s="137" t="n">
        <v>19.7</v>
      </c>
      <c r="AJ23" s="135" t="n">
        <v>1076</v>
      </c>
      <c r="AK23" s="138" t="n">
        <v>39.8</v>
      </c>
    </row>
    <row r="24" ht="30" customHeight="1">
      <c r="A24" s="3" t="inlineStr">
        <is>
          <t>SUD</t>
        </is>
      </c>
      <c r="B24" s="3" t="inlineStr">
        <is>
          <t>MOULIN</t>
        </is>
      </c>
      <c r="C24" s="3" t="inlineStr">
        <is>
          <t>Moulin Nord</t>
        </is>
      </c>
      <c r="D24" s="135" t="n">
        <v>135</v>
      </c>
      <c r="E24" s="135" t="n">
        <v>218</v>
      </c>
      <c r="F24" s="135" t="n">
        <v>175</v>
      </c>
      <c r="G24" s="135" t="n">
        <v>131</v>
      </c>
      <c r="H24" s="135" t="n">
        <v>347</v>
      </c>
      <c r="I24" s="135" t="n">
        <v>121</v>
      </c>
      <c r="J24" s="135" t="n">
        <v>1155</v>
      </c>
      <c r="K24" s="135" t="n">
        <v>98</v>
      </c>
      <c r="L24" s="135" t="n">
        <v>212</v>
      </c>
      <c r="M24" s="135" t="n">
        <v>172</v>
      </c>
      <c r="N24" s="135" t="n">
        <v>122</v>
      </c>
      <c r="O24" s="135" t="n">
        <v>197</v>
      </c>
      <c r="P24" s="135" t="n">
        <v>9</v>
      </c>
      <c r="Q24" s="135" t="n">
        <v>14</v>
      </c>
      <c r="R24" s="135" t="n">
        <v>1413</v>
      </c>
      <c r="S24" s="135" t="n">
        <v>469</v>
      </c>
      <c r="T24" s="135" t="n">
        <v>116</v>
      </c>
      <c r="U24" s="135" t="n">
        <v>300</v>
      </c>
      <c r="V24" s="135" t="n">
        <v>215</v>
      </c>
      <c r="W24" s="135" t="n">
        <v>131</v>
      </c>
      <c r="X24" s="135" t="n">
        <v>81</v>
      </c>
      <c r="Y24" s="135" t="n">
        <v>102</v>
      </c>
      <c r="Z24" s="135" t="n">
        <v>710</v>
      </c>
      <c r="AA24" s="135" t="n">
        <v>201</v>
      </c>
      <c r="AB24" s="135" t="n">
        <v>179</v>
      </c>
      <c r="AC24" s="135" t="n">
        <v>118</v>
      </c>
      <c r="AD24" s="135" t="n">
        <v>704</v>
      </c>
      <c r="AE24" s="135" t="n">
        <v>268</v>
      </c>
      <c r="AF24" s="135" t="n">
        <v>122</v>
      </c>
      <c r="AG24" s="135" t="n">
        <v>97</v>
      </c>
      <c r="AH24" s="136" t="n">
        <v>0.16</v>
      </c>
      <c r="AI24" s="137" t="n">
        <v>33.2</v>
      </c>
      <c r="AJ24" s="135" t="n">
        <v>314</v>
      </c>
      <c r="AK24" s="138" t="n">
        <v>22.2</v>
      </c>
    </row>
    <row r="25" ht="30" customHeight="1">
      <c r="A25" s="3" t="inlineStr">
        <is>
          <t>SUD</t>
        </is>
      </c>
      <c r="B25" s="3" t="inlineStr">
        <is>
          <t>MOULIN</t>
        </is>
      </c>
      <c r="C25" s="3" t="inlineStr">
        <is>
          <t>Moulin Sud</t>
        </is>
      </c>
      <c r="D25" s="135" t="n">
        <v>147</v>
      </c>
      <c r="E25" s="135" t="n">
        <v>211</v>
      </c>
      <c r="F25" s="135" t="n">
        <v>148</v>
      </c>
      <c r="G25" s="135" t="n">
        <v>143</v>
      </c>
      <c r="H25" s="135" t="n">
        <v>215</v>
      </c>
      <c r="I25" s="135" t="n">
        <v>84</v>
      </c>
      <c r="J25" s="135" t="n">
        <v>1160</v>
      </c>
      <c r="K25" s="135" t="n">
        <v>117</v>
      </c>
      <c r="L25" s="135" t="n">
        <v>211</v>
      </c>
      <c r="M25" s="135" t="n">
        <v>148</v>
      </c>
      <c r="N25" s="135" t="n">
        <v>135</v>
      </c>
      <c r="O25" s="135" t="n">
        <v>88</v>
      </c>
      <c r="P25" s="135" t="n">
        <v>7</v>
      </c>
      <c r="Q25" s="135" t="n">
        <v>12</v>
      </c>
      <c r="R25" s="135" t="n">
        <v>1361</v>
      </c>
      <c r="S25" s="135" t="n">
        <v>472</v>
      </c>
      <c r="T25" s="135" t="n">
        <v>108</v>
      </c>
      <c r="U25" s="135" t="n">
        <v>303</v>
      </c>
      <c r="V25" s="135" t="n">
        <v>226</v>
      </c>
      <c r="W25" s="135" t="n">
        <v>109</v>
      </c>
      <c r="X25" s="135" t="n">
        <v>73</v>
      </c>
      <c r="Y25" s="135" t="n">
        <v>70</v>
      </c>
      <c r="Z25" s="135" t="n">
        <v>631</v>
      </c>
      <c r="AA25" s="135" t="n">
        <v>201</v>
      </c>
      <c r="AB25" s="135" t="n">
        <v>180</v>
      </c>
      <c r="AC25" s="135" t="n">
        <v>103</v>
      </c>
      <c r="AD25" s="135" t="n">
        <v>730</v>
      </c>
      <c r="AE25" s="135" t="n">
        <v>271</v>
      </c>
      <c r="AF25" s="135" t="n">
        <v>123</v>
      </c>
      <c r="AG25" s="135" t="n">
        <v>123</v>
      </c>
      <c r="AH25" s="136" t="n">
        <v>0.17</v>
      </c>
      <c r="AI25" s="137" t="n">
        <v>34.7</v>
      </c>
      <c r="AJ25" s="135" t="n">
        <v>252</v>
      </c>
      <c r="AK25" s="138" t="n">
        <v>18.5</v>
      </c>
    </row>
    <row r="26" ht="30" customHeight="1">
      <c r="A26" s="3" t="inlineStr">
        <is>
          <t>SUD</t>
        </is>
      </c>
      <c r="B26" s="3" t="inlineStr">
        <is>
          <t>POTENNERIE</t>
        </is>
      </c>
      <c r="C26" s="3" t="inlineStr">
        <is>
          <t>Potennerie</t>
        </is>
      </c>
      <c r="D26" s="135" t="n">
        <v>226</v>
      </c>
      <c r="E26" s="135" t="n">
        <v>225</v>
      </c>
      <c r="F26" s="135" t="n">
        <v>199</v>
      </c>
      <c r="G26" s="135" t="n">
        <v>125</v>
      </c>
      <c r="H26" s="135" t="n">
        <v>372</v>
      </c>
      <c r="I26" s="135" t="n">
        <v>241</v>
      </c>
      <c r="J26" s="135" t="n">
        <v>1725</v>
      </c>
      <c r="K26" s="135" t="n">
        <v>186</v>
      </c>
      <c r="L26" s="135" t="n">
        <v>225</v>
      </c>
      <c r="M26" s="135" t="n">
        <v>196</v>
      </c>
      <c r="N26" s="135" t="n">
        <v>116</v>
      </c>
      <c r="O26" s="135" t="n">
        <v>207</v>
      </c>
      <c r="P26" s="135" t="n">
        <v>33</v>
      </c>
      <c r="Q26" s="135" t="n">
        <v>15</v>
      </c>
      <c r="R26" s="135" t="n">
        <v>2092</v>
      </c>
      <c r="S26" s="135" t="n">
        <v>360</v>
      </c>
      <c r="T26" s="135" t="n">
        <v>108</v>
      </c>
      <c r="U26" s="135" t="n">
        <v>442</v>
      </c>
      <c r="V26" s="135" t="n">
        <v>391</v>
      </c>
      <c r="W26" s="135" t="n">
        <v>215</v>
      </c>
      <c r="X26" s="135" t="n">
        <v>265</v>
      </c>
      <c r="Y26" s="135" t="n">
        <v>312</v>
      </c>
      <c r="Z26" s="135" t="n">
        <v>974</v>
      </c>
      <c r="AA26" s="135" t="n">
        <v>133</v>
      </c>
      <c r="AB26" s="135" t="n">
        <v>212</v>
      </c>
      <c r="AC26" s="135" t="n">
        <v>201</v>
      </c>
      <c r="AD26" s="135" t="n">
        <v>1118</v>
      </c>
      <c r="AE26" s="135" t="n">
        <v>226</v>
      </c>
      <c r="AF26" s="135" t="n">
        <v>230</v>
      </c>
      <c r="AG26" s="135" t="n">
        <v>190</v>
      </c>
      <c r="AH26" s="136" t="n">
        <v>0.37</v>
      </c>
      <c r="AI26" s="137" t="n">
        <v>17.2</v>
      </c>
      <c r="AJ26" s="135" t="n">
        <v>792</v>
      </c>
      <c r="AK26" s="138" t="n">
        <v>37.8</v>
      </c>
    </row>
    <row r="27" ht="30" customHeight="1">
      <c r="A27" s="3" t="inlineStr">
        <is>
          <t>EST</t>
        </is>
      </c>
      <c r="B27" s="3" t="inlineStr">
        <is>
          <t>STE ELISABETH</t>
        </is>
      </c>
      <c r="C27" s="3" t="inlineStr">
        <is>
          <t>Sainte-Élisabeth Centre</t>
        </is>
      </c>
      <c r="D27" s="135" t="n">
        <v>135</v>
      </c>
      <c r="E27" s="135" t="n">
        <v>222</v>
      </c>
      <c r="F27" s="135" t="n">
        <v>209</v>
      </c>
      <c r="G27" s="135" t="n">
        <v>166</v>
      </c>
      <c r="H27" s="135" t="n">
        <v>266</v>
      </c>
      <c r="I27" s="135" t="n">
        <v>138</v>
      </c>
      <c r="J27" s="135" t="n">
        <v>1088</v>
      </c>
      <c r="K27" s="135" t="n">
        <v>114</v>
      </c>
      <c r="L27" s="135" t="n">
        <v>215</v>
      </c>
      <c r="M27" s="135" t="n">
        <v>209</v>
      </c>
      <c r="N27" s="135" t="n">
        <v>161</v>
      </c>
      <c r="O27" s="135" t="n">
        <v>102</v>
      </c>
      <c r="P27" s="135" t="n">
        <v>6</v>
      </c>
      <c r="Q27" s="135" t="n">
        <v>11</v>
      </c>
      <c r="R27" s="135" t="n">
        <v>1377</v>
      </c>
      <c r="S27" s="135" t="n">
        <v>482</v>
      </c>
      <c r="T27" s="135" t="n">
        <v>110</v>
      </c>
      <c r="U27" s="135" t="n">
        <v>366</v>
      </c>
      <c r="V27" s="135" t="n">
        <v>227</v>
      </c>
      <c r="W27" s="135" t="n">
        <v>97</v>
      </c>
      <c r="X27" s="135" t="n">
        <v>57</v>
      </c>
      <c r="Y27" s="135" t="n">
        <v>37</v>
      </c>
      <c r="Z27" s="135" t="n">
        <v>635</v>
      </c>
      <c r="AA27" s="135" t="n">
        <v>206</v>
      </c>
      <c r="AB27" s="135" t="n">
        <v>180</v>
      </c>
      <c r="AC27" s="135" t="n">
        <v>103</v>
      </c>
      <c r="AD27" s="135" t="n">
        <v>741</v>
      </c>
      <c r="AE27" s="135" t="n">
        <v>276</v>
      </c>
      <c r="AF27" s="135" t="n">
        <v>185</v>
      </c>
      <c r="AG27" s="135" t="n">
        <v>124</v>
      </c>
      <c r="AH27" s="136" t="n">
        <v>0.16</v>
      </c>
      <c r="AI27" s="137" t="n">
        <v>35</v>
      </c>
      <c r="AJ27" s="135" t="n">
        <v>192</v>
      </c>
      <c r="AK27" s="138" t="n">
        <v>13.9</v>
      </c>
    </row>
    <row r="28" ht="30" customHeight="1">
      <c r="A28" s="3" t="inlineStr">
        <is>
          <t>EST</t>
        </is>
      </c>
      <c r="B28" s="3" t="inlineStr">
        <is>
          <t>STE ELISABETH</t>
        </is>
      </c>
      <c r="C28" s="3" t="inlineStr">
        <is>
          <t>Sainte-Élisabeth Sud</t>
        </is>
      </c>
      <c r="D28" s="135" t="n">
        <v>181</v>
      </c>
      <c r="E28" s="135" t="n">
        <v>227</v>
      </c>
      <c r="F28" s="135" t="n">
        <v>182</v>
      </c>
      <c r="G28" s="135" t="n">
        <v>100</v>
      </c>
      <c r="H28" s="135" t="n">
        <v>224</v>
      </c>
      <c r="I28" s="135" t="n">
        <v>119</v>
      </c>
      <c r="J28" s="135" t="n">
        <v>1054</v>
      </c>
      <c r="K28" s="135" t="n">
        <v>119</v>
      </c>
      <c r="L28" s="135" t="n">
        <v>223</v>
      </c>
      <c r="M28" s="135" t="n">
        <v>182</v>
      </c>
      <c r="N28" s="135" t="n">
        <v>85</v>
      </c>
      <c r="O28" s="135" t="n">
        <v>101</v>
      </c>
      <c r="P28" s="135" t="n">
        <v>10</v>
      </c>
      <c r="Q28" s="135" t="n">
        <v>11</v>
      </c>
      <c r="R28" s="135" t="n">
        <v>1290</v>
      </c>
      <c r="S28" s="135" t="n">
        <v>467</v>
      </c>
      <c r="T28" s="135" t="n">
        <v>72</v>
      </c>
      <c r="U28" s="135" t="n">
        <v>238</v>
      </c>
      <c r="V28" s="135" t="n">
        <v>300</v>
      </c>
      <c r="W28" s="135" t="n">
        <v>85</v>
      </c>
      <c r="X28" s="135" t="n">
        <v>71</v>
      </c>
      <c r="Y28" s="135" t="n">
        <v>56</v>
      </c>
      <c r="Z28" s="135" t="n">
        <v>637</v>
      </c>
      <c r="AA28" s="135" t="n">
        <v>220</v>
      </c>
      <c r="AB28" s="135" t="n">
        <v>127</v>
      </c>
      <c r="AC28" s="135" t="n">
        <v>158</v>
      </c>
      <c r="AD28" s="135" t="n">
        <v>653</v>
      </c>
      <c r="AE28" s="135" t="n">
        <v>247</v>
      </c>
      <c r="AF28" s="135" t="n">
        <v>112</v>
      </c>
      <c r="AG28" s="135" t="n">
        <v>142</v>
      </c>
      <c r="AH28" s="136" t="n">
        <v>0.14</v>
      </c>
      <c r="AI28" s="137" t="n">
        <v>36.2</v>
      </c>
      <c r="AJ28" s="135" t="n">
        <v>212</v>
      </c>
      <c r="AK28" s="138" t="n">
        <v>16.4</v>
      </c>
    </row>
    <row r="29" ht="30" customHeight="1">
      <c r="A29" s="3" t="inlineStr">
        <is>
          <t>EST</t>
        </is>
      </c>
      <c r="B29" s="3" t="inlineStr">
        <is>
          <t>STE ELISABETH</t>
        </is>
      </c>
      <c r="C29" s="3" t="inlineStr">
        <is>
          <t>Sainte-Élisabeth Nord</t>
        </is>
      </c>
      <c r="D29" s="135" t="n">
        <v>135</v>
      </c>
      <c r="E29" s="135" t="n">
        <v>224</v>
      </c>
      <c r="F29" s="135" t="n">
        <v>214</v>
      </c>
      <c r="G29" s="135" t="n">
        <v>99</v>
      </c>
      <c r="H29" s="135" t="n">
        <v>332</v>
      </c>
      <c r="I29" s="135" t="n">
        <v>182</v>
      </c>
      <c r="J29" s="135" t="n">
        <v>1567</v>
      </c>
      <c r="K29" s="135" t="n">
        <v>115</v>
      </c>
      <c r="L29" s="135" t="n">
        <v>221</v>
      </c>
      <c r="M29" s="135" t="n">
        <v>211</v>
      </c>
      <c r="N29" s="135" t="n">
        <v>89</v>
      </c>
      <c r="O29" s="135" t="n">
        <v>183</v>
      </c>
      <c r="P29" s="135" t="n">
        <v>22</v>
      </c>
      <c r="Q29" s="135" t="n">
        <v>35</v>
      </c>
      <c r="R29" s="135" t="n">
        <v>1851</v>
      </c>
      <c r="S29" s="135" t="n">
        <v>696</v>
      </c>
      <c r="T29" s="135" t="n">
        <v>67</v>
      </c>
      <c r="U29" s="135" t="n">
        <v>413</v>
      </c>
      <c r="V29" s="135" t="n">
        <v>315</v>
      </c>
      <c r="W29" s="135" t="n">
        <v>170</v>
      </c>
      <c r="X29" s="135" t="n">
        <v>75</v>
      </c>
      <c r="Y29" s="135" t="n">
        <v>116</v>
      </c>
      <c r="Z29" s="135" t="n">
        <v>868</v>
      </c>
      <c r="AA29" s="135" t="n">
        <v>326</v>
      </c>
      <c r="AB29" s="135" t="n">
        <v>193</v>
      </c>
      <c r="AC29" s="135" t="n">
        <v>153</v>
      </c>
      <c r="AD29" s="135" t="n">
        <v>984</v>
      </c>
      <c r="AE29" s="135" t="n">
        <v>370</v>
      </c>
      <c r="AF29" s="135" t="n">
        <v>219</v>
      </c>
      <c r="AG29" s="135" t="n">
        <v>162</v>
      </c>
      <c r="AH29" s="136" t="n">
        <v>0.22</v>
      </c>
      <c r="AI29" s="137" t="n">
        <v>37.6</v>
      </c>
      <c r="AJ29" s="135" t="n">
        <v>361</v>
      </c>
      <c r="AK29" s="138" t="n">
        <v>19.5</v>
      </c>
    </row>
    <row r="30" ht="30" customHeight="1">
      <c r="A30" s="3" t="inlineStr">
        <is>
          <t>EST</t>
        </is>
      </c>
      <c r="B30" s="3" t="inlineStr">
        <is>
          <t>PILE</t>
        </is>
      </c>
      <c r="C30" s="3" t="inlineStr">
        <is>
          <t>Pile Est</t>
        </is>
      </c>
      <c r="D30" s="135" t="n">
        <v>133</v>
      </c>
      <c r="E30" s="135" t="n">
        <v>256</v>
      </c>
      <c r="F30" s="135" t="n">
        <v>115</v>
      </c>
      <c r="G30" s="135" t="n">
        <v>115</v>
      </c>
      <c r="H30" s="135" t="n">
        <v>254</v>
      </c>
      <c r="I30" s="135" t="n">
        <v>131</v>
      </c>
      <c r="J30" s="135" t="n">
        <v>1066</v>
      </c>
      <c r="K30" s="135" t="n">
        <v>103</v>
      </c>
      <c r="L30" s="135" t="n">
        <v>251</v>
      </c>
      <c r="M30" s="135" t="n">
        <v>115</v>
      </c>
      <c r="N30" s="135" t="n">
        <v>99</v>
      </c>
      <c r="O30" s="135" t="n">
        <v>87</v>
      </c>
      <c r="P30" s="135" t="n">
        <v>3</v>
      </c>
      <c r="Q30" s="135" t="n">
        <v>3</v>
      </c>
      <c r="R30" s="135" t="n">
        <v>1374</v>
      </c>
      <c r="S30" s="135" t="n">
        <v>677</v>
      </c>
      <c r="T30" s="135" t="n">
        <v>69</v>
      </c>
      <c r="U30" s="135" t="n">
        <v>236</v>
      </c>
      <c r="V30" s="135" t="n">
        <v>230</v>
      </c>
      <c r="W30" s="135" t="n">
        <v>68</v>
      </c>
      <c r="X30" s="135" t="n">
        <v>64</v>
      </c>
      <c r="Y30" s="135" t="n">
        <v>31</v>
      </c>
      <c r="Z30" s="135" t="n">
        <v>666</v>
      </c>
      <c r="AA30" s="135" t="n">
        <v>304</v>
      </c>
      <c r="AB30" s="135" t="n">
        <v>131</v>
      </c>
      <c r="AC30" s="135" t="n">
        <v>122</v>
      </c>
      <c r="AD30" s="135" t="n">
        <v>708</v>
      </c>
      <c r="AE30" s="135" t="n">
        <v>372</v>
      </c>
      <c r="AF30" s="135" t="n">
        <v>105</v>
      </c>
      <c r="AG30" s="135" t="n">
        <v>108</v>
      </c>
      <c r="AH30" s="136" t="n">
        <v>0.2</v>
      </c>
      <c r="AI30" s="137" t="n">
        <v>49.2</v>
      </c>
      <c r="AJ30" s="135" t="n">
        <v>162</v>
      </c>
      <c r="AK30" s="138" t="n">
        <v>11.8</v>
      </c>
    </row>
    <row r="31" ht="30" customHeight="1">
      <c r="A31" s="3" t="inlineStr">
        <is>
          <t>EST</t>
        </is>
      </c>
      <c r="B31" s="3" t="inlineStr">
        <is>
          <t>PILE</t>
        </is>
      </c>
      <c r="C31" s="3" t="inlineStr">
        <is>
          <t>Pile Centre</t>
        </is>
      </c>
      <c r="D31" s="135" t="n">
        <v>226</v>
      </c>
      <c r="E31" s="135" t="n">
        <v>296</v>
      </c>
      <c r="F31" s="135" t="n">
        <v>194</v>
      </c>
      <c r="G31" s="135" t="n">
        <v>137</v>
      </c>
      <c r="H31" s="135" t="n">
        <v>287</v>
      </c>
      <c r="I31" s="135" t="n">
        <v>186</v>
      </c>
      <c r="J31" s="135" t="n">
        <v>1138</v>
      </c>
      <c r="K31" s="135" t="n">
        <v>165</v>
      </c>
      <c r="L31" s="135" t="n">
        <v>288</v>
      </c>
      <c r="M31" s="135" t="n">
        <v>188</v>
      </c>
      <c r="N31" s="135" t="n">
        <v>118</v>
      </c>
      <c r="O31" s="135" t="n">
        <v>103</v>
      </c>
      <c r="P31" s="135" t="n">
        <v>18</v>
      </c>
      <c r="Q31" s="135" t="n">
        <v>6</v>
      </c>
      <c r="R31" s="135" t="n">
        <v>1504</v>
      </c>
      <c r="S31" s="135" t="n">
        <v>661</v>
      </c>
      <c r="T31" s="135" t="n">
        <v>89</v>
      </c>
      <c r="U31" s="135" t="n">
        <v>294</v>
      </c>
      <c r="V31" s="135" t="n">
        <v>228</v>
      </c>
      <c r="W31" s="135" t="n">
        <v>92</v>
      </c>
      <c r="X31" s="135" t="n">
        <v>71</v>
      </c>
      <c r="Y31" s="135" t="n">
        <v>69</v>
      </c>
      <c r="Z31" s="135" t="n">
        <v>729</v>
      </c>
      <c r="AA31" s="135" t="n">
        <v>282</v>
      </c>
      <c r="AB31" s="135" t="n">
        <v>153</v>
      </c>
      <c r="AC31" s="135" t="n">
        <v>144</v>
      </c>
      <c r="AD31" s="135" t="n">
        <v>775</v>
      </c>
      <c r="AE31" s="135" t="n">
        <v>379</v>
      </c>
      <c r="AF31" s="135" t="n">
        <v>141</v>
      </c>
      <c r="AG31" s="135" t="n">
        <v>84</v>
      </c>
      <c r="AH31" s="136" t="n">
        <v>0.17</v>
      </c>
      <c r="AI31" s="137" t="n">
        <v>43.9</v>
      </c>
      <c r="AJ31" s="135" t="n">
        <v>232</v>
      </c>
      <c r="AK31" s="138" t="n">
        <v>15.4</v>
      </c>
    </row>
    <row r="32" ht="30" customHeight="1">
      <c r="A32" s="3" t="inlineStr">
        <is>
          <t>EST</t>
        </is>
      </c>
      <c r="B32" s="3" t="inlineStr">
        <is>
          <t>PILE</t>
        </is>
      </c>
      <c r="C32" s="3" t="inlineStr">
        <is>
          <t>Pile Nord</t>
        </is>
      </c>
      <c r="D32" s="135" t="n">
        <v>150</v>
      </c>
      <c r="E32" s="135" t="n">
        <v>243</v>
      </c>
      <c r="F32" s="135" t="n">
        <v>156</v>
      </c>
      <c r="G32" s="135" t="n">
        <v>161</v>
      </c>
      <c r="H32" s="135" t="n">
        <v>257</v>
      </c>
      <c r="I32" s="135" t="n">
        <v>142</v>
      </c>
      <c r="J32" s="135" t="n">
        <v>1119</v>
      </c>
      <c r="K32" s="135" t="n">
        <v>117</v>
      </c>
      <c r="L32" s="135" t="n">
        <v>239</v>
      </c>
      <c r="M32" s="135" t="n">
        <v>156</v>
      </c>
      <c r="N32" s="135" t="n">
        <v>125</v>
      </c>
      <c r="O32" s="135" t="n">
        <v>125</v>
      </c>
      <c r="P32" s="135" t="n">
        <v>7</v>
      </c>
      <c r="Q32" s="135" t="n">
        <v>12</v>
      </c>
      <c r="R32" s="135" t="n">
        <v>1409</v>
      </c>
      <c r="S32" s="135" t="n">
        <v>696</v>
      </c>
      <c r="T32" s="135" t="n">
        <v>49</v>
      </c>
      <c r="U32" s="135" t="n">
        <v>280</v>
      </c>
      <c r="V32" s="135" t="n">
        <v>172</v>
      </c>
      <c r="W32" s="135" t="n">
        <v>90</v>
      </c>
      <c r="X32" s="135" t="n">
        <v>27</v>
      </c>
      <c r="Y32" s="135" t="n">
        <v>95</v>
      </c>
      <c r="Z32" s="135" t="n">
        <v>725</v>
      </c>
      <c r="AA32" s="135" t="n">
        <v>353</v>
      </c>
      <c r="AB32" s="135" t="n">
        <v>181</v>
      </c>
      <c r="AC32" s="135" t="n">
        <v>61</v>
      </c>
      <c r="AD32" s="135" t="n">
        <v>684</v>
      </c>
      <c r="AE32" s="135" t="n">
        <v>343</v>
      </c>
      <c r="AF32" s="135" t="n">
        <v>98</v>
      </c>
      <c r="AG32" s="135" t="n">
        <v>111</v>
      </c>
      <c r="AH32" s="136" t="n">
        <v>0.33</v>
      </c>
      <c r="AI32" s="137" t="n">
        <v>49.4</v>
      </c>
      <c r="AJ32" s="135" t="n">
        <v>212</v>
      </c>
      <c r="AK32" s="138" t="n">
        <v>15.1</v>
      </c>
    </row>
    <row r="33" ht="30" customHeight="1">
      <c r="A33" s="3" t="inlineStr">
        <is>
          <t>EST</t>
        </is>
      </c>
      <c r="B33" s="3" t="inlineStr">
        <is>
          <t>TROIS PONTS</t>
        </is>
      </c>
      <c r="C33" s="3" t="inlineStr">
        <is>
          <t>Trois Ponts Nord</t>
        </is>
      </c>
      <c r="D33" s="135" t="n">
        <v>32</v>
      </c>
      <c r="E33" s="135" t="n">
        <v>53</v>
      </c>
      <c r="F33" s="135" t="n">
        <v>35</v>
      </c>
      <c r="G33" s="135" t="n">
        <v>18</v>
      </c>
      <c r="H33" s="135" t="n">
        <v>39</v>
      </c>
      <c r="I33" s="135" t="n">
        <v>30</v>
      </c>
      <c r="J33" s="135" t="n">
        <v>331</v>
      </c>
      <c r="K33" s="135" t="n">
        <v>26</v>
      </c>
      <c r="L33" s="135" t="n">
        <v>53</v>
      </c>
      <c r="M33" s="135" t="n">
        <v>35</v>
      </c>
      <c r="N33" s="135" t="n">
        <v>17</v>
      </c>
      <c r="O33" s="135" t="n">
        <v>34</v>
      </c>
      <c r="P33" s="135" t="n">
        <v>0</v>
      </c>
      <c r="Q33" s="135" t="n">
        <v>4</v>
      </c>
      <c r="R33" s="135" t="n">
        <v>363</v>
      </c>
      <c r="S33" s="135" t="n">
        <v>156</v>
      </c>
      <c r="T33" s="135" t="n">
        <v>30</v>
      </c>
      <c r="U33" s="135" t="n">
        <v>91</v>
      </c>
      <c r="V33" s="135" t="n">
        <v>50</v>
      </c>
      <c r="W33" s="135" t="n">
        <v>11</v>
      </c>
      <c r="X33" s="135" t="n">
        <v>12</v>
      </c>
      <c r="Y33" s="135" t="n">
        <v>13</v>
      </c>
      <c r="Z33" s="135" t="n">
        <v>243</v>
      </c>
      <c r="AA33" s="135" t="n">
        <v>114</v>
      </c>
      <c r="AB33" s="135" t="n">
        <v>61</v>
      </c>
      <c r="AC33" s="135" t="n">
        <v>23</v>
      </c>
      <c r="AD33" s="135" t="n">
        <v>120</v>
      </c>
      <c r="AE33" s="135" t="n">
        <v>42</v>
      </c>
      <c r="AF33" s="135" t="n">
        <v>30</v>
      </c>
      <c r="AG33" s="135" t="n">
        <v>27</v>
      </c>
      <c r="AH33" s="136" t="n">
        <v>0.1</v>
      </c>
      <c r="AI33" s="137" t="n">
        <v>42.9</v>
      </c>
      <c r="AJ33" s="135" t="n">
        <v>37</v>
      </c>
      <c r="AK33" s="138" t="n">
        <v>10.1</v>
      </c>
    </row>
    <row r="34" ht="30" customHeight="1">
      <c r="A34" s="3" t="inlineStr">
        <is>
          <t>EST</t>
        </is>
      </c>
      <c r="B34" s="3" t="inlineStr">
        <is>
          <t>TROIS PONTS</t>
        </is>
      </c>
      <c r="C34" s="3" t="inlineStr">
        <is>
          <t>Trois Ponts Sud</t>
        </is>
      </c>
      <c r="D34" s="135" t="n">
        <v>211</v>
      </c>
      <c r="E34" s="135" t="n">
        <v>236</v>
      </c>
      <c r="F34" s="135" t="n">
        <v>195</v>
      </c>
      <c r="G34" s="135" t="n">
        <v>143</v>
      </c>
      <c r="H34" s="135" t="n">
        <v>226</v>
      </c>
      <c r="I34" s="135" t="n">
        <v>131</v>
      </c>
      <c r="J34" s="135" t="n">
        <v>1152</v>
      </c>
      <c r="K34" s="135" t="n">
        <v>170</v>
      </c>
      <c r="L34" s="135" t="n">
        <v>227</v>
      </c>
      <c r="M34" s="135" t="n">
        <v>189</v>
      </c>
      <c r="N34" s="135" t="n">
        <v>128</v>
      </c>
      <c r="O34" s="135" t="n">
        <v>121</v>
      </c>
      <c r="P34" s="135" t="n">
        <v>13</v>
      </c>
      <c r="Q34" s="135" t="n">
        <v>16</v>
      </c>
      <c r="R34" s="135" t="n">
        <v>1373</v>
      </c>
      <c r="S34" s="135" t="n">
        <v>562</v>
      </c>
      <c r="T34" s="135" t="n">
        <v>87</v>
      </c>
      <c r="U34" s="135" t="n">
        <v>227</v>
      </c>
      <c r="V34" s="135" t="n">
        <v>275</v>
      </c>
      <c r="W34" s="135" t="n">
        <v>95</v>
      </c>
      <c r="X34" s="135" t="n">
        <v>78</v>
      </c>
      <c r="Y34" s="135" t="n">
        <v>50</v>
      </c>
      <c r="Z34" s="135" t="n">
        <v>605</v>
      </c>
      <c r="AA34" s="135" t="n">
        <v>237</v>
      </c>
      <c r="AB34" s="135" t="n">
        <v>90</v>
      </c>
      <c r="AC34" s="135" t="n">
        <v>135</v>
      </c>
      <c r="AD34" s="135" t="n">
        <v>769</v>
      </c>
      <c r="AE34" s="135" t="n">
        <v>325</v>
      </c>
      <c r="AF34" s="135" t="n">
        <v>136</v>
      </c>
      <c r="AG34" s="135" t="n">
        <v>140</v>
      </c>
      <c r="AH34" s="136" t="n">
        <v>0.18</v>
      </c>
      <c r="AI34" s="137" t="n">
        <v>40.9</v>
      </c>
      <c r="AJ34" s="135" t="n">
        <v>223</v>
      </c>
      <c r="AK34" s="138" t="n">
        <v>16.2</v>
      </c>
    </row>
    <row r="35" ht="30" customHeight="1">
      <c r="A35" s="3" t="inlineStr">
        <is>
          <t>EST</t>
        </is>
      </c>
      <c r="B35" s="3" t="inlineStr">
        <is>
          <t>SARTEL CARIHEM</t>
        </is>
      </c>
      <c r="C35" s="3" t="inlineStr">
        <is>
          <t>Sartel</t>
        </is>
      </c>
      <c r="D35" s="135" t="n">
        <v>80</v>
      </c>
      <c r="E35" s="135" t="n">
        <v>118</v>
      </c>
      <c r="F35" s="135" t="n">
        <v>101</v>
      </c>
      <c r="G35" s="135" t="n">
        <v>61</v>
      </c>
      <c r="H35" s="135" t="n">
        <v>117</v>
      </c>
      <c r="I35" s="135" t="n">
        <v>83</v>
      </c>
      <c r="J35" s="135" t="n">
        <v>1102</v>
      </c>
      <c r="K35" s="135" t="n">
        <v>66</v>
      </c>
      <c r="L35" s="135" t="n">
        <v>118</v>
      </c>
      <c r="M35" s="135" t="n">
        <v>101</v>
      </c>
      <c r="N35" s="135" t="n">
        <v>58</v>
      </c>
      <c r="O35" s="135" t="n">
        <v>67</v>
      </c>
      <c r="P35" s="135" t="n">
        <v>4</v>
      </c>
      <c r="Q35" s="135" t="n">
        <v>7</v>
      </c>
      <c r="R35" s="135" t="n">
        <v>1227</v>
      </c>
      <c r="S35" s="135" t="n">
        <v>465</v>
      </c>
      <c r="T35" s="135" t="n">
        <v>67</v>
      </c>
      <c r="U35" s="135" t="n">
        <v>262</v>
      </c>
      <c r="V35" s="135" t="n">
        <v>204</v>
      </c>
      <c r="W35" s="135" t="n">
        <v>93</v>
      </c>
      <c r="X35" s="135" t="n">
        <v>33</v>
      </c>
      <c r="Y35" s="135" t="n">
        <v>102</v>
      </c>
      <c r="Z35" s="135" t="n">
        <v>611</v>
      </c>
      <c r="AA35" s="135" t="n">
        <v>211</v>
      </c>
      <c r="AB35" s="135" t="n">
        <v>196</v>
      </c>
      <c r="AC35" s="135" t="n">
        <v>88</v>
      </c>
      <c r="AD35" s="135" t="n">
        <v>616</v>
      </c>
      <c r="AE35" s="135" t="n">
        <v>254</v>
      </c>
      <c r="AF35" s="135" t="n">
        <v>66</v>
      </c>
      <c r="AG35" s="135" t="n">
        <v>117</v>
      </c>
      <c r="AH35" s="136" t="n">
        <v>1</v>
      </c>
      <c r="AI35" s="137" t="n">
        <v>37.9</v>
      </c>
      <c r="AJ35" s="135" t="n">
        <v>228</v>
      </c>
      <c r="AK35" s="138" t="n">
        <v>18.6</v>
      </c>
    </row>
    <row r="36" ht="30" customHeight="1">
      <c r="A36" s="3" t="inlineStr">
        <is>
          <t>SUD</t>
        </is>
      </c>
      <c r="B36" s="3" t="inlineStr">
        <is>
          <t>CHEMIN NEUF/LINNE</t>
        </is>
      </c>
      <c r="C36" s="3" t="inlineStr">
        <is>
          <t>Linné-Chemin Neuf</t>
        </is>
      </c>
      <c r="D36" s="135" t="n">
        <v>219</v>
      </c>
      <c r="E36" s="135" t="n">
        <v>245</v>
      </c>
      <c r="F36" s="135" t="n">
        <v>218</v>
      </c>
      <c r="G36" s="135" t="n">
        <v>193</v>
      </c>
      <c r="H36" s="135" t="n">
        <v>341</v>
      </c>
      <c r="I36" s="135" t="n">
        <v>217</v>
      </c>
      <c r="J36" s="135" t="n">
        <v>1968</v>
      </c>
      <c r="K36" s="135" t="n">
        <v>179</v>
      </c>
      <c r="L36" s="135" t="n">
        <v>241</v>
      </c>
      <c r="M36" s="135" t="n">
        <v>210</v>
      </c>
      <c r="N36" s="135" t="n">
        <v>190</v>
      </c>
      <c r="O36" s="135" t="n">
        <v>172</v>
      </c>
      <c r="P36" s="135" t="n">
        <v>10</v>
      </c>
      <c r="Q36" s="135" t="n">
        <v>47</v>
      </c>
      <c r="R36" s="135" t="n">
        <v>2302</v>
      </c>
      <c r="S36" s="135" t="n">
        <v>486</v>
      </c>
      <c r="T36" s="135" t="n">
        <v>105</v>
      </c>
      <c r="U36" s="135" t="n">
        <v>418</v>
      </c>
      <c r="V36" s="135" t="n">
        <v>479</v>
      </c>
      <c r="W36" s="135" t="n">
        <v>275</v>
      </c>
      <c r="X36" s="135" t="n">
        <v>303</v>
      </c>
      <c r="Y36" s="135" t="n">
        <v>235</v>
      </c>
      <c r="Z36" s="135" t="n">
        <v>1050</v>
      </c>
      <c r="AA36" s="135" t="n">
        <v>202</v>
      </c>
      <c r="AB36" s="135" t="n">
        <v>206</v>
      </c>
      <c r="AC36" s="135" t="n">
        <v>206</v>
      </c>
      <c r="AD36" s="135" t="n">
        <v>1252</v>
      </c>
      <c r="AE36" s="135" t="n">
        <v>284</v>
      </c>
      <c r="AF36" s="135" t="n">
        <v>211</v>
      </c>
      <c r="AG36" s="135" t="n">
        <v>273</v>
      </c>
      <c r="AH36" s="136" t="n">
        <v>0.46</v>
      </c>
      <c r="AI36" s="137" t="n">
        <v>21.1</v>
      </c>
      <c r="AJ36" s="135" t="n">
        <v>813</v>
      </c>
      <c r="AK36" s="138" t="n">
        <v>35.3</v>
      </c>
    </row>
    <row r="37" ht="30" customHeight="1">
      <c r="A37" s="3" t="inlineStr">
        <is>
          <t>SUD</t>
        </is>
      </c>
      <c r="B37" s="3" t="inlineStr">
        <is>
          <t>JUSTICE</t>
        </is>
      </c>
      <c r="C37" s="3" t="inlineStr">
        <is>
          <t>Justice</t>
        </is>
      </c>
      <c r="D37" s="135" t="n">
        <v>135</v>
      </c>
      <c r="E37" s="135" t="n">
        <v>198</v>
      </c>
      <c r="F37" s="135" t="n">
        <v>126</v>
      </c>
      <c r="G37" s="135" t="n">
        <v>107</v>
      </c>
      <c r="H37" s="135" t="n">
        <v>209</v>
      </c>
      <c r="I37" s="135" t="n">
        <v>128</v>
      </c>
      <c r="J37" s="135" t="n">
        <v>1420</v>
      </c>
      <c r="K37" s="135" t="n">
        <v>107</v>
      </c>
      <c r="L37" s="135" t="n">
        <v>198</v>
      </c>
      <c r="M37" s="135" t="n">
        <v>119</v>
      </c>
      <c r="N37" s="135" t="n">
        <v>107</v>
      </c>
      <c r="O37" s="135" t="n">
        <v>107</v>
      </c>
      <c r="P37" s="135" t="n">
        <v>6</v>
      </c>
      <c r="Q37" s="135" t="n">
        <v>10</v>
      </c>
      <c r="R37" s="135" t="n">
        <v>1634</v>
      </c>
      <c r="S37" s="135" t="n">
        <v>402</v>
      </c>
      <c r="T37" s="135" t="n">
        <v>108</v>
      </c>
      <c r="U37" s="135" t="n">
        <v>345</v>
      </c>
      <c r="V37" s="135" t="n">
        <v>287</v>
      </c>
      <c r="W37" s="135" t="n">
        <v>152</v>
      </c>
      <c r="X37" s="135" t="n">
        <v>155</v>
      </c>
      <c r="Y37" s="135" t="n">
        <v>183</v>
      </c>
      <c r="Z37" s="135" t="n">
        <v>793</v>
      </c>
      <c r="AA37" s="135" t="n">
        <v>168</v>
      </c>
      <c r="AB37" s="135" t="n">
        <v>179</v>
      </c>
      <c r="AC37" s="135" t="n">
        <v>139</v>
      </c>
      <c r="AD37" s="135" t="n">
        <v>841</v>
      </c>
      <c r="AE37" s="135" t="n">
        <v>235</v>
      </c>
      <c r="AF37" s="135" t="n">
        <v>166</v>
      </c>
      <c r="AG37" s="135" t="n">
        <v>148</v>
      </c>
      <c r="AH37" s="136" t="n">
        <v>0.52</v>
      </c>
      <c r="AI37" s="137" t="n">
        <v>24.6</v>
      </c>
      <c r="AJ37" s="135" t="n">
        <v>491</v>
      </c>
      <c r="AK37" s="138" t="n">
        <v>30.1</v>
      </c>
    </row>
    <row r="38" ht="30" customHeight="1">
      <c r="A38" s="3" t="inlineStr">
        <is>
          <t>EST</t>
        </is>
      </c>
      <c r="B38" s="3" t="inlineStr">
        <is>
          <t>FRATERNITE</t>
        </is>
      </c>
      <c r="C38" s="3" t="inlineStr">
        <is>
          <t>Fraternité</t>
        </is>
      </c>
      <c r="D38" s="135" t="n">
        <v>159</v>
      </c>
      <c r="E38" s="135" t="n">
        <v>276</v>
      </c>
      <c r="F38" s="135" t="n">
        <v>205</v>
      </c>
      <c r="G38" s="135" t="n">
        <v>115</v>
      </c>
      <c r="H38" s="135" t="n">
        <v>298</v>
      </c>
      <c r="I38" s="135" t="n">
        <v>210</v>
      </c>
      <c r="J38" s="135" t="n">
        <v>1349</v>
      </c>
      <c r="K38" s="135" t="n">
        <v>109</v>
      </c>
      <c r="L38" s="135" t="n">
        <v>272</v>
      </c>
      <c r="M38" s="135" t="n">
        <v>202</v>
      </c>
      <c r="N38" s="135" t="n">
        <v>104</v>
      </c>
      <c r="O38" s="135" t="n">
        <v>153</v>
      </c>
      <c r="P38" s="135" t="n">
        <v>17</v>
      </c>
      <c r="Q38" s="135" t="n">
        <v>18</v>
      </c>
      <c r="R38" s="135" t="n">
        <v>1680</v>
      </c>
      <c r="S38" s="135" t="n">
        <v>364</v>
      </c>
      <c r="T38" s="135" t="n">
        <v>80</v>
      </c>
      <c r="U38" s="135" t="n">
        <v>372</v>
      </c>
      <c r="V38" s="135" t="n">
        <v>317</v>
      </c>
      <c r="W38" s="135" t="n">
        <v>169</v>
      </c>
      <c r="X38" s="135" t="n">
        <v>166</v>
      </c>
      <c r="Y38" s="135" t="n">
        <v>211</v>
      </c>
      <c r="Z38" s="135" t="n">
        <v>835</v>
      </c>
      <c r="AA38" s="135" t="n">
        <v>150</v>
      </c>
      <c r="AB38" s="135" t="n">
        <v>251</v>
      </c>
      <c r="AC38" s="135" t="n">
        <v>141</v>
      </c>
      <c r="AD38" s="135" t="n">
        <v>844</v>
      </c>
      <c r="AE38" s="135" t="n">
        <v>213</v>
      </c>
      <c r="AF38" s="135" t="n">
        <v>121</v>
      </c>
      <c r="AG38" s="135" t="n">
        <v>176</v>
      </c>
      <c r="AH38" s="136" t="n">
        <v>0.41</v>
      </c>
      <c r="AI38" s="137" t="n">
        <v>21.7</v>
      </c>
      <c r="AJ38" s="135" t="n">
        <v>546</v>
      </c>
      <c r="AK38" s="138" t="n">
        <v>32.5</v>
      </c>
    </row>
    <row r="39" ht="30" customHeight="1">
      <c r="A39" s="3" t="inlineStr">
        <is>
          <t>SUD</t>
        </is>
      </c>
      <c r="B39" s="3" t="inlineStr">
        <is>
          <t>NOUVEAU ROUBAIX</t>
        </is>
      </c>
      <c r="C39" s="3" t="inlineStr">
        <is>
          <t>Nouveau Roubaix</t>
        </is>
      </c>
      <c r="D39" s="135" t="n">
        <v>197</v>
      </c>
      <c r="E39" s="135" t="n">
        <v>269</v>
      </c>
      <c r="F39" s="135" t="n">
        <v>191</v>
      </c>
      <c r="G39" s="135" t="n">
        <v>193</v>
      </c>
      <c r="H39" s="135" t="n">
        <v>232</v>
      </c>
      <c r="I39" s="135" t="n">
        <v>138</v>
      </c>
      <c r="J39" s="135" t="n">
        <v>1320</v>
      </c>
      <c r="K39" s="135" t="n">
        <v>156</v>
      </c>
      <c r="L39" s="135" t="n">
        <v>266</v>
      </c>
      <c r="M39" s="135" t="n">
        <v>187</v>
      </c>
      <c r="N39" s="135" t="n">
        <v>193</v>
      </c>
      <c r="O39" s="135" t="n">
        <v>105</v>
      </c>
      <c r="P39" s="135" t="n">
        <v>5</v>
      </c>
      <c r="Q39" s="135" t="n">
        <v>13</v>
      </c>
      <c r="R39" s="135" t="n">
        <v>1566</v>
      </c>
      <c r="S39" s="135" t="n">
        <v>517</v>
      </c>
      <c r="T39" s="135" t="n">
        <v>96</v>
      </c>
      <c r="U39" s="135" t="n">
        <v>337</v>
      </c>
      <c r="V39" s="135" t="n">
        <v>311</v>
      </c>
      <c r="W39" s="135" t="n">
        <v>138</v>
      </c>
      <c r="X39" s="135" t="n">
        <v>98</v>
      </c>
      <c r="Y39" s="135" t="n">
        <v>70</v>
      </c>
      <c r="Z39" s="135" t="n">
        <v>694</v>
      </c>
      <c r="AA39" s="135" t="n">
        <v>207</v>
      </c>
      <c r="AB39" s="135" t="n">
        <v>182</v>
      </c>
      <c r="AC39" s="135" t="n">
        <v>150</v>
      </c>
      <c r="AD39" s="135" t="n">
        <v>872</v>
      </c>
      <c r="AE39" s="135" t="n">
        <v>310</v>
      </c>
      <c r="AF39" s="135" t="n">
        <v>155</v>
      </c>
      <c r="AG39" s="135" t="n">
        <v>160</v>
      </c>
      <c r="AH39" s="136" t="n">
        <v>0.17</v>
      </c>
      <c r="AI39" s="137" t="n">
        <v>33</v>
      </c>
      <c r="AJ39" s="135" t="n">
        <v>306</v>
      </c>
      <c r="AK39" s="138" t="n">
        <v>19.5</v>
      </c>
    </row>
    <row r="40" ht="30" customHeight="1">
      <c r="A40" s="50" t="inlineStr">
        <is>
          <t>SUD</t>
        </is>
      </c>
      <c r="B40" s="50" t="inlineStr">
        <is>
          <t>HAUTS CHAMPS/PETITES HAIES</t>
        </is>
      </c>
      <c r="C40" s="50" t="inlineStr">
        <is>
          <t>Hauts Champs</t>
        </is>
      </c>
      <c r="D40" s="139" t="n">
        <v>156</v>
      </c>
      <c r="E40" s="139" t="n">
        <v>185</v>
      </c>
      <c r="F40" s="139" t="n">
        <v>125</v>
      </c>
      <c r="G40" s="139" t="n">
        <v>80</v>
      </c>
      <c r="H40" s="139" t="n">
        <v>289</v>
      </c>
      <c r="I40" s="139" t="n">
        <v>144</v>
      </c>
      <c r="J40" s="139" t="n">
        <v>1180</v>
      </c>
      <c r="K40" s="139" t="n">
        <v>116</v>
      </c>
      <c r="L40" s="139" t="n">
        <v>182</v>
      </c>
      <c r="M40" s="139" t="n">
        <v>125</v>
      </c>
      <c r="N40" s="139" t="n">
        <v>80</v>
      </c>
      <c r="O40" s="139" t="n">
        <v>102</v>
      </c>
      <c r="P40" s="139" t="n">
        <v>3</v>
      </c>
      <c r="Q40" s="139" t="n">
        <v>11</v>
      </c>
      <c r="R40" s="139" t="n">
        <v>1496</v>
      </c>
      <c r="S40" s="139" t="n">
        <v>547</v>
      </c>
      <c r="T40" s="139" t="n">
        <v>112</v>
      </c>
      <c r="U40" s="139" t="n">
        <v>385</v>
      </c>
      <c r="V40" s="139" t="n">
        <v>235</v>
      </c>
      <c r="W40" s="139" t="n">
        <v>111</v>
      </c>
      <c r="X40" s="139" t="n">
        <v>54</v>
      </c>
      <c r="Y40" s="139" t="n">
        <v>52</v>
      </c>
      <c r="Z40" s="139" t="n">
        <v>682</v>
      </c>
      <c r="AA40" s="139" t="n">
        <v>240</v>
      </c>
      <c r="AB40" s="139" t="n">
        <v>185</v>
      </c>
      <c r="AC40" s="139" t="n">
        <v>118</v>
      </c>
      <c r="AD40" s="139" t="n">
        <v>814</v>
      </c>
      <c r="AE40" s="139" t="n">
        <v>307</v>
      </c>
      <c r="AF40" s="139" t="n">
        <v>200</v>
      </c>
      <c r="AG40" s="139" t="n">
        <v>118</v>
      </c>
      <c r="AH40" s="140" t="n">
        <v>0.31</v>
      </c>
      <c r="AI40" s="141" t="n">
        <v>36.6</v>
      </c>
      <c r="AJ40" s="139" t="n">
        <v>217</v>
      </c>
      <c r="AK40" s="142" t="n">
        <v>14.5</v>
      </c>
    </row>
  </sheetData>
  <mergeCells count="1">
    <mergeCell ref="A1:C1"/>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U40"/>
  <sheetViews>
    <sheetView topLeftCell="A1" workbookViewId="0">
      <pane xSplit="3" ySplit="2" topLeftCell="D3" activePane="bottomRight" state="frozen"/>
      <selection pane="topRight"/>
      <selection pane="bottomLeft"/>
      <selection pane="bottomRight" activeCell="H1" sqref="H1"/>
      <selection pane="bottomLeft" activeCell="A3" sqref="A3"/>
      <selection pane="bottomRight" activeCell="A1" sqref="A1"/>
    </sheetView>
  </sheetViews>
  <sheetFormatPr baseColWidth="10" defaultColWidth="9.140625" defaultRowHeight="15"/>
  <cols>
    <col width="13" customWidth="1" min="1" max="1"/>
    <col width="31" customWidth="1" min="2" max="2"/>
    <col width="26" customWidth="1" min="3" max="3"/>
    <col width="14" customWidth="1" min="4" max="4"/>
    <col width="15" customWidth="1" min="5" max="5"/>
    <col width="16" customWidth="1" min="6" max="6"/>
    <col width="14" customWidth="1" min="7" max="7"/>
    <col width="14" customWidth="1" min="8" max="8"/>
    <col width="16" customWidth="1" min="9" max="9"/>
    <col width="14" customWidth="1" min="10" max="10"/>
    <col width="14" customWidth="1" min="11" max="11"/>
    <col width="14" customWidth="1" min="12" max="12"/>
    <col width="14" customWidth="1" min="13" max="13"/>
    <col width="14" customWidth="1" min="14" max="14"/>
    <col width="14" customWidth="1" min="15" max="17"/>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7"/>
    <col width="14" customWidth="1" min="26" max="26"/>
    <col width="14" customWidth="1" min="27" max="27"/>
    <col width="14" customWidth="1" min="28" max="28"/>
    <col width="14" customWidth="1" min="29" max="29"/>
    <col width="14" customWidth="1" min="30" max="30"/>
    <col width="14" customWidth="1" min="31" max="32"/>
    <col width="15" customWidth="1" min="32" max="32"/>
    <col width="14" customWidth="1" min="33" max="37"/>
    <col width="17" customWidth="1" min="34" max="34"/>
    <col width="14" customWidth="1" min="35" max="35"/>
    <col width="14" customWidth="1" min="36" max="36"/>
    <col width="14" customWidth="1" min="37" max="37"/>
    <col width="33" customWidth="1" min="38" max="39"/>
    <col width="26" customWidth="1" min="39" max="39"/>
    <col width="29" customWidth="1" min="40" max="44"/>
    <col width="33" customWidth="1" min="41" max="41"/>
    <col width="26" customWidth="1" min="42" max="42"/>
    <col width="14" customWidth="1" min="43" max="43"/>
    <col width="14" customWidth="1" min="44" max="44"/>
    <col width="14" customWidth="1" min="45" max="46"/>
    <col width="14" customWidth="1" min="46" max="46"/>
    <col width="17" customWidth="1" min="47" max="51"/>
    <col width="19" customWidth="1" min="48" max="48"/>
    <col width="19" customWidth="1" min="49" max="49"/>
    <col width="19" customWidth="1" min="50" max="50"/>
    <col width="18" customWidth="1" min="51" max="51"/>
    <col width="18" customWidth="1" min="52" max="52"/>
    <col width="14" customWidth="1" min="53" max="53"/>
    <col width="14" customWidth="1" min="54" max="55"/>
    <col width="14" customWidth="1" min="55" max="55"/>
    <col width="14" customWidth="1" min="56" max="56"/>
    <col width="14" customWidth="1" min="57" max="57"/>
    <col width="15" customWidth="1" min="58" max="58"/>
    <col width="14" customWidth="1" min="59" max="60"/>
    <col width="15" customWidth="1" min="60" max="60"/>
    <col width="14" customWidth="1" min="61" max="61"/>
    <col width="15" customWidth="1" min="62" max="62"/>
    <col width="20" customWidth="1" min="63" max="64"/>
    <col width="14" customWidth="1" min="64" max="64"/>
    <col width="20" customWidth="1" min="65" max="65"/>
    <col width="14" customWidth="1" min="66" max="66"/>
    <col width="14" customWidth="1" min="67" max="67"/>
    <col width="18" customWidth="1" min="68" max="68"/>
    <col width="19" customWidth="1" min="69" max="69"/>
    <col width="14" customWidth="1" min="70" max="70"/>
    <col width="15" customWidth="1" min="71" max="71"/>
    <col width="15" customWidth="1" min="72" max="72"/>
    <col width="16" customWidth="1" min="73" max="73"/>
    <col width="30.42578125" customWidth="1" min="74" max="74"/>
    <col width="35" customWidth="1" min="75" max="75"/>
    <col width="53.5703125" customWidth="1" min="76" max="76"/>
    <col width="50.85546875" customWidth="1" min="77" max="77"/>
    <col width="51" customWidth="1" min="78" max="78"/>
    <col width="44.5703125" customWidth="1" min="79" max="79"/>
    <col width="73.42578125" customWidth="1" min="80" max="84"/>
    <col width="29.42578125" customWidth="1" min="85" max="85"/>
    <col width="30.42578125" customWidth="1" min="86" max="86"/>
    <col width="22" customWidth="1" min="87" max="87"/>
    <col width="30.7109375" customWidth="1" min="88" max="88"/>
    <col width="47.42578125" customWidth="1" min="89" max="89"/>
    <col width="49" customWidth="1" min="90" max="90"/>
    <col width="50" customWidth="1" min="91" max="91"/>
    <col width="53.85546875" customWidth="1" min="92" max="92"/>
    <col width="47" customWidth="1" min="93" max="93"/>
    <col width="48" customWidth="1" min="94" max="94"/>
    <col width="18.7109375" customWidth="1" min="95" max="95"/>
    <col width="28.42578125" customWidth="1" min="96" max="96"/>
    <col width="29" customWidth="1" min="97" max="97"/>
    <col width="33" customWidth="1" min="98" max="98"/>
    <col width="30.5703125" customWidth="1" min="99" max="99"/>
    <col width="33.85546875" customWidth="1" min="100" max="100"/>
    <col width="33.28515625" customWidth="1" min="101" max="101"/>
    <col width="33.85546875" customWidth="1" min="102" max="102"/>
    <col width="34" customWidth="1" min="103" max="103"/>
    <col width="34.5703125" customWidth="1" min="104" max="104"/>
    <col width="53.28515625" customWidth="1" min="105" max="105"/>
    <col width="34.28515625" customWidth="1" min="106" max="106"/>
    <col width="54.28515625" customWidth="1" min="107" max="107"/>
    <col width="28.85546875" customWidth="1" min="108" max="108"/>
    <col width="25" customWidth="1" min="109" max="109"/>
    <col width="40.7109375" customWidth="1" min="110" max="110"/>
    <col width="42.140625" customWidth="1" min="111" max="111"/>
    <col width="27.5703125" customWidth="1" min="112" max="112"/>
    <col width="33.85546875" customWidth="1" min="113" max="113"/>
    <col width="33.5703125" customWidth="1" min="114" max="114"/>
    <col width="45.7109375" customWidth="1" min="115" max="115"/>
    <col width="15" customWidth="1" min="116" max="125"/>
  </cols>
  <sheetData>
    <row r="1" ht="21" customHeight="1">
      <c r="A1" s="124" t="inlineStr">
        <is>
          <t>Données infra-communales - Logement</t>
        </is>
      </c>
      <c r="B1" s="125" t="n"/>
      <c r="C1" s="126" t="n"/>
      <c r="D1" s="127">
        <f>SUBTOTAL(9,D3:D40)</f>
        <v/>
      </c>
      <c r="E1" s="127">
        <f>SUBTOTAL(9,E3:E40)</f>
        <v/>
      </c>
      <c r="F1" s="127">
        <f>SUBTOTAL(9,F3:F40)</f>
        <v/>
      </c>
      <c r="G1" s="127">
        <f>SUBTOTAL(9,G3:G40)</f>
        <v/>
      </c>
      <c r="H1" s="127">
        <f>SUBTOTAL(9,H3:H40)</f>
        <v/>
      </c>
      <c r="I1" s="127">
        <f>SUBTOTAL(9,I3:I40)</f>
        <v/>
      </c>
      <c r="J1" s="127">
        <f>SUBTOTAL(9,J3:J40)</f>
        <v/>
      </c>
      <c r="K1" s="127">
        <f>SUBTOTAL(9,K3:K40)</f>
        <v/>
      </c>
      <c r="L1" s="127">
        <f>SUBTOTAL(9,L3:L40)</f>
        <v/>
      </c>
      <c r="M1" s="127">
        <f>SUBTOTAL(9,M3:M40)</f>
        <v/>
      </c>
      <c r="N1" s="127">
        <f>SUBTOTAL(9,N3:N40)</f>
        <v/>
      </c>
      <c r="O1" s="127">
        <f>SUBTOTAL(9,O3:O40)</f>
        <v/>
      </c>
      <c r="P1" s="127">
        <f>SUBTOTAL(9,P3:P40)</f>
        <v/>
      </c>
      <c r="Q1" s="127">
        <f>SUBTOTAL(9,Q3:Q40)</f>
        <v/>
      </c>
      <c r="R1" s="127">
        <f>SUBTOTAL(9,R3:R40)</f>
        <v/>
      </c>
      <c r="S1" s="127">
        <f>SUBTOTAL(9,S3:S40)</f>
        <v/>
      </c>
      <c r="T1" s="127">
        <f>SUBTOTAL(9,T3:T40)</f>
        <v/>
      </c>
      <c r="U1" s="127">
        <f>SUBTOTAL(9,U3:U40)</f>
        <v/>
      </c>
      <c r="V1" s="127">
        <f>SUBTOTAL(9,V3:V40)</f>
        <v/>
      </c>
      <c r="W1" s="127">
        <f>SUBTOTAL(9,W3:W40)</f>
        <v/>
      </c>
      <c r="X1" s="127">
        <f>SUBTOTAL(9,X3:X40)</f>
        <v/>
      </c>
      <c r="Y1" s="127">
        <f>SUBTOTAL(9,Y3:Y40)</f>
        <v/>
      </c>
      <c r="Z1" s="127">
        <f>SUBTOTAL(9,Z3:Z40)</f>
        <v/>
      </c>
      <c r="AA1" s="127">
        <f>SUBTOTAL(9,AA3:AA40)</f>
        <v/>
      </c>
      <c r="AB1" s="127">
        <f>SUBTOTAL(9,AB3:AB40)</f>
        <v/>
      </c>
      <c r="AC1" s="127">
        <f>SUBTOTAL(9,AC3:AC40)</f>
        <v/>
      </c>
      <c r="AD1" s="127">
        <f>SUBTOTAL(9,AD3:AD40)</f>
        <v/>
      </c>
      <c r="AE1" s="127">
        <f>SUBTOTAL(9,AE3:AE40)</f>
        <v/>
      </c>
      <c r="AF1" s="127">
        <f>SUBTOTAL(9,AF3:AF40)</f>
        <v/>
      </c>
      <c r="AG1" s="127">
        <f>SUBTOTAL(9,AG3:AG40)</f>
        <v/>
      </c>
      <c r="AH1" s="127">
        <f>SUBTOTAL(9,AH3:AH40)</f>
        <v/>
      </c>
      <c r="AI1" s="127">
        <f>SUBTOTAL(9,AI3:AI40)</f>
        <v/>
      </c>
      <c r="AJ1" s="127">
        <f>SUBTOTAL(9,AJ3:AJ40)</f>
        <v/>
      </c>
      <c r="AK1" s="127">
        <f>SUBTOTAL(9,AK3:AK40)</f>
        <v/>
      </c>
      <c r="AL1" s="127">
        <f>SUBTOTAL(9,AL3:AL40)</f>
        <v/>
      </c>
      <c r="AM1" s="127">
        <f>SUBTOTAL(9,AM3:AM40)</f>
        <v/>
      </c>
      <c r="AN1" s="127">
        <f>SUBTOTAL(9,AN3:AN40)</f>
        <v/>
      </c>
      <c r="AO1" s="127">
        <f>SUBTOTAL(9,AO3:AO40)</f>
        <v/>
      </c>
      <c r="AP1" s="127">
        <f>SUBTOTAL(9,AP3:AP40)</f>
        <v/>
      </c>
      <c r="AQ1" s="127">
        <f>SUBTOTAL(9,AQ3:AQ40)</f>
        <v/>
      </c>
      <c r="AR1" s="127">
        <f>SUBTOTAL(9,AR3:AR40)</f>
        <v/>
      </c>
      <c r="AS1" s="127">
        <f>SUBTOTAL(9,AS3:AS40)</f>
        <v/>
      </c>
      <c r="AT1" s="127">
        <f>SUBTOTAL(9,AT3:AT40)</f>
        <v/>
      </c>
      <c r="AU1" s="127">
        <f>SUBTOTAL(9,AU3:AU40)</f>
        <v/>
      </c>
      <c r="AV1" s="127">
        <f>SUBTOTAL(9,AV3:AV40)</f>
        <v/>
      </c>
      <c r="AW1" s="127">
        <f>SUBTOTAL(9,AW3:AW40)</f>
        <v/>
      </c>
      <c r="AX1" s="127">
        <f>SUBTOTAL(9,AX3:AX40)</f>
        <v/>
      </c>
      <c r="AY1" s="127">
        <f>SUBTOTAL(9,AY3:AY40)</f>
        <v/>
      </c>
      <c r="AZ1" s="127">
        <f>SUBTOTAL(9,AZ3:AZ40)</f>
        <v/>
      </c>
      <c r="BA1" s="128">
        <f>SUBTOTAL(9,BA3:BA40)</f>
        <v/>
      </c>
      <c r="BB1" s="128">
        <f>SUBTOTAL(9,BB3:BB40)</f>
        <v/>
      </c>
      <c r="BC1" s="129" t="n"/>
      <c r="BD1" s="129" t="n"/>
      <c r="BE1" s="129" t="n"/>
      <c r="BF1" s="129" t="n"/>
      <c r="BG1" s="127">
        <f>SUBTOTAL(9,BG3:BG40)</f>
        <v/>
      </c>
      <c r="BH1" s="129" t="n"/>
      <c r="BI1" s="127">
        <f>SUBTOTAL(9,BI3:BI40)</f>
        <v/>
      </c>
      <c r="BJ1" s="129" t="n"/>
      <c r="BK1" s="129" t="n"/>
      <c r="BL1" s="127">
        <f>SUBTOTAL(9,BL3:BL40)</f>
        <v/>
      </c>
      <c r="BM1" s="129" t="n"/>
      <c r="BN1" s="129" t="n"/>
      <c r="BO1" s="127">
        <f>SUBTOTAL(9,BO3:BO40)</f>
        <v/>
      </c>
      <c r="BP1" s="129" t="n"/>
      <c r="BQ1" s="129" t="n"/>
      <c r="BR1" s="129" t="n"/>
      <c r="BS1" s="129" t="n"/>
      <c r="BT1" s="129" t="n"/>
      <c r="BU1" s="129" t="n"/>
    </row>
    <row r="2" ht="70" customHeight="1">
      <c r="A2" s="45" t="inlineStr">
        <is>
          <t>Mairies de quartiers</t>
        </is>
      </c>
      <c r="B2" s="45" t="inlineStr">
        <is>
          <t>Grands quartiers</t>
        </is>
      </c>
      <c r="C2" s="45" t="inlineStr">
        <is>
          <t>Libellé de l'Iris</t>
        </is>
      </c>
      <c r="D2" s="46" t="inlineStr">
        <is>
          <t>Logements</t>
        </is>
      </c>
      <c r="E2" s="46" t="inlineStr">
        <is>
          <t>Résidences principales</t>
        </is>
      </c>
      <c r="F2" s="46" t="inlineStr">
        <is>
          <t>Rés secondaires et logts occasionnels</t>
        </is>
      </c>
      <c r="G2" s="46" t="inlineStr">
        <is>
          <t>Logements vacants</t>
        </is>
      </c>
      <c r="H2" s="46" t="inlineStr">
        <is>
          <t>Maisons</t>
        </is>
      </c>
      <c r="I2" s="46" t="inlineStr">
        <is>
          <t>Appartements</t>
        </is>
      </c>
      <c r="J2" s="46" t="inlineStr">
        <is>
          <t>Rés princ 1 pièce</t>
        </is>
      </c>
      <c r="K2" s="46" t="inlineStr">
        <is>
          <t>Rés princ 2 pièces</t>
        </is>
      </c>
      <c r="L2" s="46" t="inlineStr">
        <is>
          <t>Rés princ 3 pièces</t>
        </is>
      </c>
      <c r="M2" s="46" t="inlineStr">
        <is>
          <t>Rés princ 4 pièces</t>
        </is>
      </c>
      <c r="N2" s="46" t="inlineStr">
        <is>
          <t>Rés princ 5 pièces ou plus</t>
        </is>
      </c>
      <c r="O2" s="46" t="inlineStr">
        <is>
          <t>Rés princ de moins de 30 m2</t>
        </is>
      </c>
      <c r="P2" s="46" t="inlineStr">
        <is>
          <t>Rés princ de 30 à moins de 40 m2</t>
        </is>
      </c>
      <c r="Q2" s="46" t="inlineStr">
        <is>
          <t>Rés princ de 40 à moins de 60 m2</t>
        </is>
      </c>
      <c r="R2" s="46" t="inlineStr">
        <is>
          <t>Rés princ de 60 à moins de 80 m2</t>
        </is>
      </c>
      <c r="S2" s="46" t="inlineStr">
        <is>
          <t>Rés princ de 80 à moins de 100 m2</t>
        </is>
      </c>
      <c r="T2" s="46" t="inlineStr">
        <is>
          <t>Rés princ de 100 à moins de 120 m2</t>
        </is>
      </c>
      <c r="U2" s="46" t="inlineStr">
        <is>
          <t>Rés princ de 120 m2 ou plus</t>
        </is>
      </c>
      <c r="V2" s="46" t="inlineStr">
        <is>
          <t>Rés princ avt 1919</t>
        </is>
      </c>
      <c r="W2" s="46" t="inlineStr">
        <is>
          <t>Rés princ 1919 à 1945</t>
        </is>
      </c>
      <c r="X2" s="46" t="inlineStr">
        <is>
          <t>Rés princ 1946 à 1970</t>
        </is>
      </c>
      <c r="Y2" s="46" t="inlineStr">
        <is>
          <t>Rés princ 1971 à 1990</t>
        </is>
      </c>
      <c r="Z2" s="46" t="inlineStr">
        <is>
          <t>Rés princ 1991 à 2005</t>
        </is>
      </c>
      <c r="AA2" s="46" t="inlineStr">
        <is>
          <t>Rés princ 2006 à 2019</t>
        </is>
      </c>
      <c r="AB2" s="46" t="inlineStr">
        <is>
          <t>Ménages</t>
        </is>
      </c>
      <c r="AC2" s="46" t="inlineStr">
        <is>
          <t>Ménages emménagés moins 2 ans</t>
        </is>
      </c>
      <c r="AD2" s="46" t="inlineStr">
        <is>
          <t>Ménages emménagés entre 2-4 ans</t>
        </is>
      </c>
      <c r="AE2" s="46" t="inlineStr">
        <is>
          <t>Ménages emménagés entre 5-9 ans</t>
        </is>
      </c>
      <c r="AF2" s="46" t="inlineStr">
        <is>
          <t>Ménages emménagés depuis 10 ans ou plus</t>
        </is>
      </c>
      <c r="AG2" s="46" t="inlineStr">
        <is>
          <t>Pop Ménages</t>
        </is>
      </c>
      <c r="AH2" s="46" t="inlineStr">
        <is>
          <t>Rés princ occupées Propriétaires</t>
        </is>
      </c>
      <c r="AI2" s="46" t="inlineStr">
        <is>
          <t>Rés princ occupées Locataires</t>
        </is>
      </c>
      <c r="AJ2" s="46" t="inlineStr">
        <is>
          <t>Rés princ HLM louée vide</t>
        </is>
      </c>
      <c r="AK2" s="46" t="inlineStr">
        <is>
          <t>Rés princ logé gratuit</t>
        </is>
      </c>
      <c r="AL2" s="46" t="inlineStr">
        <is>
          <t>nombre de résidences principales avec combustible principal de chauffage gaz de ville - réseau de chaleur</t>
        </is>
      </c>
      <c r="AM2" s="46" t="inlineStr">
        <is>
          <t>nombre de résidences principales avec combustible principal de chauffage fioul</t>
        </is>
      </c>
      <c r="AN2" s="46" t="inlineStr">
        <is>
          <t>nombre de résidences principales avec combustible principal de chauffage électricité</t>
        </is>
      </c>
      <c r="AO2" s="46" t="inlineStr">
        <is>
          <t>nombre de résidences principales avec combustible principal de chauffage gaz en bouteilles ou citerne</t>
        </is>
      </c>
      <c r="AP2" s="46" t="inlineStr">
        <is>
          <t>nombre de résidences principales avec combustible principal de chauffage autres</t>
        </is>
      </c>
      <c r="AQ2" s="46" t="inlineStr">
        <is>
          <t>Ménages au moins un parking</t>
        </is>
      </c>
      <c r="AR2" s="46" t="inlineStr">
        <is>
          <t>Ménages au moins une voiture</t>
        </is>
      </c>
      <c r="AS2" s="46" t="inlineStr">
        <is>
          <t>Ménages une voiture</t>
        </is>
      </c>
      <c r="AT2" s="46" t="inlineStr">
        <is>
          <t>Ménages deux voitures ou plus</t>
        </is>
      </c>
      <c r="AU2" s="46" t="inlineStr">
        <is>
          <t>résidences principales en occupation dans la norm</t>
        </is>
      </c>
      <c r="AV2" s="46" t="inlineStr">
        <is>
          <t>résidences principales en sous-occupation modérée</t>
        </is>
      </c>
      <c r="AW2" s="46" t="inlineStr">
        <is>
          <t>résidences principales en sous-occupation accentuée</t>
        </is>
      </c>
      <c r="AX2" s="46" t="inlineStr">
        <is>
          <t>résidences principales en sous-occupation très accentuée</t>
        </is>
      </c>
      <c r="AY2" s="46" t="inlineStr">
        <is>
          <t>résidences principales en suroccupation modérée</t>
        </is>
      </c>
      <c r="AZ2" s="46" t="inlineStr">
        <is>
          <t>résidences principales en suroccupation accentuée</t>
        </is>
      </c>
      <c r="BA2" s="47" t="inlineStr">
        <is>
          <t>Superficie en km²</t>
        </is>
      </c>
      <c r="BB2" s="47" t="inlineStr">
        <is>
          <t>Superficie en hectares (LOG)</t>
        </is>
      </c>
      <c r="BC2" s="130" t="inlineStr">
        <is>
          <t>Densité de logements au km²</t>
        </is>
      </c>
      <c r="BD2" s="130" t="inlineStr">
        <is>
          <t>Densité de logements par hectare</t>
        </is>
      </c>
      <c r="BE2" s="130" t="inlineStr">
        <is>
          <t>Part des logements vacants (%)</t>
        </is>
      </c>
      <c r="BF2" s="130" t="inlineStr">
        <is>
          <t>Part des logements individuels (%)</t>
        </is>
      </c>
      <c r="BG2" s="47" t="inlineStr">
        <is>
          <t>Nombre de RP de petite typologie</t>
        </is>
      </c>
      <c r="BH2" s="130" t="inlineStr">
        <is>
          <t>Part des RP de petite typologie (%)</t>
        </is>
      </c>
      <c r="BI2" s="47" t="inlineStr">
        <is>
          <t>Nombre de RP de grande typologie</t>
        </is>
      </c>
      <c r="BJ2" s="130" t="inlineStr">
        <is>
          <t>Part des RP de grande typologie (%)</t>
        </is>
      </c>
      <c r="BK2" s="130" t="inlineStr">
        <is>
          <t>Part des ménages emménagés depuis moins de 2 ans (%)</t>
        </is>
      </c>
      <c r="BL2" s="47" t="inlineStr">
        <is>
          <t>Ménages emménagés moins 10 ans</t>
        </is>
      </c>
      <c r="BM2" s="130" t="inlineStr">
        <is>
          <t>Part des ménages emménagés depuis moins de 10 ans (%)</t>
        </is>
      </c>
      <c r="BN2" s="130" t="inlineStr">
        <is>
          <t>Taille moyenne des ménages</t>
        </is>
      </c>
      <c r="BO2" s="47" t="inlineStr">
        <is>
          <t>Nombre de RP parc privé</t>
        </is>
      </c>
      <c r="BP2" s="130" t="inlineStr">
        <is>
          <t>Part propriétaire dans les RP parc privé (%)</t>
        </is>
      </c>
      <c r="BQ2" s="130" t="inlineStr">
        <is>
          <t>Part propriétaire dans le parc de RP total (%)</t>
        </is>
      </c>
      <c r="BR2" s="130" t="inlineStr">
        <is>
          <t>Part HLM dans RP totale (%)</t>
        </is>
      </c>
      <c r="BS2" s="130" t="inlineStr">
        <is>
          <t>Part HLM dans les RP locataires (%)</t>
        </is>
      </c>
      <c r="BT2" s="130" t="inlineStr">
        <is>
          <t>Part des ménages avec parking (%)</t>
        </is>
      </c>
      <c r="BU2" s="131" t="inlineStr">
        <is>
          <t>Part des ménages avec au moins une voiture (%)</t>
        </is>
      </c>
    </row>
    <row r="3" ht="30" customHeight="1">
      <c r="A3" s="3" t="inlineStr">
        <is>
          <t>OUEST</t>
        </is>
      </c>
      <c r="B3" s="3" t="inlineStr">
        <is>
          <t>FRESNOY MACKELLERIE</t>
        </is>
      </c>
      <c r="C3" s="3" t="inlineStr">
        <is>
          <t>Mackellerie</t>
        </is>
      </c>
      <c r="D3" s="135" t="n">
        <v>1021</v>
      </c>
      <c r="E3" s="135" t="n">
        <v>924</v>
      </c>
      <c r="F3" s="135" t="n">
        <v>4</v>
      </c>
      <c r="G3" s="135" t="n">
        <v>92</v>
      </c>
      <c r="H3" s="135" t="n">
        <v>579</v>
      </c>
      <c r="I3" s="135" t="n">
        <v>438</v>
      </c>
      <c r="J3" s="135" t="n">
        <v>37</v>
      </c>
      <c r="K3" s="135" t="n">
        <v>151</v>
      </c>
      <c r="L3" s="135" t="n">
        <v>229</v>
      </c>
      <c r="M3" s="135" t="n">
        <v>209</v>
      </c>
      <c r="N3" s="135" t="n">
        <v>299</v>
      </c>
      <c r="O3" s="135" t="n">
        <v>22</v>
      </c>
      <c r="P3" s="135" t="n">
        <v>111</v>
      </c>
      <c r="Q3" s="135" t="n">
        <v>198</v>
      </c>
      <c r="R3" s="135" t="n">
        <v>225</v>
      </c>
      <c r="S3" s="135" t="n">
        <v>212</v>
      </c>
      <c r="T3" s="135" t="n">
        <v>91</v>
      </c>
      <c r="U3" s="135" t="n">
        <v>65</v>
      </c>
      <c r="V3" s="135" t="n">
        <v>70</v>
      </c>
      <c r="W3" s="135" t="n">
        <v>453</v>
      </c>
      <c r="X3" s="135" t="n">
        <v>273</v>
      </c>
      <c r="Y3" s="135" t="n">
        <v>93</v>
      </c>
      <c r="Z3" s="135" t="n">
        <v>15</v>
      </c>
      <c r="AA3" s="135" t="n">
        <v>18</v>
      </c>
      <c r="AB3" s="135" t="n">
        <v>924</v>
      </c>
      <c r="AC3" s="135" t="n">
        <v>108</v>
      </c>
      <c r="AD3" s="135" t="n">
        <v>258</v>
      </c>
      <c r="AE3" s="135" t="n">
        <v>150</v>
      </c>
      <c r="AF3" s="135" t="n">
        <v>407</v>
      </c>
      <c r="AG3" s="135" t="n">
        <v>2460</v>
      </c>
      <c r="AH3" s="135" t="n">
        <v>324</v>
      </c>
      <c r="AI3" s="135" t="n">
        <v>592</v>
      </c>
      <c r="AJ3" s="135" t="n">
        <v>272</v>
      </c>
      <c r="AK3" s="135" t="n">
        <v>9</v>
      </c>
      <c r="AL3" s="135" t="n">
        <v>599</v>
      </c>
      <c r="AM3" s="135" t="n">
        <v>16</v>
      </c>
      <c r="AN3" s="135" t="n">
        <v>285</v>
      </c>
      <c r="AO3" s="135" t="n">
        <v>0</v>
      </c>
      <c r="AP3" s="135" t="n">
        <v>23</v>
      </c>
      <c r="AQ3" s="135" t="n">
        <v>120</v>
      </c>
      <c r="AR3" s="135" t="n">
        <v>561</v>
      </c>
      <c r="AS3" s="135" t="n">
        <v>453</v>
      </c>
      <c r="AT3" s="135" t="n">
        <v>109</v>
      </c>
      <c r="AU3" s="135" t="n">
        <v>321</v>
      </c>
      <c r="AV3" s="135" t="n">
        <v>269</v>
      </c>
      <c r="AW3" s="135" t="n">
        <v>136</v>
      </c>
      <c r="AX3" s="135" t="n">
        <v>120</v>
      </c>
      <c r="AY3" s="135" t="n">
        <v>124</v>
      </c>
      <c r="AZ3" s="135" t="n">
        <v>12</v>
      </c>
      <c r="BA3" s="136" t="n">
        <v>0.32</v>
      </c>
      <c r="BB3" s="136" t="n">
        <v>31.63</v>
      </c>
      <c r="BC3" s="136" t="n">
        <v>3226.33</v>
      </c>
      <c r="BD3" s="136" t="n">
        <v>32.26</v>
      </c>
      <c r="BE3" s="137" t="n">
        <v>9</v>
      </c>
      <c r="BF3" s="137" t="n">
        <v>56.8</v>
      </c>
      <c r="BG3" s="135" t="n">
        <v>188</v>
      </c>
      <c r="BH3" s="137" t="n">
        <v>20.3</v>
      </c>
      <c r="BI3" s="135" t="n">
        <v>737</v>
      </c>
      <c r="BJ3" s="137" t="n">
        <v>79.7</v>
      </c>
      <c r="BK3" s="137" t="n">
        <v>11.7</v>
      </c>
      <c r="BL3" s="135" t="n">
        <v>517</v>
      </c>
      <c r="BM3" s="137" t="n">
        <v>55.9</v>
      </c>
      <c r="BN3" s="136" t="n">
        <v>2.66</v>
      </c>
      <c r="BO3" s="135" t="n">
        <v>652</v>
      </c>
      <c r="BP3" s="137" t="n">
        <v>49.6</v>
      </c>
      <c r="BQ3" s="137" t="n">
        <v>35</v>
      </c>
      <c r="BR3" s="137" t="n">
        <v>29.4</v>
      </c>
      <c r="BS3" s="137" t="n">
        <v>45.9</v>
      </c>
      <c r="BT3" s="137" t="n">
        <v>13</v>
      </c>
      <c r="BU3" s="138" t="n">
        <v>60.8</v>
      </c>
    </row>
    <row r="4" ht="30" customHeight="1">
      <c r="A4" s="3" t="inlineStr">
        <is>
          <t>OUEST</t>
        </is>
      </c>
      <c r="B4" s="3" t="inlineStr">
        <is>
          <t>ARMENTIERES</t>
        </is>
      </c>
      <c r="C4" s="3" t="inlineStr">
        <is>
          <t>Fresnoy</t>
        </is>
      </c>
      <c r="D4" s="135" t="n">
        <v>2097</v>
      </c>
      <c r="E4" s="135" t="n">
        <v>1906</v>
      </c>
      <c r="F4" s="135" t="n">
        <v>48</v>
      </c>
      <c r="G4" s="135" t="n">
        <v>143</v>
      </c>
      <c r="H4" s="135" t="n">
        <v>775</v>
      </c>
      <c r="I4" s="135" t="n">
        <v>1269</v>
      </c>
      <c r="J4" s="135" t="n">
        <v>350</v>
      </c>
      <c r="K4" s="135" t="n">
        <v>412</v>
      </c>
      <c r="L4" s="135" t="n">
        <v>308</v>
      </c>
      <c r="M4" s="135" t="n">
        <v>284</v>
      </c>
      <c r="N4" s="135" t="n">
        <v>552</v>
      </c>
      <c r="O4" s="135" t="n">
        <v>417</v>
      </c>
      <c r="P4" s="135" t="n">
        <v>197</v>
      </c>
      <c r="Q4" s="135" t="n">
        <v>297</v>
      </c>
      <c r="R4" s="135" t="n">
        <v>339</v>
      </c>
      <c r="S4" s="135" t="n">
        <v>343</v>
      </c>
      <c r="T4" s="135" t="n">
        <v>143</v>
      </c>
      <c r="U4" s="135" t="n">
        <v>170</v>
      </c>
      <c r="V4" s="135" t="n">
        <v>171</v>
      </c>
      <c r="W4" s="135" t="n">
        <v>580</v>
      </c>
      <c r="X4" s="135" t="n">
        <v>151</v>
      </c>
      <c r="Y4" s="135" t="n">
        <v>135</v>
      </c>
      <c r="Z4" s="135" t="n">
        <v>306</v>
      </c>
      <c r="AA4" s="135" t="n">
        <v>516</v>
      </c>
      <c r="AB4" s="135" t="n">
        <v>1906</v>
      </c>
      <c r="AC4" s="135" t="n">
        <v>366</v>
      </c>
      <c r="AD4" s="135" t="n">
        <v>594</v>
      </c>
      <c r="AE4" s="135" t="n">
        <v>293</v>
      </c>
      <c r="AF4" s="135" t="n">
        <v>653</v>
      </c>
      <c r="AG4" s="135" t="n">
        <v>4279</v>
      </c>
      <c r="AH4" s="135" t="n">
        <v>551</v>
      </c>
      <c r="AI4" s="135" t="n">
        <v>1329</v>
      </c>
      <c r="AJ4" s="135" t="n">
        <v>380</v>
      </c>
      <c r="AK4" s="135" t="n">
        <v>26</v>
      </c>
      <c r="AL4" s="135" t="n">
        <v>984</v>
      </c>
      <c r="AM4" s="135" t="n">
        <v>24</v>
      </c>
      <c r="AN4" s="135" t="n">
        <v>867</v>
      </c>
      <c r="AO4" s="135" t="n">
        <v>3</v>
      </c>
      <c r="AP4" s="135" t="n">
        <v>29</v>
      </c>
      <c r="AQ4" s="135" t="n">
        <v>551</v>
      </c>
      <c r="AR4" s="135" t="n">
        <v>1132</v>
      </c>
      <c r="AS4" s="135" t="n">
        <v>806</v>
      </c>
      <c r="AT4" s="135" t="n">
        <v>327</v>
      </c>
      <c r="AU4" s="135" t="n">
        <v>666</v>
      </c>
      <c r="AV4" s="135" t="n">
        <v>335</v>
      </c>
      <c r="AW4" s="135" t="n">
        <v>208</v>
      </c>
      <c r="AX4" s="135" t="n">
        <v>300</v>
      </c>
      <c r="AY4" s="135" t="n">
        <v>521</v>
      </c>
      <c r="AZ4" s="135" t="n">
        <v>38</v>
      </c>
      <c r="BA4" s="136" t="n">
        <v>0.53</v>
      </c>
      <c r="BB4" s="136" t="n">
        <v>52.75</v>
      </c>
      <c r="BC4" s="136" t="n">
        <v>3975.55</v>
      </c>
      <c r="BD4" s="136" t="n">
        <v>39.75</v>
      </c>
      <c r="BE4" s="137" t="n">
        <v>6.8</v>
      </c>
      <c r="BF4" s="137" t="n">
        <v>37</v>
      </c>
      <c r="BG4" s="135" t="n">
        <v>762</v>
      </c>
      <c r="BH4" s="137" t="n">
        <v>40</v>
      </c>
      <c r="BI4" s="135" t="n">
        <v>1144</v>
      </c>
      <c r="BJ4" s="137" t="n">
        <v>60</v>
      </c>
      <c r="BK4" s="137" t="n">
        <v>19.2</v>
      </c>
      <c r="BL4" s="135" t="n">
        <v>1253</v>
      </c>
      <c r="BM4" s="137" t="n">
        <v>65.7</v>
      </c>
      <c r="BN4" s="136" t="n">
        <v>2.25</v>
      </c>
      <c r="BO4" s="135" t="n">
        <v>1526</v>
      </c>
      <c r="BP4" s="137" t="n">
        <v>36.1</v>
      </c>
      <c r="BQ4" s="137" t="n">
        <v>28.9</v>
      </c>
      <c r="BR4" s="137" t="n">
        <v>19.9</v>
      </c>
      <c r="BS4" s="137" t="n">
        <v>28.6</v>
      </c>
      <c r="BT4" s="137" t="n">
        <v>28.9</v>
      </c>
      <c r="BU4" s="138" t="n">
        <v>59.4</v>
      </c>
    </row>
    <row r="5" ht="30" customHeight="1">
      <c r="A5" s="3" t="inlineStr">
        <is>
          <t>NORD</t>
        </is>
      </c>
      <c r="B5" s="3" t="inlineStr">
        <is>
          <t>FOSSE AUX CHENES</t>
        </is>
      </c>
      <c r="C5" s="3" t="inlineStr">
        <is>
          <t>Fosse aux Chênes</t>
        </is>
      </c>
      <c r="D5" s="135" t="n">
        <v>1272</v>
      </c>
      <c r="E5" s="135" t="n">
        <v>1129</v>
      </c>
      <c r="F5" s="135" t="n">
        <v>3</v>
      </c>
      <c r="G5" s="135" t="n">
        <v>140</v>
      </c>
      <c r="H5" s="135" t="n">
        <v>259</v>
      </c>
      <c r="I5" s="135" t="n">
        <v>1007</v>
      </c>
      <c r="J5" s="135" t="n">
        <v>161</v>
      </c>
      <c r="K5" s="135" t="n">
        <v>292</v>
      </c>
      <c r="L5" s="135" t="n">
        <v>312</v>
      </c>
      <c r="M5" s="135" t="n">
        <v>131</v>
      </c>
      <c r="N5" s="135" t="n">
        <v>232</v>
      </c>
      <c r="O5" s="135" t="n">
        <v>47</v>
      </c>
      <c r="P5" s="135" t="n">
        <v>261</v>
      </c>
      <c r="Q5" s="135" t="n">
        <v>344</v>
      </c>
      <c r="R5" s="135" t="n">
        <v>225</v>
      </c>
      <c r="S5" s="135" t="n">
        <v>154</v>
      </c>
      <c r="T5" s="135" t="n">
        <v>68</v>
      </c>
      <c r="U5" s="135" t="n">
        <v>29</v>
      </c>
      <c r="V5" s="135" t="n">
        <v>30</v>
      </c>
      <c r="W5" s="135" t="n">
        <v>295</v>
      </c>
      <c r="X5" s="135" t="n">
        <v>194</v>
      </c>
      <c r="Y5" s="135" t="n">
        <v>338</v>
      </c>
      <c r="Z5" s="135" t="n">
        <v>241</v>
      </c>
      <c r="AA5" s="135" t="n">
        <v>26</v>
      </c>
      <c r="AB5" s="135" t="n">
        <v>1129</v>
      </c>
      <c r="AC5" s="135" t="n">
        <v>138</v>
      </c>
      <c r="AD5" s="135" t="n">
        <v>270</v>
      </c>
      <c r="AE5" s="135" t="n">
        <v>266</v>
      </c>
      <c r="AF5" s="135" t="n">
        <v>454</v>
      </c>
      <c r="AG5" s="135" t="n">
        <v>2703</v>
      </c>
      <c r="AH5" s="135" t="n">
        <v>166</v>
      </c>
      <c r="AI5" s="135" t="n">
        <v>953</v>
      </c>
      <c r="AJ5" s="135" t="n">
        <v>631</v>
      </c>
      <c r="AK5" s="135" t="n">
        <v>10</v>
      </c>
      <c r="AL5" s="135" t="n">
        <v>632</v>
      </c>
      <c r="AM5" s="135" t="n">
        <v>21</v>
      </c>
      <c r="AN5" s="135" t="n">
        <v>451</v>
      </c>
      <c r="AO5" s="135" t="n">
        <v>3</v>
      </c>
      <c r="AP5" s="135" t="n">
        <v>21</v>
      </c>
      <c r="AQ5" s="135" t="n">
        <v>250</v>
      </c>
      <c r="AR5" s="135" t="n">
        <v>560</v>
      </c>
      <c r="AS5" s="135" t="n">
        <v>465</v>
      </c>
      <c r="AT5" s="135" t="n">
        <v>95</v>
      </c>
      <c r="AU5" s="135" t="n">
        <v>353</v>
      </c>
      <c r="AV5" s="135" t="n">
        <v>236</v>
      </c>
      <c r="AW5" s="135" t="n">
        <v>77</v>
      </c>
      <c r="AX5" s="135" t="n">
        <v>79</v>
      </c>
      <c r="AY5" s="135" t="n">
        <v>196</v>
      </c>
      <c r="AZ5" s="135" t="n">
        <v>45</v>
      </c>
      <c r="BA5" s="136" t="n">
        <v>0.41</v>
      </c>
      <c r="BB5" s="136" t="n">
        <v>40.66</v>
      </c>
      <c r="BC5" s="136" t="n">
        <v>3128.12</v>
      </c>
      <c r="BD5" s="136" t="n">
        <v>31.28</v>
      </c>
      <c r="BE5" s="137" t="n">
        <v>11</v>
      </c>
      <c r="BF5" s="137" t="n">
        <v>20.4</v>
      </c>
      <c r="BG5" s="135" t="n">
        <v>453</v>
      </c>
      <c r="BH5" s="137" t="n">
        <v>40.2</v>
      </c>
      <c r="BI5" s="135" t="n">
        <v>675</v>
      </c>
      <c r="BJ5" s="137" t="n">
        <v>59.8</v>
      </c>
      <c r="BK5" s="137" t="n">
        <v>12.2</v>
      </c>
      <c r="BL5" s="135" t="n">
        <v>675</v>
      </c>
      <c r="BM5" s="137" t="n">
        <v>59.8</v>
      </c>
      <c r="BN5" s="136" t="n">
        <v>2.4</v>
      </c>
      <c r="BO5" s="135" t="n">
        <v>498</v>
      </c>
      <c r="BP5" s="137" t="n">
        <v>33.4</v>
      </c>
      <c r="BQ5" s="137" t="n">
        <v>14.7</v>
      </c>
      <c r="BR5" s="137" t="n">
        <v>55.9</v>
      </c>
      <c r="BS5" s="137" t="n">
        <v>66.2</v>
      </c>
      <c r="BT5" s="137" t="n">
        <v>22.2</v>
      </c>
      <c r="BU5" s="138" t="n">
        <v>49.6</v>
      </c>
    </row>
    <row r="6" ht="30" customHeight="1">
      <c r="A6" s="3" t="inlineStr">
        <is>
          <t>NORD</t>
        </is>
      </c>
      <c r="B6" s="3" t="inlineStr">
        <is>
          <t>ALMA GARE</t>
        </is>
      </c>
      <c r="C6" s="3" t="inlineStr">
        <is>
          <t>Alma Sud</t>
        </is>
      </c>
      <c r="D6" s="135" t="n">
        <v>592</v>
      </c>
      <c r="E6" s="135" t="n">
        <v>493</v>
      </c>
      <c r="F6" s="135" t="n">
        <v>3</v>
      </c>
      <c r="G6" s="135" t="n">
        <v>96</v>
      </c>
      <c r="H6" s="135" t="n">
        <v>97</v>
      </c>
      <c r="I6" s="135" t="n">
        <v>490</v>
      </c>
      <c r="J6" s="135" t="n">
        <v>4</v>
      </c>
      <c r="K6" s="135" t="n">
        <v>118</v>
      </c>
      <c r="L6" s="135" t="n">
        <v>143</v>
      </c>
      <c r="M6" s="135" t="n">
        <v>114</v>
      </c>
      <c r="N6" s="135" t="n">
        <v>113</v>
      </c>
      <c r="O6" s="135" t="n">
        <v>4</v>
      </c>
      <c r="P6" s="135" t="n">
        <v>37</v>
      </c>
      <c r="Q6" s="135" t="n">
        <v>228</v>
      </c>
      <c r="R6" s="135" t="n">
        <v>105</v>
      </c>
      <c r="S6" s="135" t="n">
        <v>74</v>
      </c>
      <c r="T6" s="135" t="n">
        <v>32</v>
      </c>
      <c r="U6" s="135" t="n">
        <v>13</v>
      </c>
      <c r="V6" s="135" t="n">
        <v>0</v>
      </c>
      <c r="W6" s="135" t="n">
        <v>25</v>
      </c>
      <c r="X6" s="135" t="n">
        <v>242</v>
      </c>
      <c r="Y6" s="135" t="n">
        <v>218</v>
      </c>
      <c r="Z6" s="135" t="n">
        <v>8</v>
      </c>
      <c r="AA6" s="135" t="n">
        <v>0</v>
      </c>
      <c r="AB6" s="135" t="n">
        <v>493</v>
      </c>
      <c r="AC6" s="135" t="n">
        <v>31</v>
      </c>
      <c r="AD6" s="135" t="n">
        <v>88</v>
      </c>
      <c r="AE6" s="135" t="n">
        <v>108</v>
      </c>
      <c r="AF6" s="135" t="n">
        <v>265</v>
      </c>
      <c r="AG6" s="135" t="n">
        <v>1529</v>
      </c>
      <c r="AH6" s="135" t="n">
        <v>17</v>
      </c>
      <c r="AI6" s="135" t="n">
        <v>471</v>
      </c>
      <c r="AJ6" s="135" t="n">
        <v>441</v>
      </c>
      <c r="AK6" s="135" t="n">
        <v>5</v>
      </c>
      <c r="AL6" s="135" t="n">
        <v>447</v>
      </c>
      <c r="AM6" s="135" t="n">
        <v>0</v>
      </c>
      <c r="AN6" s="135" t="n">
        <v>34</v>
      </c>
      <c r="AO6" s="135" t="n">
        <v>0</v>
      </c>
      <c r="AP6" s="135" t="n">
        <v>12</v>
      </c>
      <c r="AQ6" s="135" t="n">
        <v>131</v>
      </c>
      <c r="AR6" s="135" t="n">
        <v>279</v>
      </c>
      <c r="AS6" s="135" t="n">
        <v>228</v>
      </c>
      <c r="AT6" s="135" t="n">
        <v>51</v>
      </c>
      <c r="AU6" s="135" t="n">
        <v>198</v>
      </c>
      <c r="AV6" s="135" t="n">
        <v>138</v>
      </c>
      <c r="AW6" s="135" t="n">
        <v>31</v>
      </c>
      <c r="AX6" s="135" t="n">
        <v>15</v>
      </c>
      <c r="AY6" s="135" t="n">
        <v>81</v>
      </c>
      <c r="AZ6" s="135" t="n">
        <v>31</v>
      </c>
      <c r="BA6" s="136" t="n">
        <v>0.09</v>
      </c>
      <c r="BB6" s="136" t="n">
        <v>9.35</v>
      </c>
      <c r="BC6" s="136" t="n">
        <v>6328.38</v>
      </c>
      <c r="BD6" s="136" t="n">
        <v>63.26</v>
      </c>
      <c r="BE6" s="137" t="n">
        <v>16.2</v>
      </c>
      <c r="BF6" s="137" t="n">
        <v>16.4</v>
      </c>
      <c r="BG6" s="135" t="n">
        <v>123</v>
      </c>
      <c r="BH6" s="137" t="n">
        <v>24.9</v>
      </c>
      <c r="BI6" s="135" t="n">
        <v>370</v>
      </c>
      <c r="BJ6" s="137" t="n">
        <v>75.09999999999999</v>
      </c>
      <c r="BK6" s="137" t="n">
        <v>6.3</v>
      </c>
      <c r="BL6" s="135" t="n">
        <v>228</v>
      </c>
      <c r="BM6" s="137" t="n">
        <v>46.2</v>
      </c>
      <c r="BN6" s="136" t="n">
        <v>3.1</v>
      </c>
      <c r="BO6" s="135" t="n">
        <v>51</v>
      </c>
      <c r="BP6" s="137" t="n">
        <v>32.6</v>
      </c>
      <c r="BQ6" s="137" t="n">
        <v>3.4</v>
      </c>
      <c r="BR6" s="137" t="n">
        <v>89.59999999999999</v>
      </c>
      <c r="BS6" s="137" t="n">
        <v>93.59999999999999</v>
      </c>
      <c r="BT6" s="137" t="n">
        <v>26.7</v>
      </c>
      <c r="BU6" s="138" t="n">
        <v>56.7</v>
      </c>
    </row>
    <row r="7" ht="30" customHeight="1">
      <c r="A7" s="3" t="inlineStr">
        <is>
          <t>NORD</t>
        </is>
      </c>
      <c r="B7" s="3" t="inlineStr">
        <is>
          <t>ALMA GARE</t>
        </is>
      </c>
      <c r="C7" s="3" t="inlineStr">
        <is>
          <t>Alma Nord</t>
        </is>
      </c>
      <c r="D7" s="135" t="n">
        <v>639</v>
      </c>
      <c r="E7" s="135" t="n">
        <v>558</v>
      </c>
      <c r="F7" s="135" t="n">
        <v>0</v>
      </c>
      <c r="G7" s="135" t="n">
        <v>81</v>
      </c>
      <c r="H7" s="135" t="n">
        <v>327</v>
      </c>
      <c r="I7" s="135" t="n">
        <v>307</v>
      </c>
      <c r="J7" s="135" t="n">
        <v>47</v>
      </c>
      <c r="K7" s="135" t="n">
        <v>64</v>
      </c>
      <c r="L7" s="135" t="n">
        <v>153</v>
      </c>
      <c r="M7" s="135" t="n">
        <v>136</v>
      </c>
      <c r="N7" s="135" t="n">
        <v>159</v>
      </c>
      <c r="O7" s="135" t="n">
        <v>20</v>
      </c>
      <c r="P7" s="135" t="n">
        <v>55</v>
      </c>
      <c r="Q7" s="135" t="n">
        <v>149</v>
      </c>
      <c r="R7" s="135" t="n">
        <v>149</v>
      </c>
      <c r="S7" s="135" t="n">
        <v>109</v>
      </c>
      <c r="T7" s="135" t="n">
        <v>50</v>
      </c>
      <c r="U7" s="135" t="n">
        <v>26</v>
      </c>
      <c r="V7" s="135" t="n">
        <v>53</v>
      </c>
      <c r="W7" s="135" t="n">
        <v>260</v>
      </c>
      <c r="X7" s="135" t="n">
        <v>162</v>
      </c>
      <c r="Y7" s="135" t="n">
        <v>34</v>
      </c>
      <c r="Z7" s="135" t="n">
        <v>18</v>
      </c>
      <c r="AA7" s="135" t="n">
        <v>31</v>
      </c>
      <c r="AB7" s="135" t="n">
        <v>558</v>
      </c>
      <c r="AC7" s="135" t="n">
        <v>65</v>
      </c>
      <c r="AD7" s="135" t="n">
        <v>94</v>
      </c>
      <c r="AE7" s="135" t="n">
        <v>141</v>
      </c>
      <c r="AF7" s="135" t="n">
        <v>258</v>
      </c>
      <c r="AG7" s="135" t="n">
        <v>1613</v>
      </c>
      <c r="AH7" s="135" t="n">
        <v>137</v>
      </c>
      <c r="AI7" s="135" t="n">
        <v>418</v>
      </c>
      <c r="AJ7" s="135" t="n">
        <v>209</v>
      </c>
      <c r="AK7" s="135" t="n">
        <v>3</v>
      </c>
      <c r="AL7" s="135" t="n">
        <v>377</v>
      </c>
      <c r="AM7" s="135" t="n">
        <v>10</v>
      </c>
      <c r="AN7" s="135" t="n">
        <v>167</v>
      </c>
      <c r="AO7" s="135" t="n">
        <v>0</v>
      </c>
      <c r="AP7" s="135" t="n">
        <v>4</v>
      </c>
      <c r="AQ7" s="135" t="n">
        <v>126</v>
      </c>
      <c r="AR7" s="135" t="n">
        <v>361</v>
      </c>
      <c r="AS7" s="135" t="n">
        <v>297</v>
      </c>
      <c r="AT7" s="135" t="n">
        <v>64</v>
      </c>
      <c r="AU7" s="135" t="n">
        <v>120</v>
      </c>
      <c r="AV7" s="135" t="n">
        <v>94</v>
      </c>
      <c r="AW7" s="135" t="n">
        <v>67</v>
      </c>
      <c r="AX7" s="135" t="n">
        <v>87</v>
      </c>
      <c r="AY7" s="135" t="n">
        <v>100</v>
      </c>
      <c r="AZ7" s="135" t="n">
        <v>16</v>
      </c>
      <c r="BA7" s="136" t="n">
        <v>0.42</v>
      </c>
      <c r="BB7" s="136" t="n">
        <v>41.78</v>
      </c>
      <c r="BC7" s="136" t="n">
        <v>1529.51</v>
      </c>
      <c r="BD7" s="136" t="n">
        <v>15.29</v>
      </c>
      <c r="BE7" s="137" t="n">
        <v>12.6</v>
      </c>
      <c r="BF7" s="137" t="n">
        <v>51.2</v>
      </c>
      <c r="BG7" s="135" t="n">
        <v>111</v>
      </c>
      <c r="BH7" s="137" t="n">
        <v>19.9</v>
      </c>
      <c r="BI7" s="135" t="n">
        <v>447</v>
      </c>
      <c r="BJ7" s="137" t="n">
        <v>80.09999999999999</v>
      </c>
      <c r="BK7" s="137" t="n">
        <v>11.7</v>
      </c>
      <c r="BL7" s="135" t="n">
        <v>300</v>
      </c>
      <c r="BM7" s="137" t="n">
        <v>53.8</v>
      </c>
      <c r="BN7" s="136" t="n">
        <v>2.89</v>
      </c>
      <c r="BO7" s="135" t="n">
        <v>350</v>
      </c>
      <c r="BP7" s="137" t="n">
        <v>39.1</v>
      </c>
      <c r="BQ7" s="137" t="n">
        <v>24.5</v>
      </c>
      <c r="BR7" s="137" t="n">
        <v>37.4</v>
      </c>
      <c r="BS7" s="137" t="n">
        <v>49.9</v>
      </c>
      <c r="BT7" s="137" t="n">
        <v>22.6</v>
      </c>
      <c r="BU7" s="138" t="n">
        <v>64.59999999999999</v>
      </c>
    </row>
    <row r="8" ht="30" customHeight="1">
      <c r="A8" s="3" t="inlineStr">
        <is>
          <t>NORD</t>
        </is>
      </c>
      <c r="B8" s="3" t="inlineStr">
        <is>
          <t>ENTREPONT</t>
        </is>
      </c>
      <c r="C8" s="3" t="inlineStr">
        <is>
          <t>Entrepont-Cartigny</t>
        </is>
      </c>
      <c r="D8" s="135" t="n">
        <v>1048</v>
      </c>
      <c r="E8" s="135" t="n">
        <v>892</v>
      </c>
      <c r="F8" s="135" t="n">
        <v>8</v>
      </c>
      <c r="G8" s="135" t="n">
        <v>148</v>
      </c>
      <c r="H8" s="135" t="n">
        <v>685</v>
      </c>
      <c r="I8" s="135" t="n">
        <v>226</v>
      </c>
      <c r="J8" s="135" t="n">
        <v>153</v>
      </c>
      <c r="K8" s="135" t="n">
        <v>135</v>
      </c>
      <c r="L8" s="135" t="n">
        <v>98</v>
      </c>
      <c r="M8" s="135" t="n">
        <v>175</v>
      </c>
      <c r="N8" s="135" t="n">
        <v>330</v>
      </c>
      <c r="O8" s="135" t="n">
        <v>126</v>
      </c>
      <c r="P8" s="135" t="n">
        <v>151</v>
      </c>
      <c r="Q8" s="135" t="n">
        <v>146</v>
      </c>
      <c r="R8" s="135" t="n">
        <v>169</v>
      </c>
      <c r="S8" s="135" t="n">
        <v>171</v>
      </c>
      <c r="T8" s="135" t="n">
        <v>78</v>
      </c>
      <c r="U8" s="135" t="n">
        <v>52</v>
      </c>
      <c r="V8" s="135" t="n">
        <v>40</v>
      </c>
      <c r="W8" s="135" t="n">
        <v>501</v>
      </c>
      <c r="X8" s="135" t="n">
        <v>79</v>
      </c>
      <c r="Y8" s="135" t="n">
        <v>24</v>
      </c>
      <c r="Z8" s="135" t="n">
        <v>19</v>
      </c>
      <c r="AA8" s="135" t="n">
        <v>225</v>
      </c>
      <c r="AB8" s="135" t="n">
        <v>892</v>
      </c>
      <c r="AC8" s="135" t="n">
        <v>109</v>
      </c>
      <c r="AD8" s="135" t="n">
        <v>163</v>
      </c>
      <c r="AE8" s="135" t="n">
        <v>207</v>
      </c>
      <c r="AF8" s="135" t="n">
        <v>412</v>
      </c>
      <c r="AG8" s="135" t="n">
        <v>2364</v>
      </c>
      <c r="AH8" s="135" t="n">
        <v>374</v>
      </c>
      <c r="AI8" s="135" t="n">
        <v>508</v>
      </c>
      <c r="AJ8" s="135" t="n">
        <v>149</v>
      </c>
      <c r="AK8" s="135" t="n">
        <v>10</v>
      </c>
      <c r="AL8" s="135" t="n">
        <v>635</v>
      </c>
      <c r="AM8" s="135" t="n">
        <v>14</v>
      </c>
      <c r="AN8" s="135" t="n">
        <v>187</v>
      </c>
      <c r="AO8" s="135" t="n">
        <v>1</v>
      </c>
      <c r="AP8" s="135" t="n">
        <v>55</v>
      </c>
      <c r="AQ8" s="135" t="n">
        <v>178</v>
      </c>
      <c r="AR8" s="135" t="n">
        <v>515</v>
      </c>
      <c r="AS8" s="135" t="n">
        <v>403</v>
      </c>
      <c r="AT8" s="135" t="n">
        <v>112</v>
      </c>
      <c r="AU8" s="135" t="n">
        <v>221</v>
      </c>
      <c r="AV8" s="135" t="n">
        <v>139</v>
      </c>
      <c r="AW8" s="135" t="n">
        <v>147</v>
      </c>
      <c r="AX8" s="135" t="n">
        <v>105</v>
      </c>
      <c r="AY8" s="135" t="n">
        <v>290</v>
      </c>
      <c r="AZ8" s="135" t="n">
        <v>31</v>
      </c>
      <c r="BA8" s="136" t="n">
        <v>0.85</v>
      </c>
      <c r="BB8" s="136" t="n">
        <v>84.98999999999999</v>
      </c>
      <c r="BC8" s="136" t="n">
        <v>1233.07</v>
      </c>
      <c r="BD8" s="136" t="n">
        <v>12.33</v>
      </c>
      <c r="BE8" s="137" t="n">
        <v>14.1</v>
      </c>
      <c r="BF8" s="137" t="n">
        <v>65.40000000000001</v>
      </c>
      <c r="BG8" s="135" t="n">
        <v>288</v>
      </c>
      <c r="BH8" s="137" t="n">
        <v>32.3</v>
      </c>
      <c r="BI8" s="135" t="n">
        <v>603</v>
      </c>
      <c r="BJ8" s="137" t="n">
        <v>67.7</v>
      </c>
      <c r="BK8" s="137" t="n">
        <v>12.3</v>
      </c>
      <c r="BL8" s="135" t="n">
        <v>480</v>
      </c>
      <c r="BM8" s="137" t="n">
        <v>53.8</v>
      </c>
      <c r="BN8" s="136" t="n">
        <v>2.65</v>
      </c>
      <c r="BO8" s="135" t="n">
        <v>743</v>
      </c>
      <c r="BP8" s="137" t="n">
        <v>50.4</v>
      </c>
      <c r="BQ8" s="137" t="n">
        <v>42</v>
      </c>
      <c r="BR8" s="137" t="n">
        <v>16.7</v>
      </c>
      <c r="BS8" s="137" t="n">
        <v>29.3</v>
      </c>
      <c r="BT8" s="137" t="n">
        <v>20</v>
      </c>
      <c r="BU8" s="138" t="n">
        <v>57.8</v>
      </c>
    </row>
    <row r="9" ht="30" customHeight="1">
      <c r="A9" s="3" t="inlineStr">
        <is>
          <t>NORD</t>
        </is>
      </c>
      <c r="B9" s="3" t="inlineStr">
        <is>
          <t>HUTIN - ORAN - CARTIGNY</t>
        </is>
      </c>
      <c r="C9" s="3" t="inlineStr">
        <is>
          <t>Hutin-Oran</t>
        </is>
      </c>
      <c r="D9" s="135" t="n">
        <v>1020</v>
      </c>
      <c r="E9" s="135" t="n">
        <v>807</v>
      </c>
      <c r="F9" s="135" t="n">
        <v>4</v>
      </c>
      <c r="G9" s="135" t="n">
        <v>209</v>
      </c>
      <c r="H9" s="135" t="n">
        <v>503</v>
      </c>
      <c r="I9" s="135" t="n">
        <v>517</v>
      </c>
      <c r="J9" s="135" t="n">
        <v>33</v>
      </c>
      <c r="K9" s="135" t="n">
        <v>132</v>
      </c>
      <c r="L9" s="135" t="n">
        <v>208</v>
      </c>
      <c r="M9" s="135" t="n">
        <v>125</v>
      </c>
      <c r="N9" s="135" t="n">
        <v>309</v>
      </c>
      <c r="O9" s="135" t="n">
        <v>29</v>
      </c>
      <c r="P9" s="135" t="n">
        <v>202</v>
      </c>
      <c r="Q9" s="135" t="n">
        <v>173</v>
      </c>
      <c r="R9" s="135" t="n">
        <v>133</v>
      </c>
      <c r="S9" s="135" t="n">
        <v>158</v>
      </c>
      <c r="T9" s="135" t="n">
        <v>99</v>
      </c>
      <c r="U9" s="135" t="n">
        <v>12</v>
      </c>
      <c r="V9" s="135" t="n">
        <v>24</v>
      </c>
      <c r="W9" s="135" t="n">
        <v>359</v>
      </c>
      <c r="X9" s="135" t="n">
        <v>208</v>
      </c>
      <c r="Y9" s="135" t="n">
        <v>148</v>
      </c>
      <c r="Z9" s="135" t="n">
        <v>27</v>
      </c>
      <c r="AA9" s="135" t="n">
        <v>39</v>
      </c>
      <c r="AB9" s="135" t="n">
        <v>807</v>
      </c>
      <c r="AC9" s="135" t="n">
        <v>58</v>
      </c>
      <c r="AD9" s="135" t="n">
        <v>122</v>
      </c>
      <c r="AE9" s="135" t="n">
        <v>191</v>
      </c>
      <c r="AF9" s="135" t="n">
        <v>436</v>
      </c>
      <c r="AG9" s="135" t="n">
        <v>2166</v>
      </c>
      <c r="AH9" s="135" t="n">
        <v>347</v>
      </c>
      <c r="AI9" s="135" t="n">
        <v>457</v>
      </c>
      <c r="AJ9" s="135" t="n">
        <v>339</v>
      </c>
      <c r="AK9" s="135" t="n">
        <v>3</v>
      </c>
      <c r="AL9" s="135" t="n">
        <v>630</v>
      </c>
      <c r="AM9" s="135" t="n">
        <v>3</v>
      </c>
      <c r="AN9" s="135" t="n">
        <v>152</v>
      </c>
      <c r="AO9" s="135" t="n">
        <v>3</v>
      </c>
      <c r="AP9" s="135" t="n">
        <v>18</v>
      </c>
      <c r="AQ9" s="135" t="n">
        <v>190</v>
      </c>
      <c r="AR9" s="135" t="n">
        <v>580</v>
      </c>
      <c r="AS9" s="135" t="n">
        <v>458</v>
      </c>
      <c r="AT9" s="135" t="n">
        <v>122</v>
      </c>
      <c r="AU9" s="135" t="n">
        <v>208</v>
      </c>
      <c r="AV9" s="135" t="n">
        <v>175</v>
      </c>
      <c r="AW9" s="135" t="n">
        <v>113</v>
      </c>
      <c r="AX9" s="135" t="n">
        <v>150</v>
      </c>
      <c r="AY9" s="135" t="n">
        <v>120</v>
      </c>
      <c r="AZ9" s="135" t="n">
        <v>25</v>
      </c>
      <c r="BA9" s="136" t="n">
        <v>0.42</v>
      </c>
      <c r="BB9" s="136" t="n">
        <v>41.76</v>
      </c>
      <c r="BC9" s="136" t="n">
        <v>2441.26</v>
      </c>
      <c r="BD9" s="136" t="n">
        <v>24.41</v>
      </c>
      <c r="BE9" s="137" t="n">
        <v>20.5</v>
      </c>
      <c r="BF9" s="137" t="n">
        <v>49.3</v>
      </c>
      <c r="BG9" s="135" t="n">
        <v>165</v>
      </c>
      <c r="BH9" s="137" t="n">
        <v>20.4</v>
      </c>
      <c r="BI9" s="135" t="n">
        <v>642</v>
      </c>
      <c r="BJ9" s="137" t="n">
        <v>79.59999999999999</v>
      </c>
      <c r="BK9" s="137" t="n">
        <v>7.2</v>
      </c>
      <c r="BL9" s="135" t="n">
        <v>371</v>
      </c>
      <c r="BM9" s="137" t="n">
        <v>46</v>
      </c>
      <c r="BN9" s="136" t="n">
        <v>2.69</v>
      </c>
      <c r="BO9" s="135" t="n">
        <v>468</v>
      </c>
      <c r="BP9" s="137" t="n">
        <v>74.09999999999999</v>
      </c>
      <c r="BQ9" s="137" t="n">
        <v>43</v>
      </c>
      <c r="BR9" s="137" t="n">
        <v>42</v>
      </c>
      <c r="BS9" s="137" t="n">
        <v>74.2</v>
      </c>
      <c r="BT9" s="137" t="n">
        <v>23.5</v>
      </c>
      <c r="BU9" s="138" t="n">
        <v>71.90000000000001</v>
      </c>
    </row>
    <row r="10" ht="30" customHeight="1">
      <c r="A10" s="3" t="inlineStr">
        <is>
          <t>NORD</t>
        </is>
      </c>
      <c r="B10" s="3" t="inlineStr">
        <is>
          <t>CUL DE FOUR</t>
        </is>
      </c>
      <c r="C10" s="3" t="inlineStr">
        <is>
          <t>Cul de Four</t>
        </is>
      </c>
      <c r="D10" s="135" t="n">
        <v>1177</v>
      </c>
      <c r="E10" s="135" t="n">
        <v>1059</v>
      </c>
      <c r="F10" s="135" t="n">
        <v>4</v>
      </c>
      <c r="G10" s="135" t="n">
        <v>115</v>
      </c>
      <c r="H10" s="135" t="n">
        <v>704</v>
      </c>
      <c r="I10" s="135" t="n">
        <v>473</v>
      </c>
      <c r="J10" s="135" t="n">
        <v>69</v>
      </c>
      <c r="K10" s="135" t="n">
        <v>111</v>
      </c>
      <c r="L10" s="135" t="n">
        <v>230</v>
      </c>
      <c r="M10" s="135" t="n">
        <v>203</v>
      </c>
      <c r="N10" s="135" t="n">
        <v>446</v>
      </c>
      <c r="O10" s="135" t="n">
        <v>62</v>
      </c>
      <c r="P10" s="135" t="n">
        <v>127</v>
      </c>
      <c r="Q10" s="135" t="n">
        <v>252</v>
      </c>
      <c r="R10" s="135" t="n">
        <v>236</v>
      </c>
      <c r="S10" s="135" t="n">
        <v>277</v>
      </c>
      <c r="T10" s="135" t="n">
        <v>67</v>
      </c>
      <c r="U10" s="135" t="n">
        <v>38</v>
      </c>
      <c r="V10" s="135" t="n">
        <v>31</v>
      </c>
      <c r="W10" s="135" t="n">
        <v>648</v>
      </c>
      <c r="X10" s="135" t="n">
        <v>214</v>
      </c>
      <c r="Y10" s="135" t="n">
        <v>117</v>
      </c>
      <c r="Z10" s="135" t="n">
        <v>21</v>
      </c>
      <c r="AA10" s="135" t="n">
        <v>24</v>
      </c>
      <c r="AB10" s="135" t="n">
        <v>1059</v>
      </c>
      <c r="AC10" s="135" t="n">
        <v>96</v>
      </c>
      <c r="AD10" s="135" t="n">
        <v>198</v>
      </c>
      <c r="AE10" s="135" t="n">
        <v>228</v>
      </c>
      <c r="AF10" s="135" t="n">
        <v>537</v>
      </c>
      <c r="AG10" s="135" t="n">
        <v>3471</v>
      </c>
      <c r="AH10" s="135" t="n">
        <v>350</v>
      </c>
      <c r="AI10" s="135" t="n">
        <v>702</v>
      </c>
      <c r="AJ10" s="135" t="n">
        <v>335</v>
      </c>
      <c r="AK10" s="135" t="n">
        <v>7</v>
      </c>
      <c r="AL10" s="135" t="n">
        <v>849</v>
      </c>
      <c r="AM10" s="135" t="n">
        <v>8</v>
      </c>
      <c r="AN10" s="135" t="n">
        <v>170</v>
      </c>
      <c r="AO10" s="135" t="n">
        <v>4</v>
      </c>
      <c r="AP10" s="135" t="n">
        <v>28</v>
      </c>
      <c r="AQ10" s="135" t="n">
        <v>138</v>
      </c>
      <c r="AR10" s="135" t="n">
        <v>658</v>
      </c>
      <c r="AS10" s="135" t="n">
        <v>510</v>
      </c>
      <c r="AT10" s="135" t="n">
        <v>148</v>
      </c>
      <c r="AU10" s="135" t="n">
        <v>245</v>
      </c>
      <c r="AV10" s="135" t="n">
        <v>254</v>
      </c>
      <c r="AW10" s="135" t="n">
        <v>168</v>
      </c>
      <c r="AX10" s="135" t="n">
        <v>138</v>
      </c>
      <c r="AY10" s="135" t="n">
        <v>166</v>
      </c>
      <c r="AZ10" s="135" t="n">
        <v>66</v>
      </c>
      <c r="BA10" s="136" t="n">
        <v>0.5600000000000001</v>
      </c>
      <c r="BB10" s="136" t="n">
        <v>56.3</v>
      </c>
      <c r="BC10" s="136" t="n">
        <v>2091.51</v>
      </c>
      <c r="BD10" s="136" t="n">
        <v>20.91</v>
      </c>
      <c r="BE10" s="137" t="n">
        <v>9.699999999999999</v>
      </c>
      <c r="BF10" s="137" t="n">
        <v>59.8</v>
      </c>
      <c r="BG10" s="135" t="n">
        <v>180</v>
      </c>
      <c r="BH10" s="137" t="n">
        <v>17</v>
      </c>
      <c r="BI10" s="135" t="n">
        <v>879</v>
      </c>
      <c r="BJ10" s="137" t="n">
        <v>83</v>
      </c>
      <c r="BK10" s="137" t="n">
        <v>9.1</v>
      </c>
      <c r="BL10" s="135" t="n">
        <v>522</v>
      </c>
      <c r="BM10" s="137" t="n">
        <v>49.3</v>
      </c>
      <c r="BN10" s="136" t="n">
        <v>3.28</v>
      </c>
      <c r="BO10" s="135" t="n">
        <v>724</v>
      </c>
      <c r="BP10" s="137" t="n">
        <v>48.4</v>
      </c>
      <c r="BQ10" s="137" t="n">
        <v>33</v>
      </c>
      <c r="BR10" s="137" t="n">
        <v>31.7</v>
      </c>
      <c r="BS10" s="137" t="n">
        <v>47.8</v>
      </c>
      <c r="BT10" s="137" t="n">
        <v>13</v>
      </c>
      <c r="BU10" s="138" t="n">
        <v>62.1</v>
      </c>
    </row>
    <row r="11" ht="30" customHeight="1">
      <c r="A11" s="3" t="inlineStr">
        <is>
          <t>NORD</t>
        </is>
      </c>
      <c r="B11" s="3" t="inlineStr">
        <is>
          <t>HOMMELET</t>
        </is>
      </c>
      <c r="C11" s="3" t="inlineStr">
        <is>
          <t>Hommelet Nord</t>
        </is>
      </c>
      <c r="D11" s="135" t="n">
        <v>894</v>
      </c>
      <c r="E11" s="135" t="n">
        <v>796</v>
      </c>
      <c r="F11" s="135" t="n">
        <v>3</v>
      </c>
      <c r="G11" s="135" t="n">
        <v>94</v>
      </c>
      <c r="H11" s="135" t="n">
        <v>501</v>
      </c>
      <c r="I11" s="135" t="n">
        <v>379</v>
      </c>
      <c r="J11" s="135" t="n">
        <v>87</v>
      </c>
      <c r="K11" s="135" t="n">
        <v>121</v>
      </c>
      <c r="L11" s="135" t="n">
        <v>138</v>
      </c>
      <c r="M11" s="135" t="n">
        <v>177</v>
      </c>
      <c r="N11" s="135" t="n">
        <v>272</v>
      </c>
      <c r="O11" s="135" t="n">
        <v>67</v>
      </c>
      <c r="P11" s="135" t="n">
        <v>128</v>
      </c>
      <c r="Q11" s="135" t="n">
        <v>145</v>
      </c>
      <c r="R11" s="135" t="n">
        <v>171</v>
      </c>
      <c r="S11" s="135" t="n">
        <v>171</v>
      </c>
      <c r="T11" s="135" t="n">
        <v>73</v>
      </c>
      <c r="U11" s="135" t="n">
        <v>41</v>
      </c>
      <c r="V11" s="135" t="n">
        <v>84</v>
      </c>
      <c r="W11" s="135" t="n">
        <v>430</v>
      </c>
      <c r="X11" s="135" t="n">
        <v>176</v>
      </c>
      <c r="Y11" s="135" t="n">
        <v>13</v>
      </c>
      <c r="Z11" s="135" t="n">
        <v>27</v>
      </c>
      <c r="AA11" s="135" t="n">
        <v>64</v>
      </c>
      <c r="AB11" s="135" t="n">
        <v>796</v>
      </c>
      <c r="AC11" s="135" t="n">
        <v>73</v>
      </c>
      <c r="AD11" s="135" t="n">
        <v>174</v>
      </c>
      <c r="AE11" s="135" t="n">
        <v>187</v>
      </c>
      <c r="AF11" s="135" t="n">
        <v>362</v>
      </c>
      <c r="AG11" s="135" t="n">
        <v>2308</v>
      </c>
      <c r="AH11" s="135" t="n">
        <v>265</v>
      </c>
      <c r="AI11" s="135" t="n">
        <v>530</v>
      </c>
      <c r="AJ11" s="135" t="n">
        <v>136</v>
      </c>
      <c r="AK11" s="135" t="n">
        <v>0</v>
      </c>
      <c r="AL11" s="135" t="n">
        <v>446</v>
      </c>
      <c r="AM11" s="135" t="n">
        <v>16</v>
      </c>
      <c r="AN11" s="135" t="n">
        <v>286</v>
      </c>
      <c r="AO11" s="135" t="n">
        <v>0</v>
      </c>
      <c r="AP11" s="135" t="n">
        <v>49</v>
      </c>
      <c r="AQ11" s="135" t="n">
        <v>145</v>
      </c>
      <c r="AR11" s="135" t="n">
        <v>501</v>
      </c>
      <c r="AS11" s="135" t="n">
        <v>340</v>
      </c>
      <c r="AT11" s="135" t="n">
        <v>161</v>
      </c>
      <c r="AU11" s="135" t="n">
        <v>198</v>
      </c>
      <c r="AV11" s="135" t="n">
        <v>205</v>
      </c>
      <c r="AW11" s="135" t="n">
        <v>141</v>
      </c>
      <c r="AX11" s="135" t="n">
        <v>118</v>
      </c>
      <c r="AY11" s="135" t="n">
        <v>166</v>
      </c>
      <c r="AZ11" s="135" t="n">
        <v>29</v>
      </c>
      <c r="BA11" s="136" t="n">
        <v>0.18</v>
      </c>
      <c r="BB11" s="136" t="n">
        <v>18.34</v>
      </c>
      <c r="BC11" s="136" t="n">
        <v>4872.51</v>
      </c>
      <c r="BD11" s="136" t="n">
        <v>48.72</v>
      </c>
      <c r="BE11" s="137" t="n">
        <v>10.6</v>
      </c>
      <c r="BF11" s="137" t="n">
        <v>56</v>
      </c>
      <c r="BG11" s="135" t="n">
        <v>208</v>
      </c>
      <c r="BH11" s="137" t="n">
        <v>26.2</v>
      </c>
      <c r="BI11" s="135" t="n">
        <v>587</v>
      </c>
      <c r="BJ11" s="137" t="n">
        <v>73.8</v>
      </c>
      <c r="BK11" s="137" t="n">
        <v>9.199999999999999</v>
      </c>
      <c r="BL11" s="135" t="n">
        <v>434</v>
      </c>
      <c r="BM11" s="137" t="n">
        <v>54.6</v>
      </c>
      <c r="BN11" s="136" t="n">
        <v>2.9</v>
      </c>
      <c r="BO11" s="135" t="n">
        <v>660</v>
      </c>
      <c r="BP11" s="137" t="n">
        <v>40.2</v>
      </c>
      <c r="BQ11" s="137" t="n">
        <v>33.3</v>
      </c>
      <c r="BR11" s="137" t="n">
        <v>17.1</v>
      </c>
      <c r="BS11" s="137" t="n">
        <v>25.6</v>
      </c>
      <c r="BT11" s="137" t="n">
        <v>18.2</v>
      </c>
      <c r="BU11" s="138" t="n">
        <v>63</v>
      </c>
    </row>
    <row r="12" ht="30" customHeight="1">
      <c r="A12" s="3" t="inlineStr">
        <is>
          <t>NORD</t>
        </is>
      </c>
      <c r="B12" s="3" t="inlineStr">
        <is>
          <t>HOMMELET</t>
        </is>
      </c>
      <c r="C12" s="3" t="inlineStr">
        <is>
          <t>Hommelet Centre</t>
        </is>
      </c>
      <c r="D12" s="135" t="n">
        <v>1089</v>
      </c>
      <c r="E12" s="135" t="n">
        <v>986</v>
      </c>
      <c r="F12" s="135" t="n">
        <v>5</v>
      </c>
      <c r="G12" s="135" t="n">
        <v>98</v>
      </c>
      <c r="H12" s="135" t="n">
        <v>428</v>
      </c>
      <c r="I12" s="135" t="n">
        <v>656</v>
      </c>
      <c r="J12" s="135" t="n">
        <v>38</v>
      </c>
      <c r="K12" s="135" t="n">
        <v>168</v>
      </c>
      <c r="L12" s="135" t="n">
        <v>272</v>
      </c>
      <c r="M12" s="135" t="n">
        <v>257</v>
      </c>
      <c r="N12" s="135" t="n">
        <v>249</v>
      </c>
      <c r="O12" s="135" t="n">
        <v>36</v>
      </c>
      <c r="P12" s="135" t="n">
        <v>87</v>
      </c>
      <c r="Q12" s="135" t="n">
        <v>268</v>
      </c>
      <c r="R12" s="135" t="n">
        <v>273</v>
      </c>
      <c r="S12" s="135" t="n">
        <v>166</v>
      </c>
      <c r="T12" s="135" t="n">
        <v>97</v>
      </c>
      <c r="U12" s="135" t="n">
        <v>60</v>
      </c>
      <c r="V12" s="135" t="n">
        <v>41</v>
      </c>
      <c r="W12" s="135" t="n">
        <v>305</v>
      </c>
      <c r="X12" s="135" t="n">
        <v>156</v>
      </c>
      <c r="Y12" s="135" t="n">
        <v>380</v>
      </c>
      <c r="Z12" s="135" t="n">
        <v>29</v>
      </c>
      <c r="AA12" s="135" t="n">
        <v>74</v>
      </c>
      <c r="AB12" s="135" t="n">
        <v>986</v>
      </c>
      <c r="AC12" s="135" t="n">
        <v>111</v>
      </c>
      <c r="AD12" s="135" t="n">
        <v>167</v>
      </c>
      <c r="AE12" s="135" t="n">
        <v>211</v>
      </c>
      <c r="AF12" s="135" t="n">
        <v>497</v>
      </c>
      <c r="AG12" s="135" t="n">
        <v>2701</v>
      </c>
      <c r="AH12" s="135" t="n">
        <v>224</v>
      </c>
      <c r="AI12" s="135" t="n">
        <v>735</v>
      </c>
      <c r="AJ12" s="135" t="n">
        <v>512</v>
      </c>
      <c r="AK12" s="135" t="n">
        <v>26</v>
      </c>
      <c r="AL12" s="135" t="n">
        <v>820</v>
      </c>
      <c r="AM12" s="135" t="n">
        <v>25</v>
      </c>
      <c r="AN12" s="135" t="n">
        <v>112</v>
      </c>
      <c r="AO12" s="135" t="n">
        <v>3</v>
      </c>
      <c r="AP12" s="135" t="n">
        <v>26</v>
      </c>
      <c r="AQ12" s="135" t="n">
        <v>252</v>
      </c>
      <c r="AR12" s="135" t="n">
        <v>589</v>
      </c>
      <c r="AS12" s="135" t="n">
        <v>441</v>
      </c>
      <c r="AT12" s="135" t="n">
        <v>148</v>
      </c>
      <c r="AU12" s="135" t="n">
        <v>374</v>
      </c>
      <c r="AV12" s="135" t="n">
        <v>246</v>
      </c>
      <c r="AW12" s="135" t="n">
        <v>130</v>
      </c>
      <c r="AX12" s="135" t="n">
        <v>117</v>
      </c>
      <c r="AY12" s="135" t="n">
        <v>148</v>
      </c>
      <c r="AZ12" s="135" t="n">
        <v>27</v>
      </c>
      <c r="BA12" s="136" t="n">
        <v>0.28</v>
      </c>
      <c r="BB12" s="136" t="n">
        <v>28.27</v>
      </c>
      <c r="BC12" s="136" t="n">
        <v>3853.49</v>
      </c>
      <c r="BD12" s="136" t="n">
        <v>38.54</v>
      </c>
      <c r="BE12" s="137" t="n">
        <v>9</v>
      </c>
      <c r="BF12" s="137" t="n">
        <v>39.3</v>
      </c>
      <c r="BG12" s="135" t="n">
        <v>207</v>
      </c>
      <c r="BH12" s="137" t="n">
        <v>21</v>
      </c>
      <c r="BI12" s="135" t="n">
        <v>779</v>
      </c>
      <c r="BJ12" s="137" t="n">
        <v>79</v>
      </c>
      <c r="BK12" s="137" t="n">
        <v>11.2</v>
      </c>
      <c r="BL12" s="135" t="n">
        <v>488</v>
      </c>
      <c r="BM12" s="137" t="n">
        <v>49.5</v>
      </c>
      <c r="BN12" s="136" t="n">
        <v>2.74</v>
      </c>
      <c r="BO12" s="135" t="n">
        <v>474</v>
      </c>
      <c r="BP12" s="137" t="n">
        <v>47.3</v>
      </c>
      <c r="BQ12" s="137" t="n">
        <v>22.7</v>
      </c>
      <c r="BR12" s="137" t="n">
        <v>52</v>
      </c>
      <c r="BS12" s="137" t="n">
        <v>69.59999999999999</v>
      </c>
      <c r="BT12" s="137" t="n">
        <v>25.5</v>
      </c>
      <c r="BU12" s="138" t="n">
        <v>59.8</v>
      </c>
    </row>
    <row r="13" ht="30" customHeight="1">
      <c r="A13" s="3" t="inlineStr">
        <is>
          <t>NORD</t>
        </is>
      </c>
      <c r="B13" s="3" t="inlineStr">
        <is>
          <t>HOMMELET</t>
        </is>
      </c>
      <c r="C13" s="3" t="inlineStr">
        <is>
          <t>Hommelet Sud</t>
        </is>
      </c>
      <c r="D13" s="135" t="n">
        <v>1012</v>
      </c>
      <c r="E13" s="135" t="n">
        <v>931</v>
      </c>
      <c r="F13" s="135" t="n">
        <v>4</v>
      </c>
      <c r="G13" s="135" t="n">
        <v>77</v>
      </c>
      <c r="H13" s="135" t="n">
        <v>422</v>
      </c>
      <c r="I13" s="135" t="n">
        <v>584</v>
      </c>
      <c r="J13" s="135" t="n">
        <v>76</v>
      </c>
      <c r="K13" s="135" t="n">
        <v>153</v>
      </c>
      <c r="L13" s="135" t="n">
        <v>185</v>
      </c>
      <c r="M13" s="135" t="n">
        <v>178</v>
      </c>
      <c r="N13" s="135" t="n">
        <v>339</v>
      </c>
      <c r="O13" s="135" t="n">
        <v>53</v>
      </c>
      <c r="P13" s="135" t="n">
        <v>92</v>
      </c>
      <c r="Q13" s="135" t="n">
        <v>248</v>
      </c>
      <c r="R13" s="135" t="n">
        <v>217</v>
      </c>
      <c r="S13" s="135" t="n">
        <v>120</v>
      </c>
      <c r="T13" s="135" t="n">
        <v>104</v>
      </c>
      <c r="U13" s="135" t="n">
        <v>98</v>
      </c>
      <c r="V13" s="135" t="n">
        <v>51</v>
      </c>
      <c r="W13" s="135" t="n">
        <v>505</v>
      </c>
      <c r="X13" s="135" t="n">
        <v>99</v>
      </c>
      <c r="Y13" s="135" t="n">
        <v>203</v>
      </c>
      <c r="Z13" s="135" t="n">
        <v>60</v>
      </c>
      <c r="AA13" s="135" t="n">
        <v>12</v>
      </c>
      <c r="AB13" s="135" t="n">
        <v>931</v>
      </c>
      <c r="AC13" s="135" t="n">
        <v>152</v>
      </c>
      <c r="AD13" s="135" t="n">
        <v>218</v>
      </c>
      <c r="AE13" s="135" t="n">
        <v>167</v>
      </c>
      <c r="AF13" s="135" t="n">
        <v>395</v>
      </c>
      <c r="AG13" s="135" t="n">
        <v>2250</v>
      </c>
      <c r="AH13" s="135" t="n">
        <v>299</v>
      </c>
      <c r="AI13" s="135" t="n">
        <v>611</v>
      </c>
      <c r="AJ13" s="135" t="n">
        <v>312</v>
      </c>
      <c r="AK13" s="135" t="n">
        <v>21</v>
      </c>
      <c r="AL13" s="135" t="n">
        <v>694</v>
      </c>
      <c r="AM13" s="135" t="n">
        <v>10</v>
      </c>
      <c r="AN13" s="135" t="n">
        <v>192</v>
      </c>
      <c r="AO13" s="135" t="n">
        <v>14</v>
      </c>
      <c r="AP13" s="135" t="n">
        <v>21</v>
      </c>
      <c r="AQ13" s="135" t="n">
        <v>224</v>
      </c>
      <c r="AR13" s="135" t="n">
        <v>460</v>
      </c>
      <c r="AS13" s="135" t="n">
        <v>359</v>
      </c>
      <c r="AT13" s="135" t="n">
        <v>101</v>
      </c>
      <c r="AU13" s="135" t="n">
        <v>239</v>
      </c>
      <c r="AV13" s="135" t="n">
        <v>243</v>
      </c>
      <c r="AW13" s="135" t="n">
        <v>157</v>
      </c>
      <c r="AX13" s="135" t="n">
        <v>193</v>
      </c>
      <c r="AY13" s="135" t="n">
        <v>150</v>
      </c>
      <c r="AZ13" s="135" t="n">
        <v>25</v>
      </c>
      <c r="BA13" s="136" t="n">
        <v>0.21</v>
      </c>
      <c r="BB13" s="136" t="n">
        <v>21.15</v>
      </c>
      <c r="BC13" s="136" t="n">
        <v>4787.94</v>
      </c>
      <c r="BD13" s="136" t="n">
        <v>47.87</v>
      </c>
      <c r="BE13" s="137" t="n">
        <v>7.6</v>
      </c>
      <c r="BF13" s="137" t="n">
        <v>41.7</v>
      </c>
      <c r="BG13" s="135" t="n">
        <v>229</v>
      </c>
      <c r="BH13" s="137" t="n">
        <v>24.6</v>
      </c>
      <c r="BI13" s="135" t="n">
        <v>703</v>
      </c>
      <c r="BJ13" s="137" t="n">
        <v>75.40000000000001</v>
      </c>
      <c r="BK13" s="137" t="n">
        <v>16.3</v>
      </c>
      <c r="BL13" s="135" t="n">
        <v>536</v>
      </c>
      <c r="BM13" s="137" t="n">
        <v>57.6</v>
      </c>
      <c r="BN13" s="136" t="n">
        <v>2.42</v>
      </c>
      <c r="BO13" s="135" t="n">
        <v>619</v>
      </c>
      <c r="BP13" s="137" t="n">
        <v>48.3</v>
      </c>
      <c r="BQ13" s="137" t="n">
        <v>32.1</v>
      </c>
      <c r="BR13" s="137" t="n">
        <v>33.5</v>
      </c>
      <c r="BS13" s="137" t="n">
        <v>51.1</v>
      </c>
      <c r="BT13" s="137" t="n">
        <v>24</v>
      </c>
      <c r="BU13" s="138" t="n">
        <v>49.4</v>
      </c>
    </row>
    <row r="14" ht="30" customHeight="1">
      <c r="A14" s="3" t="inlineStr">
        <is>
          <t>OUEST</t>
        </is>
      </c>
      <c r="B14" s="3" t="inlineStr">
        <is>
          <t>EPEULE</t>
        </is>
      </c>
      <c r="C14" s="3" t="inlineStr">
        <is>
          <t>Épeule Nord</t>
        </is>
      </c>
      <c r="D14" s="135" t="n">
        <v>794</v>
      </c>
      <c r="E14" s="135" t="n">
        <v>708</v>
      </c>
      <c r="F14" s="135" t="n">
        <v>5</v>
      </c>
      <c r="G14" s="135" t="n">
        <v>80</v>
      </c>
      <c r="H14" s="135" t="n">
        <v>205</v>
      </c>
      <c r="I14" s="135" t="n">
        <v>588</v>
      </c>
      <c r="J14" s="135" t="n">
        <v>19</v>
      </c>
      <c r="K14" s="135" t="n">
        <v>139</v>
      </c>
      <c r="L14" s="135" t="n">
        <v>229</v>
      </c>
      <c r="M14" s="135" t="n">
        <v>167</v>
      </c>
      <c r="N14" s="135" t="n">
        <v>154</v>
      </c>
      <c r="O14" s="135" t="n">
        <v>15</v>
      </c>
      <c r="P14" s="135" t="n">
        <v>81</v>
      </c>
      <c r="Q14" s="135" t="n">
        <v>221</v>
      </c>
      <c r="R14" s="135" t="n">
        <v>236</v>
      </c>
      <c r="S14" s="135" t="n">
        <v>94</v>
      </c>
      <c r="T14" s="135" t="n">
        <v>47</v>
      </c>
      <c r="U14" s="135" t="n">
        <v>14</v>
      </c>
      <c r="V14" s="135" t="n">
        <v>85</v>
      </c>
      <c r="W14" s="135" t="n">
        <v>114</v>
      </c>
      <c r="X14" s="135" t="n">
        <v>55</v>
      </c>
      <c r="Y14" s="135" t="n">
        <v>439</v>
      </c>
      <c r="Z14" s="135" t="n">
        <v>15</v>
      </c>
      <c r="AA14" s="135" t="n">
        <v>0</v>
      </c>
      <c r="AB14" s="135" t="n">
        <v>708</v>
      </c>
      <c r="AC14" s="135" t="n">
        <v>56</v>
      </c>
      <c r="AD14" s="135" t="n">
        <v>71</v>
      </c>
      <c r="AE14" s="135" t="n">
        <v>186</v>
      </c>
      <c r="AF14" s="135" t="n">
        <v>395</v>
      </c>
      <c r="AG14" s="135" t="n">
        <v>1947</v>
      </c>
      <c r="AH14" s="135" t="n">
        <v>130</v>
      </c>
      <c r="AI14" s="135" t="n">
        <v>575</v>
      </c>
      <c r="AJ14" s="135" t="n">
        <v>477</v>
      </c>
      <c r="AK14" s="135" t="n">
        <v>3</v>
      </c>
      <c r="AL14" s="135" t="n">
        <v>569</v>
      </c>
      <c r="AM14" s="135" t="n">
        <v>13</v>
      </c>
      <c r="AN14" s="135" t="n">
        <v>105</v>
      </c>
      <c r="AO14" s="135" t="n">
        <v>6</v>
      </c>
      <c r="AP14" s="135" t="n">
        <v>15</v>
      </c>
      <c r="AQ14" s="135" t="n">
        <v>84</v>
      </c>
      <c r="AR14" s="135" t="n">
        <v>340</v>
      </c>
      <c r="AS14" s="135" t="n">
        <v>288</v>
      </c>
      <c r="AT14" s="135" t="n">
        <v>52</v>
      </c>
      <c r="AU14" s="135" t="n">
        <v>223</v>
      </c>
      <c r="AV14" s="135" t="n">
        <v>149</v>
      </c>
      <c r="AW14" s="135" t="n">
        <v>67</v>
      </c>
      <c r="AX14" s="135" t="n">
        <v>63</v>
      </c>
      <c r="AY14" s="135" t="n">
        <v>86</v>
      </c>
      <c r="AZ14" s="135" t="n">
        <v>31</v>
      </c>
      <c r="BA14" s="136" t="n">
        <v>0.15</v>
      </c>
      <c r="BB14" s="136" t="n">
        <v>15.31</v>
      </c>
      <c r="BC14" s="136" t="n">
        <v>5183.67</v>
      </c>
      <c r="BD14" s="136" t="n">
        <v>51.83</v>
      </c>
      <c r="BE14" s="137" t="n">
        <v>10.1</v>
      </c>
      <c r="BF14" s="137" t="n">
        <v>25.8</v>
      </c>
      <c r="BG14" s="135" t="n">
        <v>157</v>
      </c>
      <c r="BH14" s="137" t="n">
        <v>22.2</v>
      </c>
      <c r="BI14" s="135" t="n">
        <v>551</v>
      </c>
      <c r="BJ14" s="137" t="n">
        <v>77.8</v>
      </c>
      <c r="BK14" s="137" t="n">
        <v>8</v>
      </c>
      <c r="BL14" s="135" t="n">
        <v>313</v>
      </c>
      <c r="BM14" s="137" t="n">
        <v>44.2</v>
      </c>
      <c r="BN14" s="136" t="n">
        <v>2.75</v>
      </c>
      <c r="BO14" s="135" t="n">
        <v>232</v>
      </c>
      <c r="BP14" s="137" t="n">
        <v>56</v>
      </c>
      <c r="BQ14" s="137" t="n">
        <v>18.3</v>
      </c>
      <c r="BR14" s="137" t="n">
        <v>67.3</v>
      </c>
      <c r="BS14" s="137" t="n">
        <v>82.8</v>
      </c>
      <c r="BT14" s="137" t="n">
        <v>11.8</v>
      </c>
      <c r="BU14" s="138" t="n">
        <v>48</v>
      </c>
    </row>
    <row r="15" ht="30" customHeight="1">
      <c r="A15" s="3" t="inlineStr">
        <is>
          <t>OUEST</t>
        </is>
      </c>
      <c r="B15" s="3" t="inlineStr">
        <is>
          <t>EPEULE</t>
        </is>
      </c>
      <c r="C15" s="3" t="inlineStr">
        <is>
          <t>Épeule Centre</t>
        </is>
      </c>
      <c r="D15" s="135" t="n">
        <v>1112</v>
      </c>
      <c r="E15" s="135" t="n">
        <v>991</v>
      </c>
      <c r="F15" s="135" t="n">
        <v>10</v>
      </c>
      <c r="G15" s="135" t="n">
        <v>112</v>
      </c>
      <c r="H15" s="135" t="n">
        <v>404</v>
      </c>
      <c r="I15" s="135" t="n">
        <v>705</v>
      </c>
      <c r="J15" s="135" t="n">
        <v>16</v>
      </c>
      <c r="K15" s="135" t="n">
        <v>181</v>
      </c>
      <c r="L15" s="135" t="n">
        <v>268</v>
      </c>
      <c r="M15" s="135" t="n">
        <v>213</v>
      </c>
      <c r="N15" s="135" t="n">
        <v>314</v>
      </c>
      <c r="O15" s="135" t="n">
        <v>8</v>
      </c>
      <c r="P15" s="135" t="n">
        <v>121</v>
      </c>
      <c r="Q15" s="135" t="n">
        <v>295</v>
      </c>
      <c r="R15" s="135" t="n">
        <v>242</v>
      </c>
      <c r="S15" s="135" t="n">
        <v>189</v>
      </c>
      <c r="T15" s="135" t="n">
        <v>91</v>
      </c>
      <c r="U15" s="135" t="n">
        <v>45</v>
      </c>
      <c r="V15" s="135" t="n">
        <v>129</v>
      </c>
      <c r="W15" s="135" t="n">
        <v>276</v>
      </c>
      <c r="X15" s="135" t="n">
        <v>95</v>
      </c>
      <c r="Y15" s="135" t="n">
        <v>327</v>
      </c>
      <c r="Z15" s="135" t="n">
        <v>102</v>
      </c>
      <c r="AA15" s="135" t="n">
        <v>57</v>
      </c>
      <c r="AB15" s="135" t="n">
        <v>991</v>
      </c>
      <c r="AC15" s="135" t="n">
        <v>121</v>
      </c>
      <c r="AD15" s="135" t="n">
        <v>177</v>
      </c>
      <c r="AE15" s="135" t="n">
        <v>232</v>
      </c>
      <c r="AF15" s="135" t="n">
        <v>462</v>
      </c>
      <c r="AG15" s="135" t="n">
        <v>2457</v>
      </c>
      <c r="AH15" s="135" t="n">
        <v>253</v>
      </c>
      <c r="AI15" s="135" t="n">
        <v>719</v>
      </c>
      <c r="AJ15" s="135" t="n">
        <v>472</v>
      </c>
      <c r="AK15" s="135" t="n">
        <v>19</v>
      </c>
      <c r="AL15" s="135" t="n">
        <v>712</v>
      </c>
      <c r="AM15" s="135" t="n">
        <v>33</v>
      </c>
      <c r="AN15" s="135" t="n">
        <v>190</v>
      </c>
      <c r="AO15" s="135" t="n">
        <v>19</v>
      </c>
      <c r="AP15" s="135" t="n">
        <v>36</v>
      </c>
      <c r="AQ15" s="135" t="n">
        <v>164</v>
      </c>
      <c r="AR15" s="135" t="n">
        <v>491</v>
      </c>
      <c r="AS15" s="135" t="n">
        <v>379</v>
      </c>
      <c r="AT15" s="135" t="n">
        <v>112</v>
      </c>
      <c r="AU15" s="135" t="n">
        <v>316</v>
      </c>
      <c r="AV15" s="135" t="n">
        <v>237</v>
      </c>
      <c r="AW15" s="135" t="n">
        <v>122</v>
      </c>
      <c r="AX15" s="135" t="n">
        <v>159</v>
      </c>
      <c r="AY15" s="135" t="n">
        <v>99</v>
      </c>
      <c r="AZ15" s="135" t="n">
        <v>8</v>
      </c>
      <c r="BA15" s="136" t="n">
        <v>0.2</v>
      </c>
      <c r="BB15" s="136" t="n">
        <v>19.52</v>
      </c>
      <c r="BC15" s="136" t="n">
        <v>5698.2</v>
      </c>
      <c r="BD15" s="136" t="n">
        <v>56.99</v>
      </c>
      <c r="BE15" s="137" t="n">
        <v>10</v>
      </c>
      <c r="BF15" s="137" t="n">
        <v>36.3</v>
      </c>
      <c r="BG15" s="135" t="n">
        <v>197</v>
      </c>
      <c r="BH15" s="137" t="n">
        <v>19.9</v>
      </c>
      <c r="BI15" s="135" t="n">
        <v>794</v>
      </c>
      <c r="BJ15" s="137" t="n">
        <v>80.09999999999999</v>
      </c>
      <c r="BK15" s="137" t="n">
        <v>12.2</v>
      </c>
      <c r="BL15" s="135" t="n">
        <v>529</v>
      </c>
      <c r="BM15" s="137" t="n">
        <v>53.4</v>
      </c>
      <c r="BN15" s="136" t="n">
        <v>2.48</v>
      </c>
      <c r="BO15" s="135" t="n">
        <v>519</v>
      </c>
      <c r="BP15" s="137" t="n">
        <v>48.7</v>
      </c>
      <c r="BQ15" s="137" t="n">
        <v>25.5</v>
      </c>
      <c r="BR15" s="137" t="n">
        <v>47.6</v>
      </c>
      <c r="BS15" s="137" t="n">
        <v>65.59999999999999</v>
      </c>
      <c r="BT15" s="137" t="n">
        <v>16.6</v>
      </c>
      <c r="BU15" s="138" t="n">
        <v>49.5</v>
      </c>
    </row>
    <row r="16" ht="30" customHeight="1">
      <c r="A16" s="3" t="inlineStr">
        <is>
          <t>OUEST</t>
        </is>
      </c>
      <c r="B16" s="3" t="inlineStr">
        <is>
          <t>EPEULE</t>
        </is>
      </c>
      <c r="C16" s="3" t="inlineStr">
        <is>
          <t>Épeule Sud</t>
        </is>
      </c>
      <c r="D16" s="135" t="n">
        <v>864</v>
      </c>
      <c r="E16" s="135" t="n">
        <v>794</v>
      </c>
      <c r="F16" s="135" t="n">
        <v>10</v>
      </c>
      <c r="G16" s="135" t="n">
        <v>60</v>
      </c>
      <c r="H16" s="135" t="n">
        <v>530</v>
      </c>
      <c r="I16" s="135" t="n">
        <v>328</v>
      </c>
      <c r="J16" s="135" t="n">
        <v>70</v>
      </c>
      <c r="K16" s="135" t="n">
        <v>122</v>
      </c>
      <c r="L16" s="135" t="n">
        <v>109</v>
      </c>
      <c r="M16" s="135" t="n">
        <v>125</v>
      </c>
      <c r="N16" s="135" t="n">
        <v>369</v>
      </c>
      <c r="O16" s="135" t="n">
        <v>58</v>
      </c>
      <c r="P16" s="135" t="n">
        <v>84</v>
      </c>
      <c r="Q16" s="135" t="n">
        <v>143</v>
      </c>
      <c r="R16" s="135" t="n">
        <v>166</v>
      </c>
      <c r="S16" s="135" t="n">
        <v>157</v>
      </c>
      <c r="T16" s="135" t="n">
        <v>82</v>
      </c>
      <c r="U16" s="135" t="n">
        <v>105</v>
      </c>
      <c r="V16" s="135" t="n">
        <v>230</v>
      </c>
      <c r="W16" s="135" t="n">
        <v>348</v>
      </c>
      <c r="X16" s="135" t="n">
        <v>57</v>
      </c>
      <c r="Y16" s="135" t="n">
        <v>93</v>
      </c>
      <c r="Z16" s="135" t="n">
        <v>43</v>
      </c>
      <c r="AA16" s="135" t="n">
        <v>8</v>
      </c>
      <c r="AB16" s="135" t="n">
        <v>794</v>
      </c>
      <c r="AC16" s="135" t="n">
        <v>134</v>
      </c>
      <c r="AD16" s="135" t="n">
        <v>170</v>
      </c>
      <c r="AE16" s="135" t="n">
        <v>95</v>
      </c>
      <c r="AF16" s="135" t="n">
        <v>395</v>
      </c>
      <c r="AG16" s="135" t="n">
        <v>1956</v>
      </c>
      <c r="AH16" s="135" t="n">
        <v>371</v>
      </c>
      <c r="AI16" s="135" t="n">
        <v>417</v>
      </c>
      <c r="AJ16" s="135" t="n">
        <v>117</v>
      </c>
      <c r="AK16" s="135" t="n">
        <v>6</v>
      </c>
      <c r="AL16" s="135" t="n">
        <v>483</v>
      </c>
      <c r="AM16" s="135" t="n">
        <v>16</v>
      </c>
      <c r="AN16" s="135" t="n">
        <v>266</v>
      </c>
      <c r="AO16" s="135" t="n">
        <v>0</v>
      </c>
      <c r="AP16" s="135" t="n">
        <v>30</v>
      </c>
      <c r="AQ16" s="135" t="n">
        <v>134</v>
      </c>
      <c r="AR16" s="135" t="n">
        <v>463</v>
      </c>
      <c r="AS16" s="135" t="n">
        <v>370</v>
      </c>
      <c r="AT16" s="135" t="n">
        <v>93</v>
      </c>
      <c r="AU16" s="135" t="n">
        <v>160</v>
      </c>
      <c r="AV16" s="135" t="n">
        <v>124</v>
      </c>
      <c r="AW16" s="135" t="n">
        <v>163</v>
      </c>
      <c r="AX16" s="135" t="n">
        <v>239</v>
      </c>
      <c r="AY16" s="135" t="n">
        <v>103</v>
      </c>
      <c r="AZ16" s="135" t="n">
        <v>22</v>
      </c>
      <c r="BA16" s="136" t="n">
        <v>0.15</v>
      </c>
      <c r="BB16" s="136" t="n">
        <v>14.75</v>
      </c>
      <c r="BC16" s="136" t="n">
        <v>5856.11</v>
      </c>
      <c r="BD16" s="136" t="n">
        <v>58.58</v>
      </c>
      <c r="BE16" s="137" t="n">
        <v>7</v>
      </c>
      <c r="BF16" s="137" t="n">
        <v>61.3</v>
      </c>
      <c r="BG16" s="135" t="n">
        <v>192</v>
      </c>
      <c r="BH16" s="137" t="n">
        <v>24.1</v>
      </c>
      <c r="BI16" s="135" t="n">
        <v>603</v>
      </c>
      <c r="BJ16" s="137" t="n">
        <v>75.90000000000001</v>
      </c>
      <c r="BK16" s="137" t="n">
        <v>16.9</v>
      </c>
      <c r="BL16" s="135" t="n">
        <v>399</v>
      </c>
      <c r="BM16" s="137" t="n">
        <v>50.3</v>
      </c>
      <c r="BN16" s="136" t="n">
        <v>2.46</v>
      </c>
      <c r="BO16" s="135" t="n">
        <v>677</v>
      </c>
      <c r="BP16" s="137" t="n">
        <v>54.7</v>
      </c>
      <c r="BQ16" s="137" t="n">
        <v>46.7</v>
      </c>
      <c r="BR16" s="137" t="n">
        <v>14.7</v>
      </c>
      <c r="BS16" s="137" t="n">
        <v>28</v>
      </c>
      <c r="BT16" s="137" t="n">
        <v>16.8</v>
      </c>
      <c r="BU16" s="138" t="n">
        <v>58.3</v>
      </c>
    </row>
    <row r="17" ht="30" customHeight="1">
      <c r="A17" s="3" t="inlineStr">
        <is>
          <t>OUEST</t>
        </is>
      </c>
      <c r="B17" s="3" t="inlineStr">
        <is>
          <t>TRICHON</t>
        </is>
      </c>
      <c r="C17" s="3" t="inlineStr">
        <is>
          <t>Trichon</t>
        </is>
      </c>
      <c r="D17" s="135" t="n">
        <v>1443</v>
      </c>
      <c r="E17" s="135" t="n">
        <v>1265</v>
      </c>
      <c r="F17" s="135" t="n">
        <v>17</v>
      </c>
      <c r="G17" s="135" t="n">
        <v>161</v>
      </c>
      <c r="H17" s="135" t="n">
        <v>448</v>
      </c>
      <c r="I17" s="135" t="n">
        <v>973</v>
      </c>
      <c r="J17" s="135" t="n">
        <v>182</v>
      </c>
      <c r="K17" s="135" t="n">
        <v>323</v>
      </c>
      <c r="L17" s="135" t="n">
        <v>234</v>
      </c>
      <c r="M17" s="135" t="n">
        <v>160</v>
      </c>
      <c r="N17" s="135" t="n">
        <v>367</v>
      </c>
      <c r="O17" s="135" t="n">
        <v>105</v>
      </c>
      <c r="P17" s="135" t="n">
        <v>272</v>
      </c>
      <c r="Q17" s="135" t="n">
        <v>243</v>
      </c>
      <c r="R17" s="135" t="n">
        <v>229</v>
      </c>
      <c r="S17" s="135" t="n">
        <v>218</v>
      </c>
      <c r="T17" s="135" t="n">
        <v>72</v>
      </c>
      <c r="U17" s="135" t="n">
        <v>127</v>
      </c>
      <c r="V17" s="135" t="n">
        <v>245</v>
      </c>
      <c r="W17" s="135" t="n">
        <v>430</v>
      </c>
      <c r="X17" s="135" t="n">
        <v>128</v>
      </c>
      <c r="Y17" s="135" t="n">
        <v>230</v>
      </c>
      <c r="Z17" s="135" t="n">
        <v>67</v>
      </c>
      <c r="AA17" s="135" t="n">
        <v>162</v>
      </c>
      <c r="AB17" s="135" t="n">
        <v>1265</v>
      </c>
      <c r="AC17" s="135" t="n">
        <v>259</v>
      </c>
      <c r="AD17" s="135" t="n">
        <v>325</v>
      </c>
      <c r="AE17" s="135" t="n">
        <v>320</v>
      </c>
      <c r="AF17" s="135" t="n">
        <v>362</v>
      </c>
      <c r="AG17" s="135" t="n">
        <v>2869</v>
      </c>
      <c r="AH17" s="135" t="n">
        <v>313</v>
      </c>
      <c r="AI17" s="135" t="n">
        <v>938</v>
      </c>
      <c r="AJ17" s="135" t="n">
        <v>328</v>
      </c>
      <c r="AK17" s="135" t="n">
        <v>14</v>
      </c>
      <c r="AL17" s="135" t="n">
        <v>759</v>
      </c>
      <c r="AM17" s="135" t="n">
        <v>10</v>
      </c>
      <c r="AN17" s="135" t="n">
        <v>485</v>
      </c>
      <c r="AO17" s="135" t="n">
        <v>2</v>
      </c>
      <c r="AP17" s="135" t="n">
        <v>9</v>
      </c>
      <c r="AQ17" s="135" t="n">
        <v>332</v>
      </c>
      <c r="AR17" s="135" t="n">
        <v>675</v>
      </c>
      <c r="AS17" s="135" t="n">
        <v>505</v>
      </c>
      <c r="AT17" s="135" t="n">
        <v>170</v>
      </c>
      <c r="AU17" s="135" t="n">
        <v>458</v>
      </c>
      <c r="AV17" s="135" t="n">
        <v>243</v>
      </c>
      <c r="AW17" s="135" t="n">
        <v>121</v>
      </c>
      <c r="AX17" s="135" t="n">
        <v>212</v>
      </c>
      <c r="AY17" s="135" t="n">
        <v>244</v>
      </c>
      <c r="AZ17" s="135" t="n">
        <v>34</v>
      </c>
      <c r="BA17" s="136" t="n">
        <v>0.33</v>
      </c>
      <c r="BB17" s="136" t="n">
        <v>33.33</v>
      </c>
      <c r="BC17" s="136" t="n">
        <v>4330.47</v>
      </c>
      <c r="BD17" s="136" t="n">
        <v>43.31</v>
      </c>
      <c r="BE17" s="137" t="n">
        <v>11.2</v>
      </c>
      <c r="BF17" s="137" t="n">
        <v>31</v>
      </c>
      <c r="BG17" s="135" t="n">
        <v>504</v>
      </c>
      <c r="BH17" s="137" t="n">
        <v>39.9</v>
      </c>
      <c r="BI17" s="135" t="n">
        <v>761</v>
      </c>
      <c r="BJ17" s="137" t="n">
        <v>60.1</v>
      </c>
      <c r="BK17" s="137" t="n">
        <v>20.5</v>
      </c>
      <c r="BL17" s="135" t="n">
        <v>904</v>
      </c>
      <c r="BM17" s="137" t="n">
        <v>71.40000000000001</v>
      </c>
      <c r="BN17" s="136" t="n">
        <v>2.27</v>
      </c>
      <c r="BO17" s="135" t="n">
        <v>937</v>
      </c>
      <c r="BP17" s="137" t="n">
        <v>33.4</v>
      </c>
      <c r="BQ17" s="137" t="n">
        <v>24.8</v>
      </c>
      <c r="BR17" s="137" t="n">
        <v>25.9</v>
      </c>
      <c r="BS17" s="137" t="n">
        <v>34.9</v>
      </c>
      <c r="BT17" s="137" t="n">
        <v>26.2</v>
      </c>
      <c r="BU17" s="138" t="n">
        <v>53.3</v>
      </c>
    </row>
    <row r="18" ht="30" customHeight="1">
      <c r="A18" s="3" t="inlineStr">
        <is>
          <t>CENTRE</t>
        </is>
      </c>
      <c r="B18" s="3" t="inlineStr">
        <is>
          <t>ESPERANCE/CROUY/CENTRE VILLE</t>
        </is>
      </c>
      <c r="C18" s="3" t="inlineStr">
        <is>
          <t>Espérance Centre</t>
        </is>
      </c>
      <c r="D18" s="135" t="n">
        <v>2202</v>
      </c>
      <c r="E18" s="135" t="n">
        <v>1960</v>
      </c>
      <c r="F18" s="135" t="n">
        <v>43</v>
      </c>
      <c r="G18" s="135" t="n">
        <v>199</v>
      </c>
      <c r="H18" s="135" t="n">
        <v>215</v>
      </c>
      <c r="I18" s="135" t="n">
        <v>1967</v>
      </c>
      <c r="J18" s="135" t="n">
        <v>437</v>
      </c>
      <c r="K18" s="135" t="n">
        <v>673</v>
      </c>
      <c r="L18" s="135" t="n">
        <v>451</v>
      </c>
      <c r="M18" s="135" t="n">
        <v>212</v>
      </c>
      <c r="N18" s="135" t="n">
        <v>188</v>
      </c>
      <c r="O18" s="135" t="n">
        <v>309</v>
      </c>
      <c r="P18" s="135" t="n">
        <v>611</v>
      </c>
      <c r="Q18" s="135" t="n">
        <v>386</v>
      </c>
      <c r="R18" s="135" t="n">
        <v>389</v>
      </c>
      <c r="S18" s="135" t="n">
        <v>172</v>
      </c>
      <c r="T18" s="135" t="n">
        <v>43</v>
      </c>
      <c r="U18" s="135" t="n">
        <v>51</v>
      </c>
      <c r="V18" s="135" t="n">
        <v>99</v>
      </c>
      <c r="W18" s="135" t="n">
        <v>522</v>
      </c>
      <c r="X18" s="135" t="n">
        <v>251</v>
      </c>
      <c r="Y18" s="135" t="n">
        <v>79</v>
      </c>
      <c r="Z18" s="135" t="n">
        <v>290</v>
      </c>
      <c r="AA18" s="135" t="n">
        <v>547</v>
      </c>
      <c r="AB18" s="135" t="n">
        <v>1960</v>
      </c>
      <c r="AC18" s="135" t="n">
        <v>373</v>
      </c>
      <c r="AD18" s="135" t="n">
        <v>888</v>
      </c>
      <c r="AE18" s="135" t="n">
        <v>386</v>
      </c>
      <c r="AF18" s="135" t="n">
        <v>314</v>
      </c>
      <c r="AG18" s="135" t="n">
        <v>3510</v>
      </c>
      <c r="AH18" s="135" t="n">
        <v>214</v>
      </c>
      <c r="AI18" s="135" t="n">
        <v>1717</v>
      </c>
      <c r="AJ18" s="135" t="n">
        <v>575</v>
      </c>
      <c r="AK18" s="135" t="n">
        <v>29</v>
      </c>
      <c r="AL18" s="135" t="n">
        <v>722</v>
      </c>
      <c r="AM18" s="135" t="n">
        <v>9</v>
      </c>
      <c r="AN18" s="135" t="n">
        <v>1213</v>
      </c>
      <c r="AO18" s="135" t="n">
        <v>4</v>
      </c>
      <c r="AP18" s="135" t="n">
        <v>13</v>
      </c>
      <c r="AQ18" s="135" t="n">
        <v>649</v>
      </c>
      <c r="AR18" s="135" t="n">
        <v>851</v>
      </c>
      <c r="AS18" s="135" t="n">
        <v>717</v>
      </c>
      <c r="AT18" s="135" t="n">
        <v>134</v>
      </c>
      <c r="AU18" s="135" t="n">
        <v>784</v>
      </c>
      <c r="AV18" s="135" t="n">
        <v>441</v>
      </c>
      <c r="AW18" s="135" t="n">
        <v>69</v>
      </c>
      <c r="AX18" s="135" t="n">
        <v>135</v>
      </c>
      <c r="AY18" s="135" t="n">
        <v>510</v>
      </c>
      <c r="AZ18" s="135" t="n">
        <v>48</v>
      </c>
      <c r="BA18" s="136" t="n">
        <v>0.45</v>
      </c>
      <c r="BB18" s="136" t="n">
        <v>44.51</v>
      </c>
      <c r="BC18" s="136" t="n">
        <v>4948.8</v>
      </c>
      <c r="BD18" s="136" t="n">
        <v>49.48</v>
      </c>
      <c r="BE18" s="137" t="n">
        <v>9</v>
      </c>
      <c r="BF18" s="137" t="n">
        <v>9.800000000000001</v>
      </c>
      <c r="BG18" s="135" t="n">
        <v>1109</v>
      </c>
      <c r="BH18" s="137" t="n">
        <v>56.6</v>
      </c>
      <c r="BI18" s="135" t="n">
        <v>851</v>
      </c>
      <c r="BJ18" s="137" t="n">
        <v>43.4</v>
      </c>
      <c r="BK18" s="137" t="n">
        <v>19</v>
      </c>
      <c r="BL18" s="135" t="n">
        <v>1647</v>
      </c>
      <c r="BM18" s="137" t="n">
        <v>84</v>
      </c>
      <c r="BN18" s="136" t="n">
        <v>1.79</v>
      </c>
      <c r="BO18" s="135" t="n">
        <v>1385</v>
      </c>
      <c r="BP18" s="137" t="n">
        <v>15.5</v>
      </c>
      <c r="BQ18" s="137" t="n">
        <v>10.9</v>
      </c>
      <c r="BR18" s="137" t="n">
        <v>29.3</v>
      </c>
      <c r="BS18" s="137" t="n">
        <v>33.5</v>
      </c>
      <c r="BT18" s="137" t="n">
        <v>33.1</v>
      </c>
      <c r="BU18" s="138" t="n">
        <v>43.4</v>
      </c>
    </row>
    <row r="19" ht="30" customHeight="1">
      <c r="A19" s="3" t="inlineStr">
        <is>
          <t>CENTRE</t>
        </is>
      </c>
      <c r="B19" s="3" t="inlineStr">
        <is>
          <t>NATIONS UNIES</t>
        </is>
      </c>
      <c r="C19" s="3" t="inlineStr">
        <is>
          <t>Nations Unies</t>
        </is>
      </c>
      <c r="D19" s="135" t="n">
        <v>1702</v>
      </c>
      <c r="E19" s="135" t="n">
        <v>1406</v>
      </c>
      <c r="F19" s="135" t="n">
        <v>47</v>
      </c>
      <c r="G19" s="135" t="n">
        <v>249</v>
      </c>
      <c r="H19" s="135" t="n">
        <v>104</v>
      </c>
      <c r="I19" s="135" t="n">
        <v>1540</v>
      </c>
      <c r="J19" s="135" t="n">
        <v>208</v>
      </c>
      <c r="K19" s="135" t="n">
        <v>417</v>
      </c>
      <c r="L19" s="135" t="n">
        <v>451</v>
      </c>
      <c r="M19" s="135" t="n">
        <v>205</v>
      </c>
      <c r="N19" s="135" t="n">
        <v>125</v>
      </c>
      <c r="O19" s="135" t="n">
        <v>175</v>
      </c>
      <c r="P19" s="135" t="n">
        <v>202</v>
      </c>
      <c r="Q19" s="135" t="n">
        <v>458</v>
      </c>
      <c r="R19" s="135" t="n">
        <v>350</v>
      </c>
      <c r="S19" s="135" t="n">
        <v>128</v>
      </c>
      <c r="T19" s="135" t="n">
        <v>56</v>
      </c>
      <c r="U19" s="135" t="n">
        <v>36</v>
      </c>
      <c r="V19" s="135" t="n">
        <v>149</v>
      </c>
      <c r="W19" s="135" t="n">
        <v>263</v>
      </c>
      <c r="X19" s="135" t="n">
        <v>234</v>
      </c>
      <c r="Y19" s="135" t="n">
        <v>410</v>
      </c>
      <c r="Z19" s="135" t="n">
        <v>171</v>
      </c>
      <c r="AA19" s="135" t="n">
        <v>179</v>
      </c>
      <c r="AB19" s="135" t="n">
        <v>1406</v>
      </c>
      <c r="AC19" s="135" t="n">
        <v>253</v>
      </c>
      <c r="AD19" s="135" t="n">
        <v>368</v>
      </c>
      <c r="AE19" s="135" t="n">
        <v>265</v>
      </c>
      <c r="AF19" s="135" t="n">
        <v>520</v>
      </c>
      <c r="AG19" s="135" t="n">
        <v>2829</v>
      </c>
      <c r="AH19" s="135" t="n">
        <v>218</v>
      </c>
      <c r="AI19" s="135" t="n">
        <v>1176</v>
      </c>
      <c r="AJ19" s="135" t="n">
        <v>572</v>
      </c>
      <c r="AK19" s="135" t="n">
        <v>12</v>
      </c>
      <c r="AL19" s="135" t="n">
        <v>802</v>
      </c>
      <c r="AM19" s="135" t="n">
        <v>26</v>
      </c>
      <c r="AN19" s="135" t="n">
        <v>565</v>
      </c>
      <c r="AO19" s="135" t="n">
        <v>1</v>
      </c>
      <c r="AP19" s="135" t="n">
        <v>13</v>
      </c>
      <c r="AQ19" s="135" t="n">
        <v>272</v>
      </c>
      <c r="AR19" s="135" t="n">
        <v>713</v>
      </c>
      <c r="AS19" s="135" t="n">
        <v>556</v>
      </c>
      <c r="AT19" s="135" t="n">
        <v>157</v>
      </c>
      <c r="AU19" s="135" t="n">
        <v>541</v>
      </c>
      <c r="AV19" s="135" t="n">
        <v>342</v>
      </c>
      <c r="AW19" s="135" t="n">
        <v>112</v>
      </c>
      <c r="AX19" s="135" t="n">
        <v>66</v>
      </c>
      <c r="AY19" s="135" t="n">
        <v>379</v>
      </c>
      <c r="AZ19" s="135" t="n">
        <v>58</v>
      </c>
      <c r="BA19" s="136" t="n">
        <v>0.32</v>
      </c>
      <c r="BB19" s="136" t="n">
        <v>31.97</v>
      </c>
      <c r="BC19" s="136" t="n">
        <v>5323.17</v>
      </c>
      <c r="BD19" s="136" t="n">
        <v>53.24</v>
      </c>
      <c r="BE19" s="137" t="n">
        <v>14.6</v>
      </c>
      <c r="BF19" s="137" t="n">
        <v>6.1</v>
      </c>
      <c r="BG19" s="135" t="n">
        <v>625</v>
      </c>
      <c r="BH19" s="137" t="n">
        <v>44.5</v>
      </c>
      <c r="BI19" s="135" t="n">
        <v>781</v>
      </c>
      <c r="BJ19" s="137" t="n">
        <v>55.5</v>
      </c>
      <c r="BK19" s="137" t="n">
        <v>18</v>
      </c>
      <c r="BL19" s="135" t="n">
        <v>886</v>
      </c>
      <c r="BM19" s="137" t="n">
        <v>63</v>
      </c>
      <c r="BN19" s="136" t="n">
        <v>2.01</v>
      </c>
      <c r="BO19" s="135" t="n">
        <v>834</v>
      </c>
      <c r="BP19" s="137" t="n">
        <v>26.2</v>
      </c>
      <c r="BQ19" s="137" t="n">
        <v>15.5</v>
      </c>
      <c r="BR19" s="137" t="n">
        <v>40.7</v>
      </c>
      <c r="BS19" s="137" t="n">
        <v>48.7</v>
      </c>
      <c r="BT19" s="137" t="n">
        <v>19.4</v>
      </c>
      <c r="BU19" s="138" t="n">
        <v>50.7</v>
      </c>
    </row>
    <row r="20" ht="30" customHeight="1">
      <c r="A20" s="3" t="inlineStr">
        <is>
          <t>CENTRE</t>
        </is>
      </c>
      <c r="B20" s="3" t="inlineStr">
        <is>
          <t>ANSEELE MOTTE BOSSUT</t>
        </is>
      </c>
      <c r="C20" s="3" t="inlineStr">
        <is>
          <t>Anseele</t>
        </is>
      </c>
      <c r="D20" s="135" t="n">
        <v>1901</v>
      </c>
      <c r="E20" s="135" t="n">
        <v>1766</v>
      </c>
      <c r="F20" s="135" t="n">
        <v>6</v>
      </c>
      <c r="G20" s="135" t="n">
        <v>130</v>
      </c>
      <c r="H20" s="135" t="n">
        <v>26</v>
      </c>
      <c r="I20" s="135" t="n">
        <v>1861</v>
      </c>
      <c r="J20" s="135" t="n">
        <v>283</v>
      </c>
      <c r="K20" s="135" t="n">
        <v>367</v>
      </c>
      <c r="L20" s="135" t="n">
        <v>602</v>
      </c>
      <c r="M20" s="135" t="n">
        <v>322</v>
      </c>
      <c r="N20" s="135" t="n">
        <v>192</v>
      </c>
      <c r="O20" s="135" t="n">
        <v>197</v>
      </c>
      <c r="P20" s="135" t="n">
        <v>227</v>
      </c>
      <c r="Q20" s="135" t="n">
        <v>421</v>
      </c>
      <c r="R20" s="135" t="n">
        <v>551</v>
      </c>
      <c r="S20" s="135" t="n">
        <v>272</v>
      </c>
      <c r="T20" s="135" t="n">
        <v>85</v>
      </c>
      <c r="U20" s="135" t="n">
        <v>13</v>
      </c>
      <c r="V20" s="135" t="n">
        <v>15</v>
      </c>
      <c r="W20" s="135" t="n">
        <v>84</v>
      </c>
      <c r="X20" s="135" t="n">
        <v>495</v>
      </c>
      <c r="Y20" s="135" t="n">
        <v>757</v>
      </c>
      <c r="Z20" s="135" t="n">
        <v>116</v>
      </c>
      <c r="AA20" s="135" t="n">
        <v>297</v>
      </c>
      <c r="AB20" s="135" t="n">
        <v>1766</v>
      </c>
      <c r="AC20" s="135" t="n">
        <v>292</v>
      </c>
      <c r="AD20" s="135" t="n">
        <v>512</v>
      </c>
      <c r="AE20" s="135" t="n">
        <v>418</v>
      </c>
      <c r="AF20" s="135" t="n">
        <v>544</v>
      </c>
      <c r="AG20" s="135" t="n">
        <v>3982</v>
      </c>
      <c r="AH20" s="135" t="n">
        <v>179</v>
      </c>
      <c r="AI20" s="135" t="n">
        <v>1581</v>
      </c>
      <c r="AJ20" s="135" t="n">
        <v>1138</v>
      </c>
      <c r="AK20" s="135" t="n">
        <v>6</v>
      </c>
      <c r="AL20" s="135" t="n">
        <v>1518</v>
      </c>
      <c r="AM20" s="135" t="n">
        <v>51</v>
      </c>
      <c r="AN20" s="135" t="n">
        <v>191</v>
      </c>
      <c r="AO20" s="135" t="n">
        <v>1</v>
      </c>
      <c r="AP20" s="135" t="n">
        <v>5</v>
      </c>
      <c r="AQ20" s="135" t="n">
        <v>359</v>
      </c>
      <c r="AR20" s="135" t="n">
        <v>997</v>
      </c>
      <c r="AS20" s="135" t="n">
        <v>802</v>
      </c>
      <c r="AT20" s="135" t="n">
        <v>195</v>
      </c>
      <c r="AU20" s="135" t="n">
        <v>573</v>
      </c>
      <c r="AV20" s="135" t="n">
        <v>389</v>
      </c>
      <c r="AW20" s="135" t="n">
        <v>108</v>
      </c>
      <c r="AX20" s="135" t="n">
        <v>45</v>
      </c>
      <c r="AY20" s="135" t="n">
        <v>282</v>
      </c>
      <c r="AZ20" s="135" t="n">
        <v>40</v>
      </c>
      <c r="BA20" s="136" t="n">
        <v>0.29</v>
      </c>
      <c r="BB20" s="136" t="n">
        <v>28.72</v>
      </c>
      <c r="BC20" s="136" t="n">
        <v>6621.58</v>
      </c>
      <c r="BD20" s="136" t="n">
        <v>66.20999999999999</v>
      </c>
      <c r="BE20" s="137" t="n">
        <v>6.8</v>
      </c>
      <c r="BF20" s="137" t="n">
        <v>1.3</v>
      </c>
      <c r="BG20" s="135" t="n">
        <v>650</v>
      </c>
      <c r="BH20" s="137" t="n">
        <v>36.8</v>
      </c>
      <c r="BI20" s="135" t="n">
        <v>1116</v>
      </c>
      <c r="BJ20" s="137" t="n">
        <v>63.2</v>
      </c>
      <c r="BK20" s="137" t="n">
        <v>16.5</v>
      </c>
      <c r="BL20" s="135" t="n">
        <v>1222</v>
      </c>
      <c r="BM20" s="137" t="n">
        <v>69.2</v>
      </c>
      <c r="BN20" s="136" t="n">
        <v>2.25</v>
      </c>
      <c r="BO20" s="135" t="n">
        <v>628</v>
      </c>
      <c r="BP20" s="137" t="n">
        <v>28.4</v>
      </c>
      <c r="BQ20" s="137" t="n">
        <v>10.1</v>
      </c>
      <c r="BR20" s="137" t="n">
        <v>64.40000000000001</v>
      </c>
      <c r="BS20" s="137" t="n">
        <v>71.90000000000001</v>
      </c>
      <c r="BT20" s="137" t="n">
        <v>20.3</v>
      </c>
      <c r="BU20" s="138" t="n">
        <v>56.4</v>
      </c>
    </row>
    <row r="21" ht="30" customHeight="1">
      <c r="A21" s="3" t="inlineStr">
        <is>
          <t>CENTRE</t>
        </is>
      </c>
      <c r="B21" s="3" t="inlineStr">
        <is>
          <t>VAUBAN</t>
        </is>
      </c>
      <c r="C21" s="3" t="inlineStr">
        <is>
          <t>Barbieux-Vauban</t>
        </is>
      </c>
      <c r="D21" s="135" t="n">
        <v>2221</v>
      </c>
      <c r="E21" s="135" t="n">
        <v>2007</v>
      </c>
      <c r="F21" s="135" t="n">
        <v>15</v>
      </c>
      <c r="G21" s="135" t="n">
        <v>199</v>
      </c>
      <c r="H21" s="135" t="n">
        <v>465</v>
      </c>
      <c r="I21" s="135" t="n">
        <v>1735</v>
      </c>
      <c r="J21" s="135" t="n">
        <v>119</v>
      </c>
      <c r="K21" s="135" t="n">
        <v>364</v>
      </c>
      <c r="L21" s="135" t="n">
        <v>467</v>
      </c>
      <c r="M21" s="135" t="n">
        <v>402</v>
      </c>
      <c r="N21" s="135" t="n">
        <v>655</v>
      </c>
      <c r="O21" s="135" t="n">
        <v>140</v>
      </c>
      <c r="P21" s="135" t="n">
        <v>136</v>
      </c>
      <c r="Q21" s="135" t="n">
        <v>307</v>
      </c>
      <c r="R21" s="135" t="n">
        <v>485</v>
      </c>
      <c r="S21" s="135" t="n">
        <v>353</v>
      </c>
      <c r="T21" s="135" t="n">
        <v>191</v>
      </c>
      <c r="U21" s="135" t="n">
        <v>394</v>
      </c>
      <c r="V21" s="135" t="n">
        <v>245</v>
      </c>
      <c r="W21" s="135" t="n">
        <v>340</v>
      </c>
      <c r="X21" s="135" t="n">
        <v>731</v>
      </c>
      <c r="Y21" s="135" t="n">
        <v>484</v>
      </c>
      <c r="Z21" s="135" t="n">
        <v>59</v>
      </c>
      <c r="AA21" s="135" t="n">
        <v>146</v>
      </c>
      <c r="AB21" s="135" t="n">
        <v>2007</v>
      </c>
      <c r="AC21" s="135" t="n">
        <v>346</v>
      </c>
      <c r="AD21" s="135" t="n">
        <v>514</v>
      </c>
      <c r="AE21" s="135" t="n">
        <v>407</v>
      </c>
      <c r="AF21" s="135" t="n">
        <v>739</v>
      </c>
      <c r="AG21" s="135" t="n">
        <v>3641</v>
      </c>
      <c r="AH21" s="135" t="n">
        <v>1189</v>
      </c>
      <c r="AI21" s="135" t="n">
        <v>777</v>
      </c>
      <c r="AJ21" s="135" t="n">
        <v>52</v>
      </c>
      <c r="AK21" s="135" t="n">
        <v>41</v>
      </c>
      <c r="AL21" s="135" t="n">
        <v>1392</v>
      </c>
      <c r="AM21" s="135" t="n">
        <v>53</v>
      </c>
      <c r="AN21" s="135" t="n">
        <v>489</v>
      </c>
      <c r="AO21" s="135" t="n">
        <v>10</v>
      </c>
      <c r="AP21" s="135" t="n">
        <v>62</v>
      </c>
      <c r="AQ21" s="135" t="n">
        <v>1279</v>
      </c>
      <c r="AR21" s="135" t="n">
        <v>1514</v>
      </c>
      <c r="AS21" s="135" t="n">
        <v>1119</v>
      </c>
      <c r="AT21" s="135" t="n">
        <v>395</v>
      </c>
      <c r="AU21" s="135" t="n">
        <v>501</v>
      </c>
      <c r="AV21" s="135" t="n">
        <v>486</v>
      </c>
      <c r="AW21" s="135" t="n">
        <v>384</v>
      </c>
      <c r="AX21" s="135" t="n">
        <v>590</v>
      </c>
      <c r="AY21" s="135" t="n">
        <v>150</v>
      </c>
      <c r="AZ21" s="135" t="n">
        <v>4</v>
      </c>
      <c r="BA21" s="136" t="n">
        <v>0.91</v>
      </c>
      <c r="BB21" s="136" t="n">
        <v>90.87</v>
      </c>
      <c r="BC21" s="136" t="n">
        <v>2444.56</v>
      </c>
      <c r="BD21" s="136" t="n">
        <v>24.45</v>
      </c>
      <c r="BE21" s="137" t="n">
        <v>9</v>
      </c>
      <c r="BF21" s="137" t="n">
        <v>20.9</v>
      </c>
      <c r="BG21" s="135" t="n">
        <v>483</v>
      </c>
      <c r="BH21" s="137" t="n">
        <v>24.1</v>
      </c>
      <c r="BI21" s="135" t="n">
        <v>1524</v>
      </c>
      <c r="BJ21" s="137" t="n">
        <v>75.90000000000001</v>
      </c>
      <c r="BK21" s="137" t="n">
        <v>17.2</v>
      </c>
      <c r="BL21" s="135" t="n">
        <v>1267</v>
      </c>
      <c r="BM21" s="137" t="n">
        <v>63.1</v>
      </c>
      <c r="BN21" s="136" t="n">
        <v>1.81</v>
      </c>
      <c r="BO21" s="135" t="n">
        <v>1954</v>
      </c>
      <c r="BP21" s="137" t="n">
        <v>60.8</v>
      </c>
      <c r="BQ21" s="137" t="n">
        <v>59.2</v>
      </c>
      <c r="BR21" s="137" t="n">
        <v>2.6</v>
      </c>
      <c r="BS21" s="137" t="n">
        <v>6.8</v>
      </c>
      <c r="BT21" s="137" t="n">
        <v>63.8</v>
      </c>
      <c r="BU21" s="138" t="n">
        <v>75.5</v>
      </c>
    </row>
    <row r="22" ht="30" customHeight="1">
      <c r="A22" s="3" t="inlineStr">
        <is>
          <t>SUD</t>
        </is>
      </c>
      <c r="B22" s="3" t="inlineStr">
        <is>
          <t>BARBIEUX</t>
        </is>
      </c>
      <c r="C22" s="3" t="inlineStr">
        <is>
          <t>Barbieux Sud</t>
        </is>
      </c>
      <c r="D22" s="135" t="n">
        <v>1361</v>
      </c>
      <c r="E22" s="135" t="n">
        <v>1267</v>
      </c>
      <c r="F22" s="135" t="n">
        <v>4</v>
      </c>
      <c r="G22" s="135" t="n">
        <v>90</v>
      </c>
      <c r="H22" s="135" t="n">
        <v>453</v>
      </c>
      <c r="I22" s="135" t="n">
        <v>901</v>
      </c>
      <c r="J22" s="135" t="n">
        <v>138</v>
      </c>
      <c r="K22" s="135" t="n">
        <v>185</v>
      </c>
      <c r="L22" s="135" t="n">
        <v>280</v>
      </c>
      <c r="M22" s="135" t="n">
        <v>186</v>
      </c>
      <c r="N22" s="135" t="n">
        <v>479</v>
      </c>
      <c r="O22" s="135" t="n">
        <v>88</v>
      </c>
      <c r="P22" s="135" t="n">
        <v>101</v>
      </c>
      <c r="Q22" s="135" t="n">
        <v>226</v>
      </c>
      <c r="R22" s="135" t="n">
        <v>219</v>
      </c>
      <c r="S22" s="135" t="n">
        <v>224</v>
      </c>
      <c r="T22" s="135" t="n">
        <v>198</v>
      </c>
      <c r="U22" s="135" t="n">
        <v>210</v>
      </c>
      <c r="V22" s="135" t="n">
        <v>46</v>
      </c>
      <c r="W22" s="135" t="n">
        <v>147</v>
      </c>
      <c r="X22" s="135" t="n">
        <v>232</v>
      </c>
      <c r="Y22" s="135" t="n">
        <v>584</v>
      </c>
      <c r="Z22" s="135" t="n">
        <v>138</v>
      </c>
      <c r="AA22" s="135" t="n">
        <v>118</v>
      </c>
      <c r="AB22" s="135" t="n">
        <v>1267</v>
      </c>
      <c r="AC22" s="135" t="n">
        <v>108</v>
      </c>
      <c r="AD22" s="135" t="n">
        <v>367</v>
      </c>
      <c r="AE22" s="135" t="n">
        <v>241</v>
      </c>
      <c r="AF22" s="135" t="n">
        <v>551</v>
      </c>
      <c r="AG22" s="135" t="n">
        <v>2331</v>
      </c>
      <c r="AH22" s="135" t="n">
        <v>690</v>
      </c>
      <c r="AI22" s="135" t="n">
        <v>554</v>
      </c>
      <c r="AJ22" s="135" t="n">
        <v>104</v>
      </c>
      <c r="AK22" s="135" t="n">
        <v>23</v>
      </c>
      <c r="AL22" s="135" t="n">
        <v>738</v>
      </c>
      <c r="AM22" s="135" t="n">
        <v>23</v>
      </c>
      <c r="AN22" s="135" t="n">
        <v>487</v>
      </c>
      <c r="AO22" s="135" t="n">
        <v>7</v>
      </c>
      <c r="AP22" s="135" t="n">
        <v>11</v>
      </c>
      <c r="AQ22" s="135" t="n">
        <v>859</v>
      </c>
      <c r="AR22" s="135" t="n">
        <v>930</v>
      </c>
      <c r="AS22" s="135" t="n">
        <v>591</v>
      </c>
      <c r="AT22" s="135" t="n">
        <v>339</v>
      </c>
      <c r="AU22" s="135" t="n">
        <v>277</v>
      </c>
      <c r="AV22" s="135" t="n">
        <v>314</v>
      </c>
      <c r="AW22" s="135" t="n">
        <v>215</v>
      </c>
      <c r="AX22" s="135" t="n">
        <v>385</v>
      </c>
      <c r="AY22" s="135" t="n">
        <v>179</v>
      </c>
      <c r="AZ22" s="135" t="n">
        <v>5</v>
      </c>
      <c r="BA22" s="136" t="n">
        <v>0.5600000000000001</v>
      </c>
      <c r="BB22" s="136" t="n">
        <v>55.71</v>
      </c>
      <c r="BC22" s="136" t="n">
        <v>2443.71</v>
      </c>
      <c r="BD22" s="136" t="n">
        <v>24.44</v>
      </c>
      <c r="BE22" s="137" t="n">
        <v>6.6</v>
      </c>
      <c r="BF22" s="137" t="n">
        <v>33.3</v>
      </c>
      <c r="BG22" s="135" t="n">
        <v>323</v>
      </c>
      <c r="BH22" s="137" t="n">
        <v>25.5</v>
      </c>
      <c r="BI22" s="135" t="n">
        <v>944</v>
      </c>
      <c r="BJ22" s="137" t="n">
        <v>74.5</v>
      </c>
      <c r="BK22" s="137" t="n">
        <v>8.5</v>
      </c>
      <c r="BL22" s="135" t="n">
        <v>717</v>
      </c>
      <c r="BM22" s="137" t="n">
        <v>56.5</v>
      </c>
      <c r="BN22" s="136" t="n">
        <v>1.84</v>
      </c>
      <c r="BO22" s="135" t="n">
        <v>1163</v>
      </c>
      <c r="BP22" s="137" t="n">
        <v>59.3</v>
      </c>
      <c r="BQ22" s="137" t="n">
        <v>54.4</v>
      </c>
      <c r="BR22" s="137" t="n">
        <v>8.199999999999999</v>
      </c>
      <c r="BS22" s="137" t="n">
        <v>18.7</v>
      </c>
      <c r="BT22" s="137" t="n">
        <v>67.8</v>
      </c>
      <c r="BU22" s="138" t="n">
        <v>73.40000000000001</v>
      </c>
    </row>
    <row r="23" ht="30" customHeight="1">
      <c r="A23" s="3" t="inlineStr">
        <is>
          <t>SUD</t>
        </is>
      </c>
      <c r="B23" s="3" t="inlineStr">
        <is>
          <t>EDOUARD VAILLANT</t>
        </is>
      </c>
      <c r="C23" s="3" t="inlineStr">
        <is>
          <t>Édouard Vaillant</t>
        </is>
      </c>
      <c r="D23" s="135" t="n">
        <v>2013</v>
      </c>
      <c r="E23" s="135" t="n">
        <v>1870</v>
      </c>
      <c r="F23" s="135" t="n">
        <v>24</v>
      </c>
      <c r="G23" s="135" t="n">
        <v>119</v>
      </c>
      <c r="H23" s="135" t="n">
        <v>1046</v>
      </c>
      <c r="I23" s="135" t="n">
        <v>941</v>
      </c>
      <c r="J23" s="135" t="n">
        <v>121</v>
      </c>
      <c r="K23" s="135" t="n">
        <v>274</v>
      </c>
      <c r="L23" s="135" t="n">
        <v>399</v>
      </c>
      <c r="M23" s="135" t="n">
        <v>355</v>
      </c>
      <c r="N23" s="135" t="n">
        <v>722</v>
      </c>
      <c r="O23" s="135" t="n">
        <v>239</v>
      </c>
      <c r="P23" s="135" t="n">
        <v>73</v>
      </c>
      <c r="Q23" s="135" t="n">
        <v>361</v>
      </c>
      <c r="R23" s="135" t="n">
        <v>393</v>
      </c>
      <c r="S23" s="135" t="n">
        <v>442</v>
      </c>
      <c r="T23" s="135" t="n">
        <v>208</v>
      </c>
      <c r="U23" s="135" t="n">
        <v>155</v>
      </c>
      <c r="V23" s="135" t="n">
        <v>48</v>
      </c>
      <c r="W23" s="135" t="n">
        <v>470</v>
      </c>
      <c r="X23" s="135" t="n">
        <v>413</v>
      </c>
      <c r="Y23" s="135" t="n">
        <v>179</v>
      </c>
      <c r="Z23" s="135" t="n">
        <v>83</v>
      </c>
      <c r="AA23" s="135" t="n">
        <v>666</v>
      </c>
      <c r="AB23" s="135" t="n">
        <v>1870</v>
      </c>
      <c r="AC23" s="135" t="n">
        <v>368</v>
      </c>
      <c r="AD23" s="135" t="n">
        <v>431</v>
      </c>
      <c r="AE23" s="135" t="n">
        <v>444</v>
      </c>
      <c r="AF23" s="135" t="n">
        <v>627</v>
      </c>
      <c r="AG23" s="135" t="n">
        <v>4214</v>
      </c>
      <c r="AH23" s="135" t="n">
        <v>832</v>
      </c>
      <c r="AI23" s="135" t="n">
        <v>1022</v>
      </c>
      <c r="AJ23" s="135" t="n">
        <v>332</v>
      </c>
      <c r="AK23" s="135" t="n">
        <v>17</v>
      </c>
      <c r="AL23" s="135" t="n">
        <v>1418</v>
      </c>
      <c r="AM23" s="135" t="n">
        <v>18</v>
      </c>
      <c r="AN23" s="135" t="n">
        <v>399</v>
      </c>
      <c r="AO23" s="135" t="n">
        <v>0</v>
      </c>
      <c r="AP23" s="135" t="n">
        <v>35</v>
      </c>
      <c r="AQ23" s="135" t="n">
        <v>962</v>
      </c>
      <c r="AR23" s="135" t="n">
        <v>1356</v>
      </c>
      <c r="AS23" s="135" t="n">
        <v>877</v>
      </c>
      <c r="AT23" s="135" t="n">
        <v>479</v>
      </c>
      <c r="AU23" s="135" t="n">
        <v>453</v>
      </c>
      <c r="AV23" s="135" t="n">
        <v>546</v>
      </c>
      <c r="AW23" s="135" t="n">
        <v>299</v>
      </c>
      <c r="AX23" s="135" t="n">
        <v>490</v>
      </c>
      <c r="AY23" s="135" t="n">
        <v>216</v>
      </c>
      <c r="AZ23" s="135" t="n">
        <v>13</v>
      </c>
      <c r="BA23" s="136" t="n">
        <v>0.53</v>
      </c>
      <c r="BB23" s="136" t="n">
        <v>53.33</v>
      </c>
      <c r="BC23" s="136" t="n">
        <v>3775.55</v>
      </c>
      <c r="BD23" s="136" t="n">
        <v>37.76</v>
      </c>
      <c r="BE23" s="137" t="n">
        <v>5.9</v>
      </c>
      <c r="BF23" s="137" t="n">
        <v>51.9</v>
      </c>
      <c r="BG23" s="135" t="n">
        <v>395</v>
      </c>
      <c r="BH23" s="137" t="n">
        <v>21.1</v>
      </c>
      <c r="BI23" s="135" t="n">
        <v>1476</v>
      </c>
      <c r="BJ23" s="137" t="n">
        <v>78.90000000000001</v>
      </c>
      <c r="BK23" s="137" t="n">
        <v>19.7</v>
      </c>
      <c r="BL23" s="135" t="n">
        <v>1243</v>
      </c>
      <c r="BM23" s="137" t="n">
        <v>66.5</v>
      </c>
      <c r="BN23" s="136" t="n">
        <v>2.25</v>
      </c>
      <c r="BO23" s="135" t="n">
        <v>1538</v>
      </c>
      <c r="BP23" s="137" t="n">
        <v>54.1</v>
      </c>
      <c r="BQ23" s="137" t="n">
        <v>44.5</v>
      </c>
      <c r="BR23" s="137" t="n">
        <v>17.8</v>
      </c>
      <c r="BS23" s="137" t="n">
        <v>32.5</v>
      </c>
      <c r="BT23" s="137" t="n">
        <v>51.4</v>
      </c>
      <c r="BU23" s="138" t="n">
        <v>72.5</v>
      </c>
    </row>
    <row r="24" ht="30" customHeight="1">
      <c r="A24" s="3" t="inlineStr">
        <is>
          <t>SUD</t>
        </is>
      </c>
      <c r="B24" s="3" t="inlineStr">
        <is>
          <t>MOULIN</t>
        </is>
      </c>
      <c r="C24" s="3" t="inlineStr">
        <is>
          <t>Moulin Nord</t>
        </is>
      </c>
      <c r="D24" s="135" t="n">
        <v>1021</v>
      </c>
      <c r="E24" s="135" t="n">
        <v>851</v>
      </c>
      <c r="F24" s="135" t="n">
        <v>3</v>
      </c>
      <c r="G24" s="135" t="n">
        <v>166</v>
      </c>
      <c r="H24" s="135" t="n">
        <v>749</v>
      </c>
      <c r="I24" s="135" t="n">
        <v>267</v>
      </c>
      <c r="J24" s="135" t="n">
        <v>63</v>
      </c>
      <c r="K24" s="135" t="n">
        <v>85</v>
      </c>
      <c r="L24" s="135" t="n">
        <v>120</v>
      </c>
      <c r="M24" s="135" t="n">
        <v>192</v>
      </c>
      <c r="N24" s="135" t="n">
        <v>391</v>
      </c>
      <c r="O24" s="135" t="n">
        <v>80</v>
      </c>
      <c r="P24" s="135" t="n">
        <v>38</v>
      </c>
      <c r="Q24" s="135" t="n">
        <v>117</v>
      </c>
      <c r="R24" s="135" t="n">
        <v>198</v>
      </c>
      <c r="S24" s="135" t="n">
        <v>261</v>
      </c>
      <c r="T24" s="135" t="n">
        <v>91</v>
      </c>
      <c r="U24" s="135" t="n">
        <v>65</v>
      </c>
      <c r="V24" s="135" t="n">
        <v>77</v>
      </c>
      <c r="W24" s="135" t="n">
        <v>591</v>
      </c>
      <c r="X24" s="135" t="n">
        <v>87</v>
      </c>
      <c r="Y24" s="135" t="n">
        <v>19</v>
      </c>
      <c r="Z24" s="135" t="n">
        <v>21</v>
      </c>
      <c r="AA24" s="135" t="n">
        <v>36</v>
      </c>
      <c r="AB24" s="135" t="n">
        <v>851</v>
      </c>
      <c r="AC24" s="135" t="n">
        <v>134</v>
      </c>
      <c r="AD24" s="135" t="n">
        <v>169</v>
      </c>
      <c r="AE24" s="135" t="n">
        <v>140</v>
      </c>
      <c r="AF24" s="135" t="n">
        <v>408</v>
      </c>
      <c r="AG24" s="135" t="n">
        <v>2318</v>
      </c>
      <c r="AH24" s="135" t="n">
        <v>395</v>
      </c>
      <c r="AI24" s="135" t="n">
        <v>439</v>
      </c>
      <c r="AJ24" s="135" t="n">
        <v>77</v>
      </c>
      <c r="AK24" s="135" t="n">
        <v>17</v>
      </c>
      <c r="AL24" s="135" t="n">
        <v>514</v>
      </c>
      <c r="AM24" s="135" t="n">
        <v>22</v>
      </c>
      <c r="AN24" s="135" t="n">
        <v>281</v>
      </c>
      <c r="AO24" s="135" t="n">
        <v>3</v>
      </c>
      <c r="AP24" s="135" t="n">
        <v>31</v>
      </c>
      <c r="AQ24" s="135" t="n">
        <v>132</v>
      </c>
      <c r="AR24" s="135" t="n">
        <v>548</v>
      </c>
      <c r="AS24" s="135" t="n">
        <v>391</v>
      </c>
      <c r="AT24" s="135" t="n">
        <v>157</v>
      </c>
      <c r="AU24" s="135" t="n">
        <v>202</v>
      </c>
      <c r="AV24" s="135" t="n">
        <v>203</v>
      </c>
      <c r="AW24" s="135" t="n">
        <v>182</v>
      </c>
      <c r="AX24" s="135" t="n">
        <v>167</v>
      </c>
      <c r="AY24" s="135" t="n">
        <v>124</v>
      </c>
      <c r="AZ24" s="135" t="n">
        <v>16</v>
      </c>
      <c r="BA24" s="136" t="n">
        <v>0.16</v>
      </c>
      <c r="BB24" s="136" t="n">
        <v>15.87</v>
      </c>
      <c r="BC24" s="136" t="n">
        <v>6429.13</v>
      </c>
      <c r="BD24" s="136" t="n">
        <v>64.3</v>
      </c>
      <c r="BE24" s="137" t="n">
        <v>16.3</v>
      </c>
      <c r="BF24" s="137" t="n">
        <v>73.40000000000001</v>
      </c>
      <c r="BG24" s="135" t="n">
        <v>148</v>
      </c>
      <c r="BH24" s="137" t="n">
        <v>17.4</v>
      </c>
      <c r="BI24" s="135" t="n">
        <v>703</v>
      </c>
      <c r="BJ24" s="137" t="n">
        <v>82.59999999999999</v>
      </c>
      <c r="BK24" s="137" t="n">
        <v>15.7</v>
      </c>
      <c r="BL24" s="135" t="n">
        <v>443</v>
      </c>
      <c r="BM24" s="137" t="n">
        <v>52.1</v>
      </c>
      <c r="BN24" s="136" t="n">
        <v>2.72</v>
      </c>
      <c r="BO24" s="135" t="n">
        <v>775</v>
      </c>
      <c r="BP24" s="137" t="n">
        <v>51</v>
      </c>
      <c r="BQ24" s="137" t="n">
        <v>46.4</v>
      </c>
      <c r="BR24" s="137" t="n">
        <v>9</v>
      </c>
      <c r="BS24" s="137" t="n">
        <v>17.4</v>
      </c>
      <c r="BT24" s="137" t="n">
        <v>15.5</v>
      </c>
      <c r="BU24" s="138" t="n">
        <v>64.40000000000001</v>
      </c>
    </row>
    <row r="25" ht="30" customHeight="1">
      <c r="A25" s="3" t="inlineStr">
        <is>
          <t>SUD</t>
        </is>
      </c>
      <c r="B25" s="3" t="inlineStr">
        <is>
          <t>MOULIN</t>
        </is>
      </c>
      <c r="C25" s="3" t="inlineStr">
        <is>
          <t>Moulin Sud</t>
        </is>
      </c>
      <c r="D25" s="135" t="n">
        <v>872</v>
      </c>
      <c r="E25" s="135" t="n">
        <v>783</v>
      </c>
      <c r="F25" s="135" t="n">
        <v>8</v>
      </c>
      <c r="G25" s="135" t="n">
        <v>81</v>
      </c>
      <c r="H25" s="135" t="n">
        <v>749</v>
      </c>
      <c r="I25" s="135" t="n">
        <v>119</v>
      </c>
      <c r="J25" s="135" t="n">
        <v>21</v>
      </c>
      <c r="K25" s="135" t="n">
        <v>79</v>
      </c>
      <c r="L25" s="135" t="n">
        <v>111</v>
      </c>
      <c r="M25" s="135" t="n">
        <v>203</v>
      </c>
      <c r="N25" s="135" t="n">
        <v>369</v>
      </c>
      <c r="O25" s="135" t="n">
        <v>18</v>
      </c>
      <c r="P25" s="135" t="n">
        <v>42</v>
      </c>
      <c r="Q25" s="135" t="n">
        <v>117</v>
      </c>
      <c r="R25" s="135" t="n">
        <v>229</v>
      </c>
      <c r="S25" s="135" t="n">
        <v>255</v>
      </c>
      <c r="T25" s="135" t="n">
        <v>81</v>
      </c>
      <c r="U25" s="135" t="n">
        <v>40</v>
      </c>
      <c r="V25" s="135" t="n">
        <v>70</v>
      </c>
      <c r="W25" s="135" t="n">
        <v>575</v>
      </c>
      <c r="X25" s="135" t="n">
        <v>37</v>
      </c>
      <c r="Y25" s="135" t="n">
        <v>57</v>
      </c>
      <c r="Z25" s="135" t="n">
        <v>8</v>
      </c>
      <c r="AA25" s="135" t="n">
        <v>36</v>
      </c>
      <c r="AB25" s="135" t="n">
        <v>783</v>
      </c>
      <c r="AC25" s="135" t="n">
        <v>103</v>
      </c>
      <c r="AD25" s="135" t="n">
        <v>159</v>
      </c>
      <c r="AE25" s="135" t="n">
        <v>150</v>
      </c>
      <c r="AF25" s="135" t="n">
        <v>370</v>
      </c>
      <c r="AG25" s="135" t="n">
        <v>2091</v>
      </c>
      <c r="AH25" s="135" t="n">
        <v>453</v>
      </c>
      <c r="AI25" s="135" t="n">
        <v>324</v>
      </c>
      <c r="AJ25" s="135" t="n">
        <v>67</v>
      </c>
      <c r="AK25" s="135" t="n">
        <v>6</v>
      </c>
      <c r="AL25" s="135" t="n">
        <v>536</v>
      </c>
      <c r="AM25" s="135" t="n">
        <v>7</v>
      </c>
      <c r="AN25" s="135" t="n">
        <v>202</v>
      </c>
      <c r="AO25" s="135" t="n">
        <v>5</v>
      </c>
      <c r="AP25" s="135" t="n">
        <v>33</v>
      </c>
      <c r="AQ25" s="135" t="n">
        <v>103</v>
      </c>
      <c r="AR25" s="135" t="n">
        <v>494</v>
      </c>
      <c r="AS25" s="135" t="n">
        <v>369</v>
      </c>
      <c r="AT25" s="135" t="n">
        <v>125</v>
      </c>
      <c r="AU25" s="135" t="n">
        <v>126</v>
      </c>
      <c r="AV25" s="135" t="n">
        <v>203</v>
      </c>
      <c r="AW25" s="135" t="n">
        <v>198</v>
      </c>
      <c r="AX25" s="135" t="n">
        <v>183</v>
      </c>
      <c r="AY25" s="135" t="n">
        <v>41</v>
      </c>
      <c r="AZ25" s="135" t="n">
        <v>6</v>
      </c>
      <c r="BA25" s="136" t="n">
        <v>0.17</v>
      </c>
      <c r="BB25" s="136" t="n">
        <v>17.15</v>
      </c>
      <c r="BC25" s="136" t="n">
        <v>5080.49</v>
      </c>
      <c r="BD25" s="136" t="n">
        <v>50.82</v>
      </c>
      <c r="BE25" s="137" t="n">
        <v>9.300000000000001</v>
      </c>
      <c r="BF25" s="137" t="n">
        <v>85.90000000000001</v>
      </c>
      <c r="BG25" s="135" t="n">
        <v>99</v>
      </c>
      <c r="BH25" s="137" t="n">
        <v>12.7</v>
      </c>
      <c r="BI25" s="135" t="n">
        <v>683</v>
      </c>
      <c r="BJ25" s="137" t="n">
        <v>87.3</v>
      </c>
      <c r="BK25" s="137" t="n">
        <v>13.2</v>
      </c>
      <c r="BL25" s="135" t="n">
        <v>412</v>
      </c>
      <c r="BM25" s="137" t="n">
        <v>52.7</v>
      </c>
      <c r="BN25" s="136" t="n">
        <v>2.67</v>
      </c>
      <c r="BO25" s="135" t="n">
        <v>715</v>
      </c>
      <c r="BP25" s="137" t="n">
        <v>63.4</v>
      </c>
      <c r="BQ25" s="137" t="n">
        <v>57.9</v>
      </c>
      <c r="BR25" s="137" t="n">
        <v>8.6</v>
      </c>
      <c r="BS25" s="137" t="n">
        <v>20.8</v>
      </c>
      <c r="BT25" s="137" t="n">
        <v>13.2</v>
      </c>
      <c r="BU25" s="138" t="n">
        <v>63.1</v>
      </c>
    </row>
    <row r="26" ht="30" customHeight="1">
      <c r="A26" s="3" t="inlineStr">
        <is>
          <t>SUD</t>
        </is>
      </c>
      <c r="B26" s="3" t="inlineStr">
        <is>
          <t>POTENNERIE</t>
        </is>
      </c>
      <c r="C26" s="3" t="inlineStr">
        <is>
          <t>Potennerie</t>
        </is>
      </c>
      <c r="D26" s="135" t="n">
        <v>1452</v>
      </c>
      <c r="E26" s="135" t="n">
        <v>1357</v>
      </c>
      <c r="F26" s="135" t="n">
        <v>9</v>
      </c>
      <c r="G26" s="135" t="n">
        <v>86</v>
      </c>
      <c r="H26" s="135" t="n">
        <v>536</v>
      </c>
      <c r="I26" s="135" t="n">
        <v>916</v>
      </c>
      <c r="J26" s="135" t="n">
        <v>17</v>
      </c>
      <c r="K26" s="135" t="n">
        <v>145</v>
      </c>
      <c r="L26" s="135" t="n">
        <v>501</v>
      </c>
      <c r="M26" s="135" t="n">
        <v>204</v>
      </c>
      <c r="N26" s="135" t="n">
        <v>490</v>
      </c>
      <c r="O26" s="135" t="n">
        <v>9</v>
      </c>
      <c r="P26" s="135" t="n">
        <v>101</v>
      </c>
      <c r="Q26" s="135" t="n">
        <v>369</v>
      </c>
      <c r="R26" s="135" t="n">
        <v>283</v>
      </c>
      <c r="S26" s="135" t="n">
        <v>222</v>
      </c>
      <c r="T26" s="135" t="n">
        <v>163</v>
      </c>
      <c r="U26" s="135" t="n">
        <v>212</v>
      </c>
      <c r="V26" s="135" t="n">
        <v>50</v>
      </c>
      <c r="W26" s="135" t="n">
        <v>429</v>
      </c>
      <c r="X26" s="135" t="n">
        <v>465</v>
      </c>
      <c r="Y26" s="135" t="n">
        <v>125</v>
      </c>
      <c r="Z26" s="135" t="n">
        <v>50</v>
      </c>
      <c r="AA26" s="135" t="n">
        <v>228</v>
      </c>
      <c r="AB26" s="135" t="n">
        <v>1357</v>
      </c>
      <c r="AC26" s="135" t="n">
        <v>131</v>
      </c>
      <c r="AD26" s="135" t="n">
        <v>314</v>
      </c>
      <c r="AE26" s="135" t="n">
        <v>343</v>
      </c>
      <c r="AF26" s="135" t="n">
        <v>569</v>
      </c>
      <c r="AG26" s="135" t="n">
        <v>3230</v>
      </c>
      <c r="AH26" s="135" t="n">
        <v>521</v>
      </c>
      <c r="AI26" s="135" t="n">
        <v>818</v>
      </c>
      <c r="AJ26" s="135" t="n">
        <v>529</v>
      </c>
      <c r="AK26" s="135" t="n">
        <v>18</v>
      </c>
      <c r="AL26" s="135" t="n">
        <v>1029</v>
      </c>
      <c r="AM26" s="135" t="n">
        <v>14</v>
      </c>
      <c r="AN26" s="135" t="n">
        <v>251</v>
      </c>
      <c r="AO26" s="135" t="n">
        <v>6</v>
      </c>
      <c r="AP26" s="135" t="n">
        <v>57</v>
      </c>
      <c r="AQ26" s="135" t="n">
        <v>648</v>
      </c>
      <c r="AR26" s="135" t="n">
        <v>1010</v>
      </c>
      <c r="AS26" s="135" t="n">
        <v>750</v>
      </c>
      <c r="AT26" s="135" t="n">
        <v>259</v>
      </c>
      <c r="AU26" s="135" t="n">
        <v>334</v>
      </c>
      <c r="AV26" s="135" t="n">
        <v>444</v>
      </c>
      <c r="AW26" s="135" t="n">
        <v>192</v>
      </c>
      <c r="AX26" s="135" t="n">
        <v>335</v>
      </c>
      <c r="AY26" s="135" t="n">
        <v>140</v>
      </c>
      <c r="AZ26" s="135" t="n">
        <v>12</v>
      </c>
      <c r="BA26" s="136" t="n">
        <v>0.37</v>
      </c>
      <c r="BB26" s="136" t="n">
        <v>36.54</v>
      </c>
      <c r="BC26" s="136" t="n">
        <v>3973.42</v>
      </c>
      <c r="BD26" s="136" t="n">
        <v>39.74</v>
      </c>
      <c r="BE26" s="137" t="n">
        <v>5.9</v>
      </c>
      <c r="BF26" s="137" t="n">
        <v>36.9</v>
      </c>
      <c r="BG26" s="135" t="n">
        <v>163</v>
      </c>
      <c r="BH26" s="137" t="n">
        <v>12</v>
      </c>
      <c r="BI26" s="135" t="n">
        <v>1194</v>
      </c>
      <c r="BJ26" s="137" t="n">
        <v>88</v>
      </c>
      <c r="BK26" s="137" t="n">
        <v>9.699999999999999</v>
      </c>
      <c r="BL26" s="135" t="n">
        <v>788</v>
      </c>
      <c r="BM26" s="137" t="n">
        <v>58.1</v>
      </c>
      <c r="BN26" s="136" t="n">
        <v>2.38</v>
      </c>
      <c r="BO26" s="135" t="n">
        <v>829</v>
      </c>
      <c r="BP26" s="137" t="n">
        <v>62.9</v>
      </c>
      <c r="BQ26" s="137" t="n">
        <v>38.4</v>
      </c>
      <c r="BR26" s="137" t="n">
        <v>39</v>
      </c>
      <c r="BS26" s="137" t="n">
        <v>64.59999999999999</v>
      </c>
      <c r="BT26" s="137" t="n">
        <v>47.8</v>
      </c>
      <c r="BU26" s="138" t="n">
        <v>74.40000000000001</v>
      </c>
    </row>
    <row r="27" ht="30" customHeight="1">
      <c r="A27" s="3" t="inlineStr">
        <is>
          <t>EST</t>
        </is>
      </c>
      <c r="B27" s="3" t="inlineStr">
        <is>
          <t>STE ELISABETH</t>
        </is>
      </c>
      <c r="C27" s="3" t="inlineStr">
        <is>
          <t>Sainte-Élisabeth Centre</t>
        </is>
      </c>
      <c r="D27" s="135" t="n">
        <v>883</v>
      </c>
      <c r="E27" s="135" t="n">
        <v>788</v>
      </c>
      <c r="F27" s="135" t="n">
        <v>4</v>
      </c>
      <c r="G27" s="135" t="n">
        <v>90</v>
      </c>
      <c r="H27" s="135" t="n">
        <v>645</v>
      </c>
      <c r="I27" s="135" t="n">
        <v>237</v>
      </c>
      <c r="J27" s="135" t="n">
        <v>12</v>
      </c>
      <c r="K27" s="135" t="n">
        <v>96</v>
      </c>
      <c r="L27" s="135" t="n">
        <v>109</v>
      </c>
      <c r="M27" s="135" t="n">
        <v>212</v>
      </c>
      <c r="N27" s="135" t="n">
        <v>359</v>
      </c>
      <c r="O27" s="135" t="n">
        <v>3</v>
      </c>
      <c r="P27" s="135" t="n">
        <v>67</v>
      </c>
      <c r="Q27" s="135" t="n">
        <v>144</v>
      </c>
      <c r="R27" s="135" t="n">
        <v>213</v>
      </c>
      <c r="S27" s="135" t="n">
        <v>260</v>
      </c>
      <c r="T27" s="135" t="n">
        <v>65</v>
      </c>
      <c r="U27" s="135" t="n">
        <v>37</v>
      </c>
      <c r="V27" s="135" t="n">
        <v>54</v>
      </c>
      <c r="W27" s="135" t="n">
        <v>491</v>
      </c>
      <c r="X27" s="135" t="n">
        <v>92</v>
      </c>
      <c r="Y27" s="135" t="n">
        <v>47</v>
      </c>
      <c r="Z27" s="135" t="n">
        <v>15</v>
      </c>
      <c r="AA27" s="135" t="n">
        <v>89</v>
      </c>
      <c r="AB27" s="135" t="n">
        <v>788</v>
      </c>
      <c r="AC27" s="135" t="n">
        <v>101</v>
      </c>
      <c r="AD27" s="135" t="n">
        <v>149</v>
      </c>
      <c r="AE27" s="135" t="n">
        <v>183</v>
      </c>
      <c r="AF27" s="135" t="n">
        <v>355</v>
      </c>
      <c r="AG27" s="135" t="n">
        <v>2310</v>
      </c>
      <c r="AH27" s="135" t="n">
        <v>319</v>
      </c>
      <c r="AI27" s="135" t="n">
        <v>459</v>
      </c>
      <c r="AJ27" s="135" t="n">
        <v>171</v>
      </c>
      <c r="AK27" s="135" t="n">
        <v>10</v>
      </c>
      <c r="AL27" s="135" t="n">
        <v>545</v>
      </c>
      <c r="AM27" s="135" t="n">
        <v>7</v>
      </c>
      <c r="AN27" s="135" t="n">
        <v>219</v>
      </c>
      <c r="AO27" s="135" t="n">
        <v>0</v>
      </c>
      <c r="AP27" s="135" t="n">
        <v>18</v>
      </c>
      <c r="AQ27" s="135" t="n">
        <v>171</v>
      </c>
      <c r="AR27" s="135" t="n">
        <v>488</v>
      </c>
      <c r="AS27" s="135" t="n">
        <v>382</v>
      </c>
      <c r="AT27" s="135" t="n">
        <v>106</v>
      </c>
      <c r="AU27" s="135" t="n">
        <v>214</v>
      </c>
      <c r="AV27" s="135" t="n">
        <v>188</v>
      </c>
      <c r="AW27" s="135" t="n">
        <v>134</v>
      </c>
      <c r="AX27" s="135" t="n">
        <v>164</v>
      </c>
      <c r="AY27" s="135" t="n">
        <v>59</v>
      </c>
      <c r="AZ27" s="135" t="n">
        <v>23</v>
      </c>
      <c r="BA27" s="136" t="n">
        <v>0.16</v>
      </c>
      <c r="BB27" s="136" t="n">
        <v>15.6</v>
      </c>
      <c r="BC27" s="136" t="n">
        <v>5657.21</v>
      </c>
      <c r="BD27" s="136" t="n">
        <v>56.57</v>
      </c>
      <c r="BE27" s="137" t="n">
        <v>10.2</v>
      </c>
      <c r="BF27" s="137" t="n">
        <v>73.09999999999999</v>
      </c>
      <c r="BG27" s="135" t="n">
        <v>108</v>
      </c>
      <c r="BH27" s="137" t="n">
        <v>13.7</v>
      </c>
      <c r="BI27" s="135" t="n">
        <v>680</v>
      </c>
      <c r="BJ27" s="137" t="n">
        <v>86.3</v>
      </c>
      <c r="BK27" s="137" t="n">
        <v>12.8</v>
      </c>
      <c r="BL27" s="135" t="n">
        <v>433</v>
      </c>
      <c r="BM27" s="137" t="n">
        <v>55</v>
      </c>
      <c r="BN27" s="136" t="n">
        <v>2.93</v>
      </c>
      <c r="BO27" s="135" t="n">
        <v>617</v>
      </c>
      <c r="BP27" s="137" t="n">
        <v>51.7</v>
      </c>
      <c r="BQ27" s="137" t="n">
        <v>40.5</v>
      </c>
      <c r="BR27" s="137" t="n">
        <v>21.7</v>
      </c>
      <c r="BS27" s="137" t="n">
        <v>37.3</v>
      </c>
      <c r="BT27" s="137" t="n">
        <v>21.7</v>
      </c>
      <c r="BU27" s="138" t="n">
        <v>61.9</v>
      </c>
    </row>
    <row r="28" ht="30" customHeight="1">
      <c r="A28" s="3" t="inlineStr">
        <is>
          <t>EST</t>
        </is>
      </c>
      <c r="B28" s="3" t="inlineStr">
        <is>
          <t>STE ELISABETH</t>
        </is>
      </c>
      <c r="C28" s="3" t="inlineStr">
        <is>
          <t>Sainte-Élisabeth Sud</t>
        </is>
      </c>
      <c r="D28" s="135" t="n">
        <v>810</v>
      </c>
      <c r="E28" s="135" t="n">
        <v>738</v>
      </c>
      <c r="F28" s="135" t="n">
        <v>0</v>
      </c>
      <c r="G28" s="135" t="n">
        <v>71</v>
      </c>
      <c r="H28" s="135" t="n">
        <v>500</v>
      </c>
      <c r="I28" s="135" t="n">
        <v>310</v>
      </c>
      <c r="J28" s="135" t="n">
        <v>7</v>
      </c>
      <c r="K28" s="135" t="n">
        <v>24</v>
      </c>
      <c r="L28" s="135" t="n">
        <v>233</v>
      </c>
      <c r="M28" s="135" t="n">
        <v>181</v>
      </c>
      <c r="N28" s="135" t="n">
        <v>293</v>
      </c>
      <c r="O28" s="135" t="n">
        <v>7</v>
      </c>
      <c r="P28" s="135" t="n">
        <v>20</v>
      </c>
      <c r="Q28" s="135" t="n">
        <v>158</v>
      </c>
      <c r="R28" s="135" t="n">
        <v>260</v>
      </c>
      <c r="S28" s="135" t="n">
        <v>187</v>
      </c>
      <c r="T28" s="135" t="n">
        <v>73</v>
      </c>
      <c r="U28" s="135" t="n">
        <v>32</v>
      </c>
      <c r="V28" s="135" t="n">
        <v>68</v>
      </c>
      <c r="W28" s="135" t="n">
        <v>308</v>
      </c>
      <c r="X28" s="135" t="n">
        <v>172</v>
      </c>
      <c r="Y28" s="135" t="n">
        <v>70</v>
      </c>
      <c r="Z28" s="135" t="n">
        <v>109</v>
      </c>
      <c r="AA28" s="135" t="n">
        <v>10</v>
      </c>
      <c r="AB28" s="135" t="n">
        <v>738</v>
      </c>
      <c r="AC28" s="135" t="n">
        <v>56</v>
      </c>
      <c r="AD28" s="135" t="n">
        <v>117</v>
      </c>
      <c r="AE28" s="135" t="n">
        <v>172</v>
      </c>
      <c r="AF28" s="135" t="n">
        <v>393</v>
      </c>
      <c r="AG28" s="135" t="n">
        <v>2145</v>
      </c>
      <c r="AH28" s="135" t="n">
        <v>326</v>
      </c>
      <c r="AI28" s="135" t="n">
        <v>399</v>
      </c>
      <c r="AJ28" s="135" t="n">
        <v>224</v>
      </c>
      <c r="AK28" s="135" t="n">
        <v>14</v>
      </c>
      <c r="AL28" s="135" t="n">
        <v>556</v>
      </c>
      <c r="AM28" s="135" t="n">
        <v>4</v>
      </c>
      <c r="AN28" s="135" t="n">
        <v>139</v>
      </c>
      <c r="AO28" s="135" t="n">
        <v>4</v>
      </c>
      <c r="AP28" s="135" t="n">
        <v>35</v>
      </c>
      <c r="AQ28" s="135" t="n">
        <v>176</v>
      </c>
      <c r="AR28" s="135" t="n">
        <v>521</v>
      </c>
      <c r="AS28" s="135" t="n">
        <v>370</v>
      </c>
      <c r="AT28" s="135" t="n">
        <v>151</v>
      </c>
      <c r="AU28" s="135" t="n">
        <v>181</v>
      </c>
      <c r="AV28" s="135" t="n">
        <v>220</v>
      </c>
      <c r="AW28" s="135" t="n">
        <v>137</v>
      </c>
      <c r="AX28" s="135" t="n">
        <v>153</v>
      </c>
      <c r="AY28" s="135" t="n">
        <v>105</v>
      </c>
      <c r="AZ28" s="135" t="n">
        <v>14</v>
      </c>
      <c r="BA28" s="136" t="n">
        <v>0.14</v>
      </c>
      <c r="BB28" s="136" t="n">
        <v>14.42</v>
      </c>
      <c r="BC28" s="136" t="n">
        <v>5614.32</v>
      </c>
      <c r="BD28" s="136" t="n">
        <v>56.14</v>
      </c>
      <c r="BE28" s="137" t="n">
        <v>8.800000000000001</v>
      </c>
      <c r="BF28" s="137" t="n">
        <v>61.7</v>
      </c>
      <c r="BG28" s="135" t="n">
        <v>31</v>
      </c>
      <c r="BH28" s="137" t="n">
        <v>4.2</v>
      </c>
      <c r="BI28" s="135" t="n">
        <v>707</v>
      </c>
      <c r="BJ28" s="137" t="n">
        <v>95.8</v>
      </c>
      <c r="BK28" s="137" t="n">
        <v>7.6</v>
      </c>
      <c r="BL28" s="135" t="n">
        <v>345</v>
      </c>
      <c r="BM28" s="137" t="n">
        <v>46.7</v>
      </c>
      <c r="BN28" s="136" t="n">
        <v>2.91</v>
      </c>
      <c r="BO28" s="135" t="n">
        <v>514</v>
      </c>
      <c r="BP28" s="137" t="n">
        <v>63.4</v>
      </c>
      <c r="BQ28" s="137" t="n">
        <v>44.1</v>
      </c>
      <c r="BR28" s="137" t="n">
        <v>30.4</v>
      </c>
      <c r="BS28" s="137" t="n">
        <v>56.3</v>
      </c>
      <c r="BT28" s="137" t="n">
        <v>23.8</v>
      </c>
      <c r="BU28" s="138" t="n">
        <v>70.59999999999999</v>
      </c>
    </row>
    <row r="29" ht="30" customHeight="1">
      <c r="A29" s="3" t="inlineStr">
        <is>
          <t>EST</t>
        </is>
      </c>
      <c r="B29" s="3" t="inlineStr">
        <is>
          <t>STE ELISABETH</t>
        </is>
      </c>
      <c r="C29" s="3" t="inlineStr">
        <is>
          <t>Sainte-Élisabeth Nord</t>
        </is>
      </c>
      <c r="D29" s="135" t="n">
        <v>1372</v>
      </c>
      <c r="E29" s="135" t="n">
        <v>1202</v>
      </c>
      <c r="F29" s="135" t="n">
        <v>3</v>
      </c>
      <c r="G29" s="135" t="n">
        <v>167</v>
      </c>
      <c r="H29" s="135" t="n">
        <v>604</v>
      </c>
      <c r="I29" s="135" t="n">
        <v>768</v>
      </c>
      <c r="J29" s="135" t="n">
        <v>51</v>
      </c>
      <c r="K29" s="135" t="n">
        <v>332</v>
      </c>
      <c r="L29" s="135" t="n">
        <v>245</v>
      </c>
      <c r="M29" s="135" t="n">
        <v>197</v>
      </c>
      <c r="N29" s="135" t="n">
        <v>377</v>
      </c>
      <c r="O29" s="135" t="n">
        <v>55</v>
      </c>
      <c r="P29" s="135" t="n">
        <v>187</v>
      </c>
      <c r="Q29" s="135" t="n">
        <v>307</v>
      </c>
      <c r="R29" s="135" t="n">
        <v>297</v>
      </c>
      <c r="S29" s="135" t="n">
        <v>212</v>
      </c>
      <c r="T29" s="135" t="n">
        <v>62</v>
      </c>
      <c r="U29" s="135" t="n">
        <v>81</v>
      </c>
      <c r="V29" s="135" t="n">
        <v>82</v>
      </c>
      <c r="W29" s="135" t="n">
        <v>630</v>
      </c>
      <c r="X29" s="135" t="n">
        <v>255</v>
      </c>
      <c r="Y29" s="135" t="n">
        <v>183</v>
      </c>
      <c r="Z29" s="135" t="n">
        <v>23</v>
      </c>
      <c r="AA29" s="135" t="n">
        <v>25</v>
      </c>
      <c r="AB29" s="135" t="n">
        <v>1202</v>
      </c>
      <c r="AC29" s="135" t="n">
        <v>139</v>
      </c>
      <c r="AD29" s="135" t="n">
        <v>306</v>
      </c>
      <c r="AE29" s="135" t="n">
        <v>291</v>
      </c>
      <c r="AF29" s="135" t="n">
        <v>466</v>
      </c>
      <c r="AG29" s="135" t="n">
        <v>2772</v>
      </c>
      <c r="AH29" s="135" t="n">
        <v>369</v>
      </c>
      <c r="AI29" s="135" t="n">
        <v>826</v>
      </c>
      <c r="AJ29" s="135" t="n">
        <v>378</v>
      </c>
      <c r="AK29" s="135" t="n">
        <v>6</v>
      </c>
      <c r="AL29" s="135" t="n">
        <v>702</v>
      </c>
      <c r="AM29" s="135" t="n">
        <v>23</v>
      </c>
      <c r="AN29" s="135" t="n">
        <v>438</v>
      </c>
      <c r="AO29" s="135" t="n">
        <v>5</v>
      </c>
      <c r="AP29" s="135" t="n">
        <v>33</v>
      </c>
      <c r="AQ29" s="135" t="n">
        <v>210</v>
      </c>
      <c r="AR29" s="135" t="n">
        <v>666</v>
      </c>
      <c r="AS29" s="135" t="n">
        <v>550</v>
      </c>
      <c r="AT29" s="135" t="n">
        <v>115</v>
      </c>
      <c r="AU29" s="135" t="n">
        <v>411</v>
      </c>
      <c r="AV29" s="135" t="n">
        <v>267</v>
      </c>
      <c r="AW29" s="135" t="n">
        <v>184</v>
      </c>
      <c r="AX29" s="135" t="n">
        <v>188</v>
      </c>
      <c r="AY29" s="135" t="n">
        <v>125</v>
      </c>
      <c r="AZ29" s="135" t="n">
        <v>15</v>
      </c>
      <c r="BA29" s="136" t="n">
        <v>0.22</v>
      </c>
      <c r="BB29" s="136" t="n">
        <v>22.04</v>
      </c>
      <c r="BC29" s="136" t="n">
        <v>6225.65</v>
      </c>
      <c r="BD29" s="136" t="n">
        <v>62.25</v>
      </c>
      <c r="BE29" s="137" t="n">
        <v>12.2</v>
      </c>
      <c r="BF29" s="137" t="n">
        <v>44.1</v>
      </c>
      <c r="BG29" s="135" t="n">
        <v>383</v>
      </c>
      <c r="BH29" s="137" t="n">
        <v>31.9</v>
      </c>
      <c r="BI29" s="135" t="n">
        <v>819</v>
      </c>
      <c r="BJ29" s="137" t="n">
        <v>68.09999999999999</v>
      </c>
      <c r="BK29" s="137" t="n">
        <v>11.6</v>
      </c>
      <c r="BL29" s="135" t="n">
        <v>736</v>
      </c>
      <c r="BM29" s="137" t="n">
        <v>61.2</v>
      </c>
      <c r="BN29" s="136" t="n">
        <v>2.31</v>
      </c>
      <c r="BO29" s="135" t="n">
        <v>824</v>
      </c>
      <c r="BP29" s="137" t="n">
        <v>44.8</v>
      </c>
      <c r="BQ29" s="137" t="n">
        <v>30.7</v>
      </c>
      <c r="BR29" s="137" t="n">
        <v>31.4</v>
      </c>
      <c r="BS29" s="137" t="n">
        <v>45.7</v>
      </c>
      <c r="BT29" s="137" t="n">
        <v>17.4</v>
      </c>
      <c r="BU29" s="138" t="n">
        <v>55.4</v>
      </c>
    </row>
    <row r="30" ht="30" customHeight="1">
      <c r="A30" s="3" t="inlineStr">
        <is>
          <t>EST</t>
        </is>
      </c>
      <c r="B30" s="3" t="inlineStr">
        <is>
          <t>PILE</t>
        </is>
      </c>
      <c r="C30" s="3" t="inlineStr">
        <is>
          <t>Pile Est</t>
        </is>
      </c>
      <c r="D30" s="135" t="n">
        <v>815</v>
      </c>
      <c r="E30" s="135" t="n">
        <v>741</v>
      </c>
      <c r="F30" s="135" t="n">
        <v>7</v>
      </c>
      <c r="G30" s="135" t="n">
        <v>67</v>
      </c>
      <c r="H30" s="135" t="n">
        <v>587</v>
      </c>
      <c r="I30" s="135" t="n">
        <v>171</v>
      </c>
      <c r="J30" s="135" t="n">
        <v>71</v>
      </c>
      <c r="K30" s="135" t="n">
        <v>115</v>
      </c>
      <c r="L30" s="135" t="n">
        <v>118</v>
      </c>
      <c r="M30" s="135" t="n">
        <v>162</v>
      </c>
      <c r="N30" s="135" t="n">
        <v>275</v>
      </c>
      <c r="O30" s="135" t="n">
        <v>71</v>
      </c>
      <c r="P30" s="135" t="n">
        <v>63</v>
      </c>
      <c r="Q30" s="135" t="n">
        <v>129</v>
      </c>
      <c r="R30" s="135" t="n">
        <v>183</v>
      </c>
      <c r="S30" s="135" t="n">
        <v>211</v>
      </c>
      <c r="T30" s="135" t="n">
        <v>68</v>
      </c>
      <c r="U30" s="135" t="n">
        <v>17</v>
      </c>
      <c r="V30" s="135" t="n">
        <v>16</v>
      </c>
      <c r="W30" s="135" t="n">
        <v>487</v>
      </c>
      <c r="X30" s="135" t="n">
        <v>100</v>
      </c>
      <c r="Y30" s="135" t="n">
        <v>61</v>
      </c>
      <c r="Z30" s="135" t="n">
        <v>58</v>
      </c>
      <c r="AA30" s="135" t="n">
        <v>19</v>
      </c>
      <c r="AB30" s="135" t="n">
        <v>741</v>
      </c>
      <c r="AC30" s="135" t="n">
        <v>97</v>
      </c>
      <c r="AD30" s="135" t="n">
        <v>126</v>
      </c>
      <c r="AE30" s="135" t="n">
        <v>172</v>
      </c>
      <c r="AF30" s="135" t="n">
        <v>346</v>
      </c>
      <c r="AG30" s="135" t="n">
        <v>2137</v>
      </c>
      <c r="AH30" s="135" t="n">
        <v>264</v>
      </c>
      <c r="AI30" s="135" t="n">
        <v>468</v>
      </c>
      <c r="AJ30" s="135" t="n">
        <v>167</v>
      </c>
      <c r="AK30" s="135" t="n">
        <v>10</v>
      </c>
      <c r="AL30" s="135" t="n">
        <v>579</v>
      </c>
      <c r="AM30" s="135" t="n">
        <v>3</v>
      </c>
      <c r="AN30" s="135" t="n">
        <v>143</v>
      </c>
      <c r="AO30" s="135" t="n">
        <v>1</v>
      </c>
      <c r="AP30" s="135" t="n">
        <v>15</v>
      </c>
      <c r="AQ30" s="135" t="n">
        <v>147</v>
      </c>
      <c r="AR30" s="135" t="n">
        <v>399</v>
      </c>
      <c r="AS30" s="135" t="n">
        <v>305</v>
      </c>
      <c r="AT30" s="135" t="n">
        <v>95</v>
      </c>
      <c r="AU30" s="135" t="n">
        <v>223</v>
      </c>
      <c r="AV30" s="135" t="n">
        <v>177</v>
      </c>
      <c r="AW30" s="135" t="n">
        <v>94</v>
      </c>
      <c r="AX30" s="135" t="n">
        <v>114</v>
      </c>
      <c r="AY30" s="135" t="n">
        <v>153</v>
      </c>
      <c r="AZ30" s="135" t="n">
        <v>29</v>
      </c>
      <c r="BA30" s="136" t="n">
        <v>0.2</v>
      </c>
      <c r="BB30" s="136" t="n">
        <v>19.88</v>
      </c>
      <c r="BC30" s="136" t="n">
        <v>4099.09</v>
      </c>
      <c r="BD30" s="136" t="n">
        <v>41</v>
      </c>
      <c r="BE30" s="137" t="n">
        <v>8.199999999999999</v>
      </c>
      <c r="BF30" s="137" t="n">
        <v>72</v>
      </c>
      <c r="BG30" s="135" t="n">
        <v>186</v>
      </c>
      <c r="BH30" s="137" t="n">
        <v>25</v>
      </c>
      <c r="BI30" s="135" t="n">
        <v>555</v>
      </c>
      <c r="BJ30" s="137" t="n">
        <v>75</v>
      </c>
      <c r="BK30" s="137" t="n">
        <v>13.1</v>
      </c>
      <c r="BL30" s="135" t="n">
        <v>395</v>
      </c>
      <c r="BM30" s="137" t="n">
        <v>53.3</v>
      </c>
      <c r="BN30" s="136" t="n">
        <v>2.88</v>
      </c>
      <c r="BO30" s="135" t="n">
        <v>574</v>
      </c>
      <c r="BP30" s="137" t="n">
        <v>45.9</v>
      </c>
      <c r="BQ30" s="137" t="n">
        <v>35.6</v>
      </c>
      <c r="BR30" s="137" t="n">
        <v>22.5</v>
      </c>
      <c r="BS30" s="137" t="n">
        <v>35.7</v>
      </c>
      <c r="BT30" s="137" t="n">
        <v>19.8</v>
      </c>
      <c r="BU30" s="138" t="n">
        <v>53.9</v>
      </c>
    </row>
    <row r="31" ht="30" customHeight="1">
      <c r="A31" s="3" t="inlineStr">
        <is>
          <t>EST</t>
        </is>
      </c>
      <c r="B31" s="3" t="inlineStr">
        <is>
          <t>PILE</t>
        </is>
      </c>
      <c r="C31" s="3" t="inlineStr">
        <is>
          <t>Pile Centre</t>
        </is>
      </c>
      <c r="D31" s="135" t="n">
        <v>922</v>
      </c>
      <c r="E31" s="135" t="n">
        <v>812</v>
      </c>
      <c r="F31" s="135" t="n">
        <v>0</v>
      </c>
      <c r="G31" s="135" t="n">
        <v>109</v>
      </c>
      <c r="H31" s="135" t="n">
        <v>626</v>
      </c>
      <c r="I31" s="135" t="n">
        <v>296</v>
      </c>
      <c r="J31" s="135" t="n">
        <v>11</v>
      </c>
      <c r="K31" s="135" t="n">
        <v>61</v>
      </c>
      <c r="L31" s="135" t="n">
        <v>156</v>
      </c>
      <c r="M31" s="135" t="n">
        <v>265</v>
      </c>
      <c r="N31" s="135" t="n">
        <v>318</v>
      </c>
      <c r="O31" s="135" t="n">
        <v>3</v>
      </c>
      <c r="P31" s="135" t="n">
        <v>35</v>
      </c>
      <c r="Q31" s="135" t="n">
        <v>118</v>
      </c>
      <c r="R31" s="135" t="n">
        <v>232</v>
      </c>
      <c r="S31" s="135" t="n">
        <v>283</v>
      </c>
      <c r="T31" s="135" t="n">
        <v>87</v>
      </c>
      <c r="U31" s="135" t="n">
        <v>54</v>
      </c>
      <c r="V31" s="135" t="n">
        <v>41</v>
      </c>
      <c r="W31" s="135" t="n">
        <v>480</v>
      </c>
      <c r="X31" s="135" t="n">
        <v>46</v>
      </c>
      <c r="Y31" s="135" t="n">
        <v>16</v>
      </c>
      <c r="Z31" s="135" t="n">
        <v>33</v>
      </c>
      <c r="AA31" s="135" t="n">
        <v>189</v>
      </c>
      <c r="AB31" s="135" t="n">
        <v>812</v>
      </c>
      <c r="AC31" s="135" t="n">
        <v>104</v>
      </c>
      <c r="AD31" s="135" t="n">
        <v>188</v>
      </c>
      <c r="AE31" s="135" t="n">
        <v>197</v>
      </c>
      <c r="AF31" s="135" t="n">
        <v>323</v>
      </c>
      <c r="AG31" s="135" t="n">
        <v>2552</v>
      </c>
      <c r="AH31" s="135" t="n">
        <v>303</v>
      </c>
      <c r="AI31" s="135" t="n">
        <v>495</v>
      </c>
      <c r="AJ31" s="135" t="n">
        <v>174</v>
      </c>
      <c r="AK31" s="135" t="n">
        <v>14</v>
      </c>
      <c r="AL31" s="135" t="n">
        <v>419</v>
      </c>
      <c r="AM31" s="135" t="n">
        <v>19</v>
      </c>
      <c r="AN31" s="135" t="n">
        <v>302</v>
      </c>
      <c r="AO31" s="135" t="n">
        <v>43</v>
      </c>
      <c r="AP31" s="135" t="n">
        <v>30</v>
      </c>
      <c r="AQ31" s="135" t="n">
        <v>234</v>
      </c>
      <c r="AR31" s="135" t="n">
        <v>569</v>
      </c>
      <c r="AS31" s="135" t="n">
        <v>426</v>
      </c>
      <c r="AT31" s="135" t="n">
        <v>143</v>
      </c>
      <c r="AU31" s="135" t="n">
        <v>178</v>
      </c>
      <c r="AV31" s="135" t="n">
        <v>175</v>
      </c>
      <c r="AW31" s="135" t="n">
        <v>111</v>
      </c>
      <c r="AX31" s="135" t="n">
        <v>116</v>
      </c>
      <c r="AY31" s="135" t="n">
        <v>108</v>
      </c>
      <c r="AZ31" s="135" t="n">
        <v>24</v>
      </c>
      <c r="BA31" s="136" t="n">
        <v>0.17</v>
      </c>
      <c r="BB31" s="136" t="n">
        <v>16.8</v>
      </c>
      <c r="BC31" s="136" t="n">
        <v>5484.27</v>
      </c>
      <c r="BD31" s="136" t="n">
        <v>54.85</v>
      </c>
      <c r="BE31" s="137" t="n">
        <v>11.9</v>
      </c>
      <c r="BF31" s="137" t="n">
        <v>67.90000000000001</v>
      </c>
      <c r="BG31" s="135" t="n">
        <v>72</v>
      </c>
      <c r="BH31" s="137" t="n">
        <v>8.9</v>
      </c>
      <c r="BI31" s="135" t="n">
        <v>740</v>
      </c>
      <c r="BJ31" s="137" t="n">
        <v>91.09999999999999</v>
      </c>
      <c r="BK31" s="137" t="n">
        <v>12.8</v>
      </c>
      <c r="BL31" s="135" t="n">
        <v>489</v>
      </c>
      <c r="BM31" s="137" t="n">
        <v>60.2</v>
      </c>
      <c r="BN31" s="136" t="n">
        <v>3.14</v>
      </c>
      <c r="BO31" s="135" t="n">
        <v>638</v>
      </c>
      <c r="BP31" s="137" t="n">
        <v>47.5</v>
      </c>
      <c r="BQ31" s="137" t="n">
        <v>37.3</v>
      </c>
      <c r="BR31" s="137" t="n">
        <v>21.4</v>
      </c>
      <c r="BS31" s="137" t="n">
        <v>35.1</v>
      </c>
      <c r="BT31" s="137" t="n">
        <v>28.8</v>
      </c>
      <c r="BU31" s="138" t="n">
        <v>70.09999999999999</v>
      </c>
    </row>
    <row r="32" ht="30" customHeight="1">
      <c r="A32" s="3" t="inlineStr">
        <is>
          <t>EST</t>
        </is>
      </c>
      <c r="B32" s="3" t="inlineStr">
        <is>
          <t>PILE</t>
        </is>
      </c>
      <c r="C32" s="3" t="inlineStr">
        <is>
          <t>Pile Nord</t>
        </is>
      </c>
      <c r="D32" s="135" t="n">
        <v>876</v>
      </c>
      <c r="E32" s="135" t="n">
        <v>766</v>
      </c>
      <c r="F32" s="135" t="n">
        <v>7</v>
      </c>
      <c r="G32" s="135" t="n">
        <v>103</v>
      </c>
      <c r="H32" s="135" t="n">
        <v>548</v>
      </c>
      <c r="I32" s="135" t="n">
        <v>324</v>
      </c>
      <c r="J32" s="135" t="n">
        <v>156</v>
      </c>
      <c r="K32" s="135" t="n">
        <v>52</v>
      </c>
      <c r="L32" s="135" t="n">
        <v>94</v>
      </c>
      <c r="M32" s="135" t="n">
        <v>158</v>
      </c>
      <c r="N32" s="135" t="n">
        <v>306</v>
      </c>
      <c r="O32" s="135" t="n">
        <v>141</v>
      </c>
      <c r="P32" s="135" t="n">
        <v>49</v>
      </c>
      <c r="Q32" s="135" t="n">
        <v>91</v>
      </c>
      <c r="R32" s="135" t="n">
        <v>162</v>
      </c>
      <c r="S32" s="135" t="n">
        <v>204</v>
      </c>
      <c r="T32" s="135" t="n">
        <v>73</v>
      </c>
      <c r="U32" s="135" t="n">
        <v>47</v>
      </c>
      <c r="V32" s="135" t="n">
        <v>52</v>
      </c>
      <c r="W32" s="135" t="n">
        <v>485</v>
      </c>
      <c r="X32" s="135" t="n">
        <v>59</v>
      </c>
      <c r="Y32" s="135" t="n">
        <v>24</v>
      </c>
      <c r="Z32" s="135" t="n">
        <v>7</v>
      </c>
      <c r="AA32" s="135" t="n">
        <v>139</v>
      </c>
      <c r="AB32" s="135" t="n">
        <v>766</v>
      </c>
      <c r="AC32" s="135" t="n">
        <v>90</v>
      </c>
      <c r="AD32" s="135" t="n">
        <v>168</v>
      </c>
      <c r="AE32" s="135" t="n">
        <v>204</v>
      </c>
      <c r="AF32" s="135" t="n">
        <v>304</v>
      </c>
      <c r="AG32" s="135" t="n">
        <v>2233</v>
      </c>
      <c r="AH32" s="135" t="n">
        <v>302</v>
      </c>
      <c r="AI32" s="135" t="n">
        <v>453</v>
      </c>
      <c r="AJ32" s="135" t="n">
        <v>169</v>
      </c>
      <c r="AK32" s="135" t="n">
        <v>11</v>
      </c>
      <c r="AL32" s="135" t="n">
        <v>553</v>
      </c>
      <c r="AM32" s="135" t="n">
        <v>0</v>
      </c>
      <c r="AN32" s="135" t="n">
        <v>172</v>
      </c>
      <c r="AO32" s="135" t="n">
        <v>11</v>
      </c>
      <c r="AP32" s="135" t="n">
        <v>29</v>
      </c>
      <c r="AQ32" s="135" t="n">
        <v>93</v>
      </c>
      <c r="AR32" s="135" t="n">
        <v>419</v>
      </c>
      <c r="AS32" s="135" t="n">
        <v>320</v>
      </c>
      <c r="AT32" s="135" t="n">
        <v>99</v>
      </c>
      <c r="AU32" s="135" t="n">
        <v>176</v>
      </c>
      <c r="AV32" s="135" t="n">
        <v>103</v>
      </c>
      <c r="AW32" s="135" t="n">
        <v>119</v>
      </c>
      <c r="AX32" s="135" t="n">
        <v>134</v>
      </c>
      <c r="AY32" s="135" t="n">
        <v>82</v>
      </c>
      <c r="AZ32" s="135" t="n">
        <v>32</v>
      </c>
      <c r="BA32" s="136" t="n">
        <v>0.33</v>
      </c>
      <c r="BB32" s="136" t="n">
        <v>32.88</v>
      </c>
      <c r="BC32" s="136" t="n">
        <v>2664.29</v>
      </c>
      <c r="BD32" s="136" t="n">
        <v>26.64</v>
      </c>
      <c r="BE32" s="137" t="n">
        <v>11.7</v>
      </c>
      <c r="BF32" s="137" t="n">
        <v>62.6</v>
      </c>
      <c r="BG32" s="135" t="n">
        <v>208</v>
      </c>
      <c r="BH32" s="137" t="n">
        <v>27.1</v>
      </c>
      <c r="BI32" s="135" t="n">
        <v>558</v>
      </c>
      <c r="BJ32" s="137" t="n">
        <v>72.90000000000001</v>
      </c>
      <c r="BK32" s="137" t="n">
        <v>11.7</v>
      </c>
      <c r="BL32" s="135" t="n">
        <v>462</v>
      </c>
      <c r="BM32" s="137" t="n">
        <v>60.3</v>
      </c>
      <c r="BN32" s="136" t="n">
        <v>2.91</v>
      </c>
      <c r="BO32" s="135" t="n">
        <v>597</v>
      </c>
      <c r="BP32" s="137" t="n">
        <v>50.6</v>
      </c>
      <c r="BQ32" s="137" t="n">
        <v>39.4</v>
      </c>
      <c r="BR32" s="137" t="n">
        <v>22.1</v>
      </c>
      <c r="BS32" s="137" t="n">
        <v>37.3</v>
      </c>
      <c r="BT32" s="137" t="n">
        <v>12.1</v>
      </c>
      <c r="BU32" s="138" t="n">
        <v>54.7</v>
      </c>
    </row>
    <row r="33" ht="30" customHeight="1">
      <c r="A33" s="3" t="inlineStr">
        <is>
          <t>EST</t>
        </is>
      </c>
      <c r="B33" s="3" t="inlineStr">
        <is>
          <t>TROIS PONTS</t>
        </is>
      </c>
      <c r="C33" s="3" t="inlineStr">
        <is>
          <t>Trois Ponts Nord</t>
        </is>
      </c>
      <c r="D33" s="135" t="n">
        <v>173</v>
      </c>
      <c r="E33" s="135" t="n">
        <v>166</v>
      </c>
      <c r="F33" s="135" t="n">
        <v>0</v>
      </c>
      <c r="G33" s="135" t="n">
        <v>7</v>
      </c>
      <c r="H33" s="135" t="n">
        <v>4</v>
      </c>
      <c r="I33" s="135" t="n">
        <v>166</v>
      </c>
      <c r="J33" s="135" t="n">
        <v>1</v>
      </c>
      <c r="K33" s="135" t="n">
        <v>17</v>
      </c>
      <c r="L33" s="135" t="n">
        <v>79</v>
      </c>
      <c r="M33" s="135" t="n">
        <v>53</v>
      </c>
      <c r="N33" s="135" t="n">
        <v>15</v>
      </c>
      <c r="O33" s="135" t="n">
        <v>0</v>
      </c>
      <c r="P33" s="135" t="n">
        <v>4</v>
      </c>
      <c r="Q33" s="135" t="n">
        <v>46</v>
      </c>
      <c r="R33" s="135" t="n">
        <v>97</v>
      </c>
      <c r="S33" s="135" t="n">
        <v>11</v>
      </c>
      <c r="T33" s="135" t="n">
        <v>5</v>
      </c>
      <c r="U33" s="135" t="n">
        <v>5</v>
      </c>
      <c r="V33" s="135" t="n">
        <v>0</v>
      </c>
      <c r="W33" s="135" t="n">
        <v>0</v>
      </c>
      <c r="X33" s="135" t="n">
        <v>55</v>
      </c>
      <c r="Y33" s="135" t="n">
        <v>5</v>
      </c>
      <c r="Z33" s="135" t="n">
        <v>2</v>
      </c>
      <c r="AA33" s="135" t="n">
        <v>66</v>
      </c>
      <c r="AB33" s="135" t="n">
        <v>166</v>
      </c>
      <c r="AC33" s="135" t="n">
        <v>16</v>
      </c>
      <c r="AD33" s="135" t="n">
        <v>55</v>
      </c>
      <c r="AE33" s="135" t="n">
        <v>35</v>
      </c>
      <c r="AF33" s="135" t="n">
        <v>60</v>
      </c>
      <c r="AG33" s="135" t="n">
        <v>423</v>
      </c>
      <c r="AH33" s="135" t="n">
        <v>4</v>
      </c>
      <c r="AI33" s="135" t="n">
        <v>158</v>
      </c>
      <c r="AJ33" s="135" t="n">
        <v>97</v>
      </c>
      <c r="AK33" s="135" t="n">
        <v>4</v>
      </c>
      <c r="AL33" s="135" t="n">
        <v>137</v>
      </c>
      <c r="AM33" s="135" t="n">
        <v>9</v>
      </c>
      <c r="AN33" s="135" t="n">
        <v>13</v>
      </c>
      <c r="AO33" s="135" t="n">
        <v>0</v>
      </c>
      <c r="AP33" s="135" t="n">
        <v>7</v>
      </c>
      <c r="AQ33" s="135" t="n">
        <v>76</v>
      </c>
      <c r="AR33" s="135" t="n">
        <v>102</v>
      </c>
      <c r="AS33" s="135" t="n">
        <v>75</v>
      </c>
      <c r="AT33" s="135" t="n">
        <v>27</v>
      </c>
      <c r="AU33" s="135" t="n">
        <v>89</v>
      </c>
      <c r="AV33" s="135" t="n">
        <v>42</v>
      </c>
      <c r="AW33" s="135" t="n">
        <v>13</v>
      </c>
      <c r="AX33" s="135" t="n">
        <v>13</v>
      </c>
      <c r="AY33" s="135" t="n">
        <v>33</v>
      </c>
      <c r="AZ33" s="135" t="n">
        <v>5</v>
      </c>
      <c r="BA33" s="136" t="n">
        <v>0.1</v>
      </c>
      <c r="BB33" s="136" t="n">
        <v>9.779999999999999</v>
      </c>
      <c r="BC33" s="136" t="n">
        <v>1768.63</v>
      </c>
      <c r="BD33" s="136" t="n">
        <v>17.69</v>
      </c>
      <c r="BE33" s="137" t="n">
        <v>4.1</v>
      </c>
      <c r="BF33" s="137" t="n">
        <v>2.5</v>
      </c>
      <c r="BG33" s="135" t="n">
        <v>18</v>
      </c>
      <c r="BH33" s="137" t="n">
        <v>11</v>
      </c>
      <c r="BI33" s="135" t="n">
        <v>148</v>
      </c>
      <c r="BJ33" s="137" t="n">
        <v>89</v>
      </c>
      <c r="BK33" s="137" t="n">
        <v>9.4</v>
      </c>
      <c r="BL33" s="135" t="n">
        <v>106</v>
      </c>
      <c r="BM33" s="137" t="n">
        <v>64</v>
      </c>
      <c r="BN33" s="136" t="n">
        <v>2.55</v>
      </c>
      <c r="BO33" s="135" t="n">
        <v>69</v>
      </c>
      <c r="BP33" s="137" t="n">
        <v>6.3</v>
      </c>
      <c r="BQ33" s="137" t="n">
        <v>2.6</v>
      </c>
      <c r="BR33" s="137" t="n">
        <v>58.4</v>
      </c>
      <c r="BS33" s="137" t="n">
        <v>61.3</v>
      </c>
      <c r="BT33" s="137" t="n">
        <v>45.6</v>
      </c>
      <c r="BU33" s="138" t="n">
        <v>61.2</v>
      </c>
    </row>
    <row r="34" ht="30" customHeight="1">
      <c r="A34" s="3" t="inlineStr">
        <is>
          <t>EST</t>
        </is>
      </c>
      <c r="B34" s="3" t="inlineStr">
        <is>
          <t>TROIS PONTS</t>
        </is>
      </c>
      <c r="C34" s="3" t="inlineStr">
        <is>
          <t>Trois Ponts Sud</t>
        </is>
      </c>
      <c r="D34" s="135" t="n">
        <v>914</v>
      </c>
      <c r="E34" s="135" t="n">
        <v>821</v>
      </c>
      <c r="F34" s="135" t="n">
        <v>3</v>
      </c>
      <c r="G34" s="135" t="n">
        <v>91</v>
      </c>
      <c r="H34" s="135" t="n">
        <v>93</v>
      </c>
      <c r="I34" s="135" t="n">
        <v>821</v>
      </c>
      <c r="J34" s="135" t="n">
        <v>12</v>
      </c>
      <c r="K34" s="135" t="n">
        <v>96</v>
      </c>
      <c r="L34" s="135" t="n">
        <v>284</v>
      </c>
      <c r="M34" s="135" t="n">
        <v>259</v>
      </c>
      <c r="N34" s="135" t="n">
        <v>170</v>
      </c>
      <c r="O34" s="135" t="n">
        <v>6</v>
      </c>
      <c r="P34" s="135" t="n">
        <v>38</v>
      </c>
      <c r="Q34" s="135" t="n">
        <v>210</v>
      </c>
      <c r="R34" s="135" t="n">
        <v>322</v>
      </c>
      <c r="S34" s="135" t="n">
        <v>194</v>
      </c>
      <c r="T34" s="135" t="n">
        <v>22</v>
      </c>
      <c r="U34" s="135" t="n">
        <v>28</v>
      </c>
      <c r="V34" s="135" t="n">
        <v>0</v>
      </c>
      <c r="W34" s="135" t="n">
        <v>125</v>
      </c>
      <c r="X34" s="135" t="n">
        <v>307</v>
      </c>
      <c r="Y34" s="135" t="n">
        <v>185</v>
      </c>
      <c r="Z34" s="135" t="n">
        <v>61</v>
      </c>
      <c r="AA34" s="135" t="n">
        <v>143</v>
      </c>
      <c r="AB34" s="135" t="n">
        <v>821</v>
      </c>
      <c r="AC34" s="135" t="n">
        <v>62</v>
      </c>
      <c r="AD34" s="135" t="n">
        <v>127</v>
      </c>
      <c r="AE34" s="135" t="n">
        <v>234</v>
      </c>
      <c r="AF34" s="135" t="n">
        <v>399</v>
      </c>
      <c r="AG34" s="135" t="n">
        <v>2357</v>
      </c>
      <c r="AH34" s="135" t="n">
        <v>89</v>
      </c>
      <c r="AI34" s="135" t="n">
        <v>732</v>
      </c>
      <c r="AJ34" s="135" t="n">
        <v>621</v>
      </c>
      <c r="AK34" s="135" t="n">
        <v>0</v>
      </c>
      <c r="AL34" s="135" t="n">
        <v>731</v>
      </c>
      <c r="AM34" s="135" t="n">
        <v>23</v>
      </c>
      <c r="AN34" s="135" t="n">
        <v>60</v>
      </c>
      <c r="AO34" s="135" t="n">
        <v>3</v>
      </c>
      <c r="AP34" s="135" t="n">
        <v>3</v>
      </c>
      <c r="AQ34" s="135" t="n">
        <v>240</v>
      </c>
      <c r="AR34" s="135" t="n">
        <v>541</v>
      </c>
      <c r="AS34" s="135" t="n">
        <v>425</v>
      </c>
      <c r="AT34" s="135" t="n">
        <v>115</v>
      </c>
      <c r="AU34" s="135" t="n">
        <v>262</v>
      </c>
      <c r="AV34" s="135" t="n">
        <v>174</v>
      </c>
      <c r="AW34" s="135" t="n">
        <v>143</v>
      </c>
      <c r="AX34" s="135" t="n">
        <v>81</v>
      </c>
      <c r="AY34" s="135" t="n">
        <v>124</v>
      </c>
      <c r="AZ34" s="135" t="n">
        <v>50</v>
      </c>
      <c r="BA34" s="136" t="n">
        <v>0.18</v>
      </c>
      <c r="BB34" s="136" t="n">
        <v>18.14</v>
      </c>
      <c r="BC34" s="136" t="n">
        <v>5039.69</v>
      </c>
      <c r="BD34" s="136" t="n">
        <v>50.39</v>
      </c>
      <c r="BE34" s="137" t="n">
        <v>9.9</v>
      </c>
      <c r="BF34" s="137" t="n">
        <v>10.2</v>
      </c>
      <c r="BG34" s="135" t="n">
        <v>108</v>
      </c>
      <c r="BH34" s="137" t="n">
        <v>13.2</v>
      </c>
      <c r="BI34" s="135" t="n">
        <v>713</v>
      </c>
      <c r="BJ34" s="137" t="n">
        <v>86.8</v>
      </c>
      <c r="BK34" s="137" t="n">
        <v>7.5</v>
      </c>
      <c r="BL34" s="135" t="n">
        <v>422</v>
      </c>
      <c r="BM34" s="137" t="n">
        <v>51.4</v>
      </c>
      <c r="BN34" s="136" t="n">
        <v>2.87</v>
      </c>
      <c r="BO34" s="135" t="n">
        <v>199</v>
      </c>
      <c r="BP34" s="137" t="n">
        <v>44.7</v>
      </c>
      <c r="BQ34" s="137" t="n">
        <v>10.9</v>
      </c>
      <c r="BR34" s="137" t="n">
        <v>75.7</v>
      </c>
      <c r="BS34" s="137" t="n">
        <v>84.90000000000001</v>
      </c>
      <c r="BT34" s="137" t="n">
        <v>29.2</v>
      </c>
      <c r="BU34" s="138" t="n">
        <v>65.90000000000001</v>
      </c>
    </row>
    <row r="35" ht="30" customHeight="1">
      <c r="A35" s="3" t="inlineStr">
        <is>
          <t>EST</t>
        </is>
      </c>
      <c r="B35" s="3" t="inlineStr">
        <is>
          <t>SARTEL CARIHEM</t>
        </is>
      </c>
      <c r="C35" s="3" t="inlineStr">
        <is>
          <t>Sartel</t>
        </is>
      </c>
      <c r="D35" s="135" t="n">
        <v>662</v>
      </c>
      <c r="E35" s="135" t="n">
        <v>614</v>
      </c>
      <c r="F35" s="135" t="n">
        <v>0</v>
      </c>
      <c r="G35" s="135" t="n">
        <v>47</v>
      </c>
      <c r="H35" s="135" t="n">
        <v>340</v>
      </c>
      <c r="I35" s="135" t="n">
        <v>318</v>
      </c>
      <c r="J35" s="135" t="n">
        <v>36</v>
      </c>
      <c r="K35" s="135" t="n">
        <v>115</v>
      </c>
      <c r="L35" s="135" t="n">
        <v>111</v>
      </c>
      <c r="M35" s="135" t="n">
        <v>150</v>
      </c>
      <c r="N35" s="135" t="n">
        <v>202</v>
      </c>
      <c r="O35" s="135" t="n">
        <v>9</v>
      </c>
      <c r="P35" s="135" t="n">
        <v>44</v>
      </c>
      <c r="Q35" s="135" t="n">
        <v>138</v>
      </c>
      <c r="R35" s="135" t="n">
        <v>161</v>
      </c>
      <c r="S35" s="135" t="n">
        <v>164</v>
      </c>
      <c r="T35" s="135" t="n">
        <v>67</v>
      </c>
      <c r="U35" s="135" t="n">
        <v>30</v>
      </c>
      <c r="V35" s="135" t="n">
        <v>33</v>
      </c>
      <c r="W35" s="135" t="n">
        <v>208</v>
      </c>
      <c r="X35" s="135" t="n">
        <v>87</v>
      </c>
      <c r="Y35" s="135" t="n">
        <v>220</v>
      </c>
      <c r="Z35" s="135" t="n">
        <v>54</v>
      </c>
      <c r="AA35" s="135" t="n">
        <v>11</v>
      </c>
      <c r="AB35" s="135" t="n">
        <v>614</v>
      </c>
      <c r="AC35" s="135" t="n">
        <v>57</v>
      </c>
      <c r="AD35" s="135" t="n">
        <v>90</v>
      </c>
      <c r="AE35" s="135" t="n">
        <v>142</v>
      </c>
      <c r="AF35" s="135" t="n">
        <v>324</v>
      </c>
      <c r="AG35" s="135" t="n">
        <v>1506</v>
      </c>
      <c r="AH35" s="135" t="n">
        <v>222</v>
      </c>
      <c r="AI35" s="135" t="n">
        <v>375</v>
      </c>
      <c r="AJ35" s="135" t="n">
        <v>263</v>
      </c>
      <c r="AK35" s="135" t="n">
        <v>17</v>
      </c>
      <c r="AL35" s="135" t="n">
        <v>352</v>
      </c>
      <c r="AM35" s="135" t="n">
        <v>7</v>
      </c>
      <c r="AN35" s="135" t="n">
        <v>215</v>
      </c>
      <c r="AO35" s="135" t="n">
        <v>7</v>
      </c>
      <c r="AP35" s="135" t="n">
        <v>34</v>
      </c>
      <c r="AQ35" s="135" t="n">
        <v>212</v>
      </c>
      <c r="AR35" s="135" t="n">
        <v>449</v>
      </c>
      <c r="AS35" s="135" t="n">
        <v>296</v>
      </c>
      <c r="AT35" s="135" t="n">
        <v>153</v>
      </c>
      <c r="AU35" s="135" t="n">
        <v>216</v>
      </c>
      <c r="AV35" s="135" t="n">
        <v>146</v>
      </c>
      <c r="AW35" s="135" t="n">
        <v>124</v>
      </c>
      <c r="AX35" s="135" t="n">
        <v>92</v>
      </c>
      <c r="AY35" s="135" t="n">
        <v>70</v>
      </c>
      <c r="AZ35" s="135" t="n">
        <v>5</v>
      </c>
      <c r="BA35" s="136" t="n">
        <v>1</v>
      </c>
      <c r="BB35" s="136" t="n">
        <v>100.2</v>
      </c>
      <c r="BC35" s="136" t="n">
        <v>660.21</v>
      </c>
      <c r="BD35" s="136" t="n">
        <v>6.6</v>
      </c>
      <c r="BE35" s="137" t="n">
        <v>7.2</v>
      </c>
      <c r="BF35" s="137" t="n">
        <v>51.4</v>
      </c>
      <c r="BG35" s="135" t="n">
        <v>151</v>
      </c>
      <c r="BH35" s="137" t="n">
        <v>24.6</v>
      </c>
      <c r="BI35" s="135" t="n">
        <v>463</v>
      </c>
      <c r="BJ35" s="137" t="n">
        <v>75.40000000000001</v>
      </c>
      <c r="BK35" s="137" t="n">
        <v>9.199999999999999</v>
      </c>
      <c r="BL35" s="135" t="n">
        <v>290</v>
      </c>
      <c r="BM35" s="137" t="n">
        <v>47.2</v>
      </c>
      <c r="BN35" s="136" t="n">
        <v>2.45</v>
      </c>
      <c r="BO35" s="135" t="n">
        <v>351</v>
      </c>
      <c r="BP35" s="137" t="n">
        <v>63.4</v>
      </c>
      <c r="BQ35" s="137" t="n">
        <v>36.2</v>
      </c>
      <c r="BR35" s="137" t="n">
        <v>42.9</v>
      </c>
      <c r="BS35" s="137" t="n">
        <v>70.3</v>
      </c>
      <c r="BT35" s="137" t="n">
        <v>34.5</v>
      </c>
      <c r="BU35" s="138" t="n">
        <v>73.09999999999999</v>
      </c>
    </row>
    <row r="36" ht="30" customHeight="1">
      <c r="A36" s="3" t="inlineStr">
        <is>
          <t>SUD</t>
        </is>
      </c>
      <c r="B36" s="3" t="inlineStr">
        <is>
          <t>CHEMIN NEUF/LINNE</t>
        </is>
      </c>
      <c r="C36" s="3" t="inlineStr">
        <is>
          <t>Linné-Chemin Neuf</t>
        </is>
      </c>
      <c r="D36" s="135" t="n">
        <v>1524</v>
      </c>
      <c r="E36" s="135" t="n">
        <v>1420</v>
      </c>
      <c r="F36" s="135" t="n">
        <v>4</v>
      </c>
      <c r="G36" s="135" t="n">
        <v>101</v>
      </c>
      <c r="H36" s="135" t="n">
        <v>881</v>
      </c>
      <c r="I36" s="135" t="n">
        <v>644</v>
      </c>
      <c r="J36" s="135" t="n">
        <v>71</v>
      </c>
      <c r="K36" s="135" t="n">
        <v>175</v>
      </c>
      <c r="L36" s="135" t="n">
        <v>285</v>
      </c>
      <c r="M36" s="135" t="n">
        <v>301</v>
      </c>
      <c r="N36" s="135" t="n">
        <v>589</v>
      </c>
      <c r="O36" s="135" t="n">
        <v>15</v>
      </c>
      <c r="P36" s="135" t="n">
        <v>116</v>
      </c>
      <c r="Q36" s="135" t="n">
        <v>342</v>
      </c>
      <c r="R36" s="135" t="n">
        <v>304</v>
      </c>
      <c r="S36" s="135" t="n">
        <v>301</v>
      </c>
      <c r="T36" s="135" t="n">
        <v>173</v>
      </c>
      <c r="U36" s="135" t="n">
        <v>169</v>
      </c>
      <c r="V36" s="135" t="n">
        <v>25</v>
      </c>
      <c r="W36" s="135" t="n">
        <v>536</v>
      </c>
      <c r="X36" s="135" t="n">
        <v>451</v>
      </c>
      <c r="Y36" s="135" t="n">
        <v>292</v>
      </c>
      <c r="Z36" s="135" t="n">
        <v>70</v>
      </c>
      <c r="AA36" s="135" t="n">
        <v>30</v>
      </c>
      <c r="AB36" s="135" t="n">
        <v>1420</v>
      </c>
      <c r="AC36" s="135" t="n">
        <v>128</v>
      </c>
      <c r="AD36" s="135" t="n">
        <v>310</v>
      </c>
      <c r="AE36" s="135" t="n">
        <v>308</v>
      </c>
      <c r="AF36" s="135" t="n">
        <v>675</v>
      </c>
      <c r="AG36" s="135" t="n">
        <v>3488</v>
      </c>
      <c r="AH36" s="135" t="n">
        <v>734</v>
      </c>
      <c r="AI36" s="135" t="n">
        <v>667</v>
      </c>
      <c r="AJ36" s="135" t="n">
        <v>456</v>
      </c>
      <c r="AK36" s="135" t="n">
        <v>19</v>
      </c>
      <c r="AL36" s="135" t="n">
        <v>1171</v>
      </c>
      <c r="AM36" s="135" t="n">
        <v>39</v>
      </c>
      <c r="AN36" s="135" t="n">
        <v>158</v>
      </c>
      <c r="AO36" s="135" t="n">
        <v>3</v>
      </c>
      <c r="AP36" s="135" t="n">
        <v>50</v>
      </c>
      <c r="AQ36" s="135" t="n">
        <v>507</v>
      </c>
      <c r="AR36" s="135" t="n">
        <v>1136</v>
      </c>
      <c r="AS36" s="135" t="n">
        <v>685</v>
      </c>
      <c r="AT36" s="135" t="n">
        <v>450</v>
      </c>
      <c r="AU36" s="135" t="n">
        <v>350</v>
      </c>
      <c r="AV36" s="135" t="n">
        <v>376</v>
      </c>
      <c r="AW36" s="135" t="n">
        <v>285</v>
      </c>
      <c r="AX36" s="135" t="n">
        <v>373</v>
      </c>
      <c r="AY36" s="135" t="n">
        <v>83</v>
      </c>
      <c r="AZ36" s="135" t="n">
        <v>31</v>
      </c>
      <c r="BA36" s="136" t="n">
        <v>0.46</v>
      </c>
      <c r="BB36" s="136" t="n">
        <v>46.11</v>
      </c>
      <c r="BC36" s="136" t="n">
        <v>3305.93</v>
      </c>
      <c r="BD36" s="136" t="n">
        <v>33.06</v>
      </c>
      <c r="BE36" s="137" t="n">
        <v>6.6</v>
      </c>
      <c r="BF36" s="137" t="n">
        <v>57.8</v>
      </c>
      <c r="BG36" s="135" t="n">
        <v>246</v>
      </c>
      <c r="BH36" s="137" t="n">
        <v>17.3</v>
      </c>
      <c r="BI36" s="135" t="n">
        <v>1174</v>
      </c>
      <c r="BJ36" s="137" t="n">
        <v>82.7</v>
      </c>
      <c r="BK36" s="137" t="n">
        <v>9</v>
      </c>
      <c r="BL36" s="135" t="n">
        <v>745</v>
      </c>
      <c r="BM36" s="137" t="n">
        <v>52.5</v>
      </c>
      <c r="BN36" s="136" t="n">
        <v>2.46</v>
      </c>
      <c r="BO36" s="135" t="n">
        <v>964</v>
      </c>
      <c r="BP36" s="137" t="n">
        <v>76.2</v>
      </c>
      <c r="BQ36" s="137" t="n">
        <v>51.7</v>
      </c>
      <c r="BR36" s="137" t="n">
        <v>32.1</v>
      </c>
      <c r="BS36" s="137" t="n">
        <v>68.40000000000001</v>
      </c>
      <c r="BT36" s="137" t="n">
        <v>35.7</v>
      </c>
      <c r="BU36" s="138" t="n">
        <v>80</v>
      </c>
    </row>
    <row r="37" ht="30" customHeight="1">
      <c r="A37" s="3" t="inlineStr">
        <is>
          <t>SUD</t>
        </is>
      </c>
      <c r="B37" s="3" t="inlineStr">
        <is>
          <t>JUSTICE</t>
        </is>
      </c>
      <c r="C37" s="3" t="inlineStr">
        <is>
          <t>Justice</t>
        </is>
      </c>
      <c r="D37" s="135" t="n">
        <v>920</v>
      </c>
      <c r="E37" s="135" t="n">
        <v>877</v>
      </c>
      <c r="F37" s="135" t="n">
        <v>3</v>
      </c>
      <c r="G37" s="135" t="n">
        <v>40</v>
      </c>
      <c r="H37" s="135" t="n">
        <v>681</v>
      </c>
      <c r="I37" s="135" t="n">
        <v>239</v>
      </c>
      <c r="J37" s="135" t="n">
        <v>13</v>
      </c>
      <c r="K37" s="135" t="n">
        <v>57</v>
      </c>
      <c r="L37" s="135" t="n">
        <v>152</v>
      </c>
      <c r="M37" s="135" t="n">
        <v>211</v>
      </c>
      <c r="N37" s="135" t="n">
        <v>443</v>
      </c>
      <c r="O37" s="135" t="n">
        <v>5</v>
      </c>
      <c r="P37" s="135" t="n">
        <v>22</v>
      </c>
      <c r="Q37" s="135" t="n">
        <v>138</v>
      </c>
      <c r="R37" s="135" t="n">
        <v>240</v>
      </c>
      <c r="S37" s="135" t="n">
        <v>288</v>
      </c>
      <c r="T37" s="135" t="n">
        <v>87</v>
      </c>
      <c r="U37" s="135" t="n">
        <v>97</v>
      </c>
      <c r="V37" s="135" t="n">
        <v>36</v>
      </c>
      <c r="W37" s="135" t="n">
        <v>337</v>
      </c>
      <c r="X37" s="135" t="n">
        <v>336</v>
      </c>
      <c r="Y37" s="135" t="n">
        <v>67</v>
      </c>
      <c r="Z37" s="135" t="n">
        <v>71</v>
      </c>
      <c r="AA37" s="135" t="n">
        <v>27</v>
      </c>
      <c r="AB37" s="135" t="n">
        <v>877</v>
      </c>
      <c r="AC37" s="135" t="n">
        <v>65</v>
      </c>
      <c r="AD37" s="135" t="n">
        <v>175</v>
      </c>
      <c r="AE37" s="135" t="n">
        <v>127</v>
      </c>
      <c r="AF37" s="135" t="n">
        <v>510</v>
      </c>
      <c r="AG37" s="135" t="n">
        <v>2362</v>
      </c>
      <c r="AH37" s="135" t="n">
        <v>559</v>
      </c>
      <c r="AI37" s="135" t="n">
        <v>312</v>
      </c>
      <c r="AJ37" s="135" t="n">
        <v>203</v>
      </c>
      <c r="AK37" s="135" t="n">
        <v>6</v>
      </c>
      <c r="AL37" s="135" t="n">
        <v>743</v>
      </c>
      <c r="AM37" s="135" t="n">
        <v>9</v>
      </c>
      <c r="AN37" s="135" t="n">
        <v>98</v>
      </c>
      <c r="AO37" s="135" t="n">
        <v>6</v>
      </c>
      <c r="AP37" s="135" t="n">
        <v>21</v>
      </c>
      <c r="AQ37" s="135" t="n">
        <v>443</v>
      </c>
      <c r="AR37" s="135" t="n">
        <v>728</v>
      </c>
      <c r="AS37" s="135" t="n">
        <v>407</v>
      </c>
      <c r="AT37" s="135" t="n">
        <v>321</v>
      </c>
      <c r="AU37" s="135" t="n">
        <v>163</v>
      </c>
      <c r="AV37" s="135" t="n">
        <v>232</v>
      </c>
      <c r="AW37" s="135" t="n">
        <v>205</v>
      </c>
      <c r="AX37" s="135" t="n">
        <v>235</v>
      </c>
      <c r="AY37" s="135" t="n">
        <v>37</v>
      </c>
      <c r="AZ37" s="135" t="n">
        <v>4</v>
      </c>
      <c r="BA37" s="136" t="n">
        <v>0.52</v>
      </c>
      <c r="BB37" s="136" t="n">
        <v>52.14</v>
      </c>
      <c r="BC37" s="136" t="n">
        <v>1764.46</v>
      </c>
      <c r="BD37" s="136" t="n">
        <v>17.64</v>
      </c>
      <c r="BE37" s="137" t="n">
        <v>4.3</v>
      </c>
      <c r="BF37" s="137" t="n">
        <v>74.09999999999999</v>
      </c>
      <c r="BG37" s="135" t="n">
        <v>71</v>
      </c>
      <c r="BH37" s="137" t="n">
        <v>8.1</v>
      </c>
      <c r="BI37" s="135" t="n">
        <v>806</v>
      </c>
      <c r="BJ37" s="137" t="n">
        <v>91.90000000000001</v>
      </c>
      <c r="BK37" s="137" t="n">
        <v>7.4</v>
      </c>
      <c r="BL37" s="135" t="n">
        <v>367</v>
      </c>
      <c r="BM37" s="137" t="n">
        <v>41.9</v>
      </c>
      <c r="BN37" s="136" t="n">
        <v>2.69</v>
      </c>
      <c r="BO37" s="135" t="n">
        <v>674</v>
      </c>
      <c r="BP37" s="137" t="n">
        <v>82.90000000000001</v>
      </c>
      <c r="BQ37" s="137" t="n">
        <v>63.7</v>
      </c>
      <c r="BR37" s="137" t="n">
        <v>23.2</v>
      </c>
      <c r="BS37" s="137" t="n">
        <v>65.2</v>
      </c>
      <c r="BT37" s="137" t="n">
        <v>50.5</v>
      </c>
      <c r="BU37" s="138" t="n">
        <v>83.09999999999999</v>
      </c>
    </row>
    <row r="38" ht="30" customHeight="1">
      <c r="A38" s="3" t="inlineStr">
        <is>
          <t>EST</t>
        </is>
      </c>
      <c r="B38" s="3" t="inlineStr">
        <is>
          <t>FRATERNITE</t>
        </is>
      </c>
      <c r="C38" s="3" t="inlineStr">
        <is>
          <t>Fraternité</t>
        </is>
      </c>
      <c r="D38" s="135" t="n">
        <v>1017</v>
      </c>
      <c r="E38" s="135" t="n">
        <v>914</v>
      </c>
      <c r="F38" s="135" t="n">
        <v>0</v>
      </c>
      <c r="G38" s="135" t="n">
        <v>103</v>
      </c>
      <c r="H38" s="135" t="n">
        <v>776</v>
      </c>
      <c r="I38" s="135" t="n">
        <v>238</v>
      </c>
      <c r="J38" s="135" t="n">
        <v>60</v>
      </c>
      <c r="K38" s="135" t="n">
        <v>92</v>
      </c>
      <c r="L38" s="135" t="n">
        <v>98</v>
      </c>
      <c r="M38" s="135" t="n">
        <v>149</v>
      </c>
      <c r="N38" s="135" t="n">
        <v>515</v>
      </c>
      <c r="O38" s="135" t="n">
        <v>60</v>
      </c>
      <c r="P38" s="135" t="n">
        <v>46</v>
      </c>
      <c r="Q38" s="135" t="n">
        <v>123</v>
      </c>
      <c r="R38" s="135" t="n">
        <v>145</v>
      </c>
      <c r="S38" s="135" t="n">
        <v>206</v>
      </c>
      <c r="T38" s="135" t="n">
        <v>187</v>
      </c>
      <c r="U38" s="135" t="n">
        <v>147</v>
      </c>
      <c r="V38" s="135" t="n">
        <v>119</v>
      </c>
      <c r="W38" s="135" t="n">
        <v>594</v>
      </c>
      <c r="X38" s="135" t="n">
        <v>98</v>
      </c>
      <c r="Y38" s="135" t="n">
        <v>70</v>
      </c>
      <c r="Z38" s="135" t="n">
        <v>13</v>
      </c>
      <c r="AA38" s="135" t="n">
        <v>17</v>
      </c>
      <c r="AB38" s="135" t="n">
        <v>914</v>
      </c>
      <c r="AC38" s="135" t="n">
        <v>114</v>
      </c>
      <c r="AD38" s="135" t="n">
        <v>224</v>
      </c>
      <c r="AE38" s="135" t="n">
        <v>156</v>
      </c>
      <c r="AF38" s="135" t="n">
        <v>420</v>
      </c>
      <c r="AG38" s="135" t="n">
        <v>2561</v>
      </c>
      <c r="AH38" s="135" t="n">
        <v>586</v>
      </c>
      <c r="AI38" s="135" t="n">
        <v>324</v>
      </c>
      <c r="AJ38" s="135" t="n">
        <v>59</v>
      </c>
      <c r="AK38" s="135" t="n">
        <v>3</v>
      </c>
      <c r="AL38" s="135" t="n">
        <v>667</v>
      </c>
      <c r="AM38" s="135" t="n">
        <v>20</v>
      </c>
      <c r="AN38" s="135" t="n">
        <v>191</v>
      </c>
      <c r="AO38" s="135" t="n">
        <v>0</v>
      </c>
      <c r="AP38" s="135" t="n">
        <v>36</v>
      </c>
      <c r="AQ38" s="135" t="n">
        <v>213</v>
      </c>
      <c r="AR38" s="135" t="n">
        <v>705</v>
      </c>
      <c r="AS38" s="135" t="n">
        <v>468</v>
      </c>
      <c r="AT38" s="135" t="n">
        <v>238</v>
      </c>
      <c r="AU38" s="135" t="n">
        <v>175</v>
      </c>
      <c r="AV38" s="135" t="n">
        <v>166</v>
      </c>
      <c r="AW38" s="135" t="n">
        <v>150</v>
      </c>
      <c r="AX38" s="135" t="n">
        <v>297</v>
      </c>
      <c r="AY38" s="135" t="n">
        <v>131</v>
      </c>
      <c r="AZ38" s="135" t="n">
        <v>24</v>
      </c>
      <c r="BA38" s="136" t="n">
        <v>0.41</v>
      </c>
      <c r="BB38" s="136" t="n">
        <v>41.39</v>
      </c>
      <c r="BC38" s="136" t="n">
        <v>2455.64</v>
      </c>
      <c r="BD38" s="136" t="n">
        <v>24.56</v>
      </c>
      <c r="BE38" s="137" t="n">
        <v>10.1</v>
      </c>
      <c r="BF38" s="137" t="n">
        <v>76.3</v>
      </c>
      <c r="BG38" s="135" t="n">
        <v>152</v>
      </c>
      <c r="BH38" s="137" t="n">
        <v>16.6</v>
      </c>
      <c r="BI38" s="135" t="n">
        <v>762</v>
      </c>
      <c r="BJ38" s="137" t="n">
        <v>83.40000000000001</v>
      </c>
      <c r="BK38" s="137" t="n">
        <v>12.5</v>
      </c>
      <c r="BL38" s="135" t="n">
        <v>494</v>
      </c>
      <c r="BM38" s="137" t="n">
        <v>54.1</v>
      </c>
      <c r="BN38" s="136" t="n">
        <v>2.8</v>
      </c>
      <c r="BO38" s="135" t="n">
        <v>855</v>
      </c>
      <c r="BP38" s="137" t="n">
        <v>68.59999999999999</v>
      </c>
      <c r="BQ38" s="137" t="n">
        <v>64.2</v>
      </c>
      <c r="BR38" s="137" t="n">
        <v>6.4</v>
      </c>
      <c r="BS38" s="137" t="n">
        <v>18.1</v>
      </c>
      <c r="BT38" s="137" t="n">
        <v>23.3</v>
      </c>
      <c r="BU38" s="138" t="n">
        <v>77.2</v>
      </c>
    </row>
    <row r="39" ht="30" customHeight="1">
      <c r="A39" s="3" t="inlineStr">
        <is>
          <t>SUD</t>
        </is>
      </c>
      <c r="B39" s="3" t="inlineStr">
        <is>
          <t>NOUVEAU ROUBAIX</t>
        </is>
      </c>
      <c r="C39" s="3" t="inlineStr">
        <is>
          <t>Nouveau Roubaix</t>
        </is>
      </c>
      <c r="D39" s="135" t="n">
        <v>1012</v>
      </c>
      <c r="E39" s="135" t="n">
        <v>977</v>
      </c>
      <c r="F39" s="135" t="n">
        <v>0</v>
      </c>
      <c r="G39" s="135" t="n">
        <v>36</v>
      </c>
      <c r="H39" s="135" t="n">
        <v>356</v>
      </c>
      <c r="I39" s="135" t="n">
        <v>655</v>
      </c>
      <c r="J39" s="135" t="n">
        <v>24</v>
      </c>
      <c r="K39" s="135" t="n">
        <v>135</v>
      </c>
      <c r="L39" s="135" t="n">
        <v>269</v>
      </c>
      <c r="M39" s="135" t="n">
        <v>217</v>
      </c>
      <c r="N39" s="135" t="n">
        <v>332</v>
      </c>
      <c r="O39" s="135" t="n">
        <v>31</v>
      </c>
      <c r="P39" s="135" t="n">
        <v>96</v>
      </c>
      <c r="Q39" s="135" t="n">
        <v>196</v>
      </c>
      <c r="R39" s="135" t="n">
        <v>348</v>
      </c>
      <c r="S39" s="135" t="n">
        <v>239</v>
      </c>
      <c r="T39" s="135" t="n">
        <v>31</v>
      </c>
      <c r="U39" s="135" t="n">
        <v>35</v>
      </c>
      <c r="V39" s="135" t="n">
        <v>26</v>
      </c>
      <c r="W39" s="135" t="n">
        <v>443</v>
      </c>
      <c r="X39" s="135" t="n">
        <v>324</v>
      </c>
      <c r="Y39" s="135" t="n">
        <v>112</v>
      </c>
      <c r="Z39" s="135" t="n">
        <v>57</v>
      </c>
      <c r="AA39" s="135" t="n">
        <v>15</v>
      </c>
      <c r="AB39" s="135" t="n">
        <v>977</v>
      </c>
      <c r="AC39" s="135" t="n">
        <v>40</v>
      </c>
      <c r="AD39" s="135" t="n">
        <v>198</v>
      </c>
      <c r="AE39" s="135" t="n">
        <v>219</v>
      </c>
      <c r="AF39" s="135" t="n">
        <v>521</v>
      </c>
      <c r="AG39" s="135" t="n">
        <v>2622</v>
      </c>
      <c r="AH39" s="135" t="n">
        <v>124</v>
      </c>
      <c r="AI39" s="135" t="n">
        <v>853</v>
      </c>
      <c r="AJ39" s="135" t="n">
        <v>809</v>
      </c>
      <c r="AK39" s="135" t="n">
        <v>0</v>
      </c>
      <c r="AL39" s="135" t="n">
        <v>895</v>
      </c>
      <c r="AM39" s="135" t="n">
        <v>0</v>
      </c>
      <c r="AN39" s="135" t="n">
        <v>70</v>
      </c>
      <c r="AO39" s="135" t="n">
        <v>8</v>
      </c>
      <c r="AP39" s="135" t="n">
        <v>4</v>
      </c>
      <c r="AQ39" s="135" t="n">
        <v>120</v>
      </c>
      <c r="AR39" s="135" t="n">
        <v>615</v>
      </c>
      <c r="AS39" s="135" t="n">
        <v>498</v>
      </c>
      <c r="AT39" s="135" t="n">
        <v>117</v>
      </c>
      <c r="AU39" s="135" t="n">
        <v>236</v>
      </c>
      <c r="AV39" s="135" t="n">
        <v>230</v>
      </c>
      <c r="AW39" s="135" t="n">
        <v>172</v>
      </c>
      <c r="AX39" s="135" t="n">
        <v>178</v>
      </c>
      <c r="AY39" s="135" t="n">
        <v>123</v>
      </c>
      <c r="AZ39" s="135" t="n">
        <v>7</v>
      </c>
      <c r="BA39" s="136" t="n">
        <v>0.17</v>
      </c>
      <c r="BB39" s="136" t="n">
        <v>17.14</v>
      </c>
      <c r="BC39" s="136" t="n">
        <v>5908.64</v>
      </c>
      <c r="BD39" s="136" t="n">
        <v>59.07</v>
      </c>
      <c r="BE39" s="137" t="n">
        <v>3.5</v>
      </c>
      <c r="BF39" s="137" t="n">
        <v>35.2</v>
      </c>
      <c r="BG39" s="135" t="n">
        <v>159</v>
      </c>
      <c r="BH39" s="137" t="n">
        <v>16.3</v>
      </c>
      <c r="BI39" s="135" t="n">
        <v>818</v>
      </c>
      <c r="BJ39" s="137" t="n">
        <v>83.7</v>
      </c>
      <c r="BK39" s="137" t="n">
        <v>4.1</v>
      </c>
      <c r="BL39" s="135" t="n">
        <v>456</v>
      </c>
      <c r="BM39" s="137" t="n">
        <v>46.7</v>
      </c>
      <c r="BN39" s="136" t="n">
        <v>2.68</v>
      </c>
      <c r="BO39" s="135" t="n">
        <v>168</v>
      </c>
      <c r="BP39" s="137" t="n">
        <v>73.90000000000001</v>
      </c>
      <c r="BQ39" s="137" t="n">
        <v>12.7</v>
      </c>
      <c r="BR39" s="137" t="n">
        <v>82.8</v>
      </c>
      <c r="BS39" s="137" t="n">
        <v>94.8</v>
      </c>
      <c r="BT39" s="137" t="n">
        <v>12.3</v>
      </c>
      <c r="BU39" s="138" t="n">
        <v>63</v>
      </c>
    </row>
    <row r="40" ht="30" customHeight="1">
      <c r="A40" s="50" t="inlineStr">
        <is>
          <t>SUD</t>
        </is>
      </c>
      <c r="B40" s="50" t="inlineStr">
        <is>
          <t>HAUTS CHAMPS/PETITES HAIES</t>
        </is>
      </c>
      <c r="C40" s="50" t="inlineStr">
        <is>
          <t>Hauts Champs</t>
        </is>
      </c>
      <c r="D40" s="139" t="n">
        <v>990</v>
      </c>
      <c r="E40" s="139" t="n">
        <v>915</v>
      </c>
      <c r="F40" s="139" t="n">
        <v>4</v>
      </c>
      <c r="G40" s="139" t="n">
        <v>72</v>
      </c>
      <c r="H40" s="139" t="n">
        <v>305</v>
      </c>
      <c r="I40" s="139" t="n">
        <v>679</v>
      </c>
      <c r="J40" s="139" t="n">
        <v>27</v>
      </c>
      <c r="K40" s="139" t="n">
        <v>177</v>
      </c>
      <c r="L40" s="139" t="n">
        <v>280</v>
      </c>
      <c r="M40" s="139" t="n">
        <v>256</v>
      </c>
      <c r="N40" s="139" t="n">
        <v>175</v>
      </c>
      <c r="O40" s="139" t="n">
        <v>8</v>
      </c>
      <c r="P40" s="139" t="n">
        <v>95</v>
      </c>
      <c r="Q40" s="139" t="n">
        <v>438</v>
      </c>
      <c r="R40" s="139" t="n">
        <v>185</v>
      </c>
      <c r="S40" s="139" t="n">
        <v>161</v>
      </c>
      <c r="T40" s="139" t="n">
        <v>20</v>
      </c>
      <c r="U40" s="139" t="n">
        <v>7</v>
      </c>
      <c r="V40" s="139" t="n">
        <v>1</v>
      </c>
      <c r="W40" s="139" t="n">
        <v>100</v>
      </c>
      <c r="X40" s="139" t="n">
        <v>589</v>
      </c>
      <c r="Y40" s="139" t="n">
        <v>124</v>
      </c>
      <c r="Z40" s="139" t="n">
        <v>49</v>
      </c>
      <c r="AA40" s="139" t="n">
        <v>52</v>
      </c>
      <c r="AB40" s="139" t="n">
        <v>915</v>
      </c>
      <c r="AC40" s="139" t="n">
        <v>72</v>
      </c>
      <c r="AD40" s="139" t="n">
        <v>156</v>
      </c>
      <c r="AE40" s="139" t="n">
        <v>181</v>
      </c>
      <c r="AF40" s="139" t="n">
        <v>505</v>
      </c>
      <c r="AG40" s="139" t="n">
        <v>2171</v>
      </c>
      <c r="AH40" s="139" t="n">
        <v>147</v>
      </c>
      <c r="AI40" s="139" t="n">
        <v>760</v>
      </c>
      <c r="AJ40" s="139" t="n">
        <v>665</v>
      </c>
      <c r="AK40" s="139" t="n">
        <v>8</v>
      </c>
      <c r="AL40" s="139" t="n">
        <v>822</v>
      </c>
      <c r="AM40" s="139" t="n">
        <v>17</v>
      </c>
      <c r="AN40" s="139" t="n">
        <v>47</v>
      </c>
      <c r="AO40" s="139" t="n">
        <v>0</v>
      </c>
      <c r="AP40" s="139" t="n">
        <v>29</v>
      </c>
      <c r="AQ40" s="139" t="n">
        <v>183</v>
      </c>
      <c r="AR40" s="139" t="n">
        <v>544</v>
      </c>
      <c r="AS40" s="139" t="n">
        <v>404</v>
      </c>
      <c r="AT40" s="139" t="n">
        <v>140</v>
      </c>
      <c r="AU40" s="139" t="n">
        <v>315</v>
      </c>
      <c r="AV40" s="139" t="n">
        <v>211</v>
      </c>
      <c r="AW40" s="139" t="n">
        <v>145</v>
      </c>
      <c r="AX40" s="139" t="n">
        <v>94</v>
      </c>
      <c r="AY40" s="139" t="n">
        <v>114</v>
      </c>
      <c r="AZ40" s="139" t="n">
        <v>26</v>
      </c>
      <c r="BA40" s="140" t="n">
        <v>0.31</v>
      </c>
      <c r="BB40" s="140" t="n">
        <v>31.34</v>
      </c>
      <c r="BC40" s="140" t="n">
        <v>3159.11</v>
      </c>
      <c r="BD40" s="140" t="n">
        <v>31.59</v>
      </c>
      <c r="BE40" s="141" t="n">
        <v>7.2</v>
      </c>
      <c r="BF40" s="141" t="n">
        <v>30.8</v>
      </c>
      <c r="BG40" s="139" t="n">
        <v>204</v>
      </c>
      <c r="BH40" s="141" t="n">
        <v>22.3</v>
      </c>
      <c r="BI40" s="139" t="n">
        <v>711</v>
      </c>
      <c r="BJ40" s="141" t="n">
        <v>77.7</v>
      </c>
      <c r="BK40" s="141" t="n">
        <v>7.9</v>
      </c>
      <c r="BL40" s="139" t="n">
        <v>410</v>
      </c>
      <c r="BM40" s="141" t="n">
        <v>44.8</v>
      </c>
      <c r="BN40" s="140" t="n">
        <v>2.37</v>
      </c>
      <c r="BO40" s="139" t="n">
        <v>250</v>
      </c>
      <c r="BP40" s="141" t="n">
        <v>58.9</v>
      </c>
      <c r="BQ40" s="141" t="n">
        <v>16.1</v>
      </c>
      <c r="BR40" s="141" t="n">
        <v>72.7</v>
      </c>
      <c r="BS40" s="141" t="n">
        <v>87.5</v>
      </c>
      <c r="BT40" s="141" t="n">
        <v>20</v>
      </c>
      <c r="BU40" s="142" t="n">
        <v>59.5</v>
      </c>
    </row>
  </sheetData>
  <mergeCells count="1">
    <mergeCell ref="A1:C1"/>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V40"/>
  <sheetViews>
    <sheetView topLeftCell="A1" workbookViewId="0">
      <pane xSplit="3" ySplit="2" topLeftCell="D3" activePane="bottomRight" state="frozen"/>
      <selection pane="topRight"/>
      <selection pane="bottomLeft"/>
      <selection pane="bottomRight" activeCell="F1" sqref="F1"/>
      <selection pane="topRight" activeCell="I1" sqref="I1"/>
      <selection pane="bottomLeft" activeCell="F3" sqref="F3"/>
      <selection pane="bottomRight" activeCell="F1" sqref="F1"/>
    </sheetView>
  </sheetViews>
  <sheetFormatPr baseColWidth="10" defaultColWidth="9.140625" defaultRowHeight="15"/>
  <cols>
    <col width="12" customWidth="1" min="1" max="1"/>
    <col width="31" customWidth="1" min="2" max="2"/>
    <col width="26"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26"/>
    <col width="14" customWidth="1" min="20" max="20"/>
    <col width="14" customWidth="1" min="21" max="21"/>
    <col width="14" customWidth="1" min="22" max="22"/>
    <col width="12.85546875" customWidth="1" min="27" max="27"/>
  </cols>
  <sheetData>
    <row r="1" ht="21" customHeight="1">
      <c r="A1" s="143" t="inlineStr">
        <is>
          <t>Répartition pondérée des enfants par âge révolu et par IRIS</t>
        </is>
      </c>
      <c r="B1" s="125" t="n"/>
      <c r="C1" s="126" t="n"/>
      <c r="D1" s="144">
        <f>SUBTOTAL(9,D3:D40)</f>
        <v/>
      </c>
      <c r="E1" s="144">
        <f>SUBTOTAL(9,E3:E40)</f>
        <v/>
      </c>
      <c r="F1" s="144">
        <f>SUBTOTAL(9,F3:F40)</f>
        <v/>
      </c>
      <c r="G1" s="144">
        <f>SUBTOTAL(9,G3:G40)</f>
        <v/>
      </c>
      <c r="H1" s="144">
        <f>SUBTOTAL(9,H3:H40)</f>
        <v/>
      </c>
      <c r="I1" s="144">
        <f>SUBTOTAL(9,I3:I40)</f>
        <v/>
      </c>
      <c r="J1" s="144">
        <f>SUBTOTAL(9,J3:J40)</f>
        <v/>
      </c>
      <c r="K1" s="144">
        <f>SUBTOTAL(9,K3:K40)</f>
        <v/>
      </c>
      <c r="L1" s="144">
        <f>SUBTOTAL(9,L3:L40)</f>
        <v/>
      </c>
      <c r="M1" s="144">
        <f>SUBTOTAL(9,M3:M40)</f>
        <v/>
      </c>
      <c r="N1" s="144">
        <f>SUBTOTAL(9,N3:N40)</f>
        <v/>
      </c>
      <c r="O1" s="144">
        <f>SUBTOTAL(9,O3:O40)</f>
        <v/>
      </c>
      <c r="P1" s="144">
        <f>SUBTOTAL(9,P3:P40)</f>
        <v/>
      </c>
      <c r="Q1" s="144">
        <f>SUBTOTAL(9,Q3:Q40)</f>
        <v/>
      </c>
      <c r="R1" s="144">
        <f>SUBTOTAL(9,R3:R40)</f>
        <v/>
      </c>
      <c r="S1" s="144">
        <f>SUBTOTAL(9,S3:S40)</f>
        <v/>
      </c>
      <c r="T1" s="144">
        <f>SUBTOTAL(9,T3:T40)</f>
        <v/>
      </c>
      <c r="U1" s="144">
        <f>SUBTOTAL(9,U3:U40)</f>
        <v/>
      </c>
      <c r="V1" s="144">
        <f>SUBTOTAL(9,V3:V40)</f>
        <v/>
      </c>
    </row>
    <row r="2" ht="40" customHeight="1">
      <c r="A2" s="57" t="inlineStr">
        <is>
          <t>Mairies de qartiers</t>
        </is>
      </c>
      <c r="B2" s="57" t="inlineStr">
        <is>
          <t>Quartiers SIG (Grands quartiers)</t>
        </is>
      </c>
      <c r="C2" s="57" t="inlineStr">
        <is>
          <t>Libellé de l'Iris</t>
        </is>
      </c>
      <c r="D2" s="58" t="inlineStr">
        <is>
          <t>Age : 0</t>
        </is>
      </c>
      <c r="E2" s="58" t="inlineStr">
        <is>
          <t>Age : 1</t>
        </is>
      </c>
      <c r="F2" s="58" t="inlineStr">
        <is>
          <t>Age : 2</t>
        </is>
      </c>
      <c r="G2" s="58" t="inlineStr">
        <is>
          <t>Age : 3</t>
        </is>
      </c>
      <c r="H2" s="58" t="inlineStr">
        <is>
          <t>Age : 4</t>
        </is>
      </c>
      <c r="I2" s="58" t="inlineStr">
        <is>
          <t>Age : 5</t>
        </is>
      </c>
      <c r="J2" s="58" t="inlineStr">
        <is>
          <t>Age : 6</t>
        </is>
      </c>
      <c r="K2" s="58" t="inlineStr">
        <is>
          <t>Age : 7</t>
        </is>
      </c>
      <c r="L2" s="58" t="inlineStr">
        <is>
          <t>Age : 8</t>
        </is>
      </c>
      <c r="M2" s="58" t="inlineStr">
        <is>
          <t>Age : 9</t>
        </is>
      </c>
      <c r="N2" s="58" t="inlineStr">
        <is>
          <t>Age : 10</t>
        </is>
      </c>
      <c r="O2" s="58" t="inlineStr">
        <is>
          <t>Age : 11</t>
        </is>
      </c>
      <c r="P2" s="58" t="inlineStr">
        <is>
          <t>Age : 12</t>
        </is>
      </c>
      <c r="Q2" s="58" t="inlineStr">
        <is>
          <t>Age : 13</t>
        </is>
      </c>
      <c r="R2" s="58" t="inlineStr">
        <is>
          <t>Age : 14</t>
        </is>
      </c>
      <c r="S2" s="58" t="inlineStr">
        <is>
          <t>Age : 15</t>
        </is>
      </c>
      <c r="T2" s="58" t="inlineStr">
        <is>
          <t>Age : 16</t>
        </is>
      </c>
      <c r="U2" s="58" t="inlineStr">
        <is>
          <t>Age : 17</t>
        </is>
      </c>
      <c r="V2" s="59" t="inlineStr">
        <is>
          <t>TOTAL 0-17</t>
        </is>
      </c>
    </row>
    <row r="3" ht="30" customHeight="1">
      <c r="A3" s="145" t="inlineStr">
        <is>
          <t>OUEST</t>
        </is>
      </c>
      <c r="B3" s="145" t="inlineStr">
        <is>
          <t>FRESNOY MACKELLERIE</t>
        </is>
      </c>
      <c r="C3" s="145" t="inlineStr">
        <is>
          <t>Mackellerie</t>
        </is>
      </c>
      <c r="D3" s="146" t="n">
        <v>57</v>
      </c>
      <c r="E3" s="146" t="n">
        <v>42</v>
      </c>
      <c r="F3" s="146" t="n">
        <v>33</v>
      </c>
      <c r="G3" s="146" t="n">
        <v>64</v>
      </c>
      <c r="H3" s="146" t="n">
        <v>41</v>
      </c>
      <c r="I3" s="146" t="n">
        <v>47</v>
      </c>
      <c r="J3" s="146" t="n">
        <v>58</v>
      </c>
      <c r="K3" s="146" t="n">
        <v>34</v>
      </c>
      <c r="L3" s="146" t="n">
        <v>45</v>
      </c>
      <c r="M3" s="146" t="n">
        <v>52</v>
      </c>
      <c r="N3" s="146" t="n">
        <v>49</v>
      </c>
      <c r="O3" s="146" t="n">
        <v>51</v>
      </c>
      <c r="P3" s="146" t="n">
        <v>50</v>
      </c>
      <c r="Q3" s="146" t="n">
        <v>51</v>
      </c>
      <c r="R3" s="146" t="n">
        <v>39</v>
      </c>
      <c r="S3" s="146" t="n">
        <v>45</v>
      </c>
      <c r="T3" s="146" t="n">
        <v>21</v>
      </c>
      <c r="U3" s="146" t="n">
        <v>56</v>
      </c>
      <c r="V3" s="147" t="n">
        <v>835</v>
      </c>
    </row>
    <row r="4" ht="30" customHeight="1">
      <c r="A4" s="145" t="inlineStr">
        <is>
          <t>OUEST</t>
        </is>
      </c>
      <c r="B4" s="145" t="inlineStr">
        <is>
          <t>ARMENTIERES</t>
        </is>
      </c>
      <c r="C4" s="145" t="inlineStr">
        <is>
          <t>Fresnoy</t>
        </is>
      </c>
      <c r="D4" s="146" t="n">
        <v>54</v>
      </c>
      <c r="E4" s="146" t="n">
        <v>38</v>
      </c>
      <c r="F4" s="146" t="n">
        <v>35</v>
      </c>
      <c r="G4" s="146" t="n">
        <v>71</v>
      </c>
      <c r="H4" s="146" t="n">
        <v>36</v>
      </c>
      <c r="I4" s="146" t="n">
        <v>40</v>
      </c>
      <c r="J4" s="146" t="n">
        <v>57</v>
      </c>
      <c r="K4" s="146" t="n">
        <v>76</v>
      </c>
      <c r="L4" s="146" t="n">
        <v>58</v>
      </c>
      <c r="M4" s="146" t="n">
        <v>100</v>
      </c>
      <c r="N4" s="146" t="n">
        <v>59</v>
      </c>
      <c r="O4" s="146" t="n">
        <v>77</v>
      </c>
      <c r="P4" s="146" t="n">
        <v>31</v>
      </c>
      <c r="Q4" s="146" t="n">
        <v>80</v>
      </c>
      <c r="R4" s="146" t="n">
        <v>94</v>
      </c>
      <c r="S4" s="146" t="n">
        <v>64</v>
      </c>
      <c r="T4" s="146" t="n">
        <v>61</v>
      </c>
      <c r="U4" s="146" t="n">
        <v>55</v>
      </c>
      <c r="V4" s="147" t="n">
        <v>1086</v>
      </c>
    </row>
    <row r="5" ht="30" customHeight="1">
      <c r="A5" s="145" t="inlineStr">
        <is>
          <t>NORD</t>
        </is>
      </c>
      <c r="B5" s="145" t="inlineStr">
        <is>
          <t>FOSSE AUX CHENES</t>
        </is>
      </c>
      <c r="C5" s="145" t="inlineStr">
        <is>
          <t>Fosse aux Chênes</t>
        </is>
      </c>
      <c r="D5" s="146" t="n">
        <v>41</v>
      </c>
      <c r="E5" s="146" t="n">
        <v>67</v>
      </c>
      <c r="F5" s="146" t="n">
        <v>68</v>
      </c>
      <c r="G5" s="146" t="n">
        <v>44</v>
      </c>
      <c r="H5" s="146" t="n">
        <v>56</v>
      </c>
      <c r="I5" s="146" t="n">
        <v>48</v>
      </c>
      <c r="J5" s="146" t="n">
        <v>37</v>
      </c>
      <c r="K5" s="146" t="n">
        <v>46</v>
      </c>
      <c r="L5" s="146" t="n">
        <v>38</v>
      </c>
      <c r="M5" s="146" t="n">
        <v>33</v>
      </c>
      <c r="N5" s="146" t="n">
        <v>37</v>
      </c>
      <c r="O5" s="146" t="n">
        <v>25</v>
      </c>
      <c r="P5" s="146" t="n">
        <v>42</v>
      </c>
      <c r="Q5" s="146" t="n">
        <v>30</v>
      </c>
      <c r="R5" s="146" t="n">
        <v>41</v>
      </c>
      <c r="S5" s="146" t="n">
        <v>44</v>
      </c>
      <c r="T5" s="146" t="n">
        <v>43</v>
      </c>
      <c r="U5" s="146" t="n">
        <v>28</v>
      </c>
      <c r="V5" s="147" t="n">
        <v>768</v>
      </c>
    </row>
    <row r="6" ht="30" customHeight="1">
      <c r="A6" s="145" t="inlineStr">
        <is>
          <t>NORD</t>
        </is>
      </c>
      <c r="B6" s="145" t="inlineStr">
        <is>
          <t>ALMA GARE</t>
        </is>
      </c>
      <c r="C6" s="145" t="inlineStr">
        <is>
          <t>Alma Sud</t>
        </is>
      </c>
      <c r="D6" s="146" t="n">
        <v>36</v>
      </c>
      <c r="E6" s="146" t="n">
        <v>57</v>
      </c>
      <c r="F6" s="146" t="n">
        <v>17</v>
      </c>
      <c r="G6" s="146" t="n">
        <v>56</v>
      </c>
      <c r="H6" s="146" t="n">
        <v>37</v>
      </c>
      <c r="I6" s="146" t="n">
        <v>32</v>
      </c>
      <c r="J6" s="146" t="n">
        <v>21</v>
      </c>
      <c r="K6" s="146" t="n">
        <v>60</v>
      </c>
      <c r="L6" s="146" t="n">
        <v>43</v>
      </c>
      <c r="M6" s="146" t="n">
        <v>31</v>
      </c>
      <c r="N6" s="146" t="n">
        <v>75</v>
      </c>
      <c r="O6" s="146" t="n">
        <v>33</v>
      </c>
      <c r="P6" s="146" t="n">
        <v>32</v>
      </c>
      <c r="Q6" s="146" t="n">
        <v>37</v>
      </c>
      <c r="R6" s="146" t="n">
        <v>37</v>
      </c>
      <c r="S6" s="146" t="n">
        <v>32</v>
      </c>
      <c r="T6" s="146" t="n">
        <v>38</v>
      </c>
      <c r="U6" s="146" t="n">
        <v>48</v>
      </c>
      <c r="V6" s="147" t="n">
        <v>722</v>
      </c>
    </row>
    <row r="7" ht="30" customHeight="1">
      <c r="A7" s="145" t="inlineStr">
        <is>
          <t>NORD</t>
        </is>
      </c>
      <c r="B7" s="145" t="inlineStr">
        <is>
          <t>ALMA GARE</t>
        </is>
      </c>
      <c r="C7" s="145" t="inlineStr">
        <is>
          <t>Alma Nord</t>
        </is>
      </c>
      <c r="D7" s="146" t="n">
        <v>10</v>
      </c>
      <c r="E7" s="146" t="n">
        <v>17</v>
      </c>
      <c r="F7" s="146" t="n">
        <v>9</v>
      </c>
      <c r="G7" s="146" t="n">
        <v>15</v>
      </c>
      <c r="H7" s="146" t="n">
        <v>39</v>
      </c>
      <c r="I7" s="146" t="n">
        <v>24</v>
      </c>
      <c r="J7" s="146" t="n">
        <v>24</v>
      </c>
      <c r="K7" s="146" t="n">
        <v>27</v>
      </c>
      <c r="L7" s="146" t="n">
        <v>32</v>
      </c>
      <c r="M7" s="146" t="n">
        <v>31</v>
      </c>
      <c r="N7" s="146" t="n">
        <v>23</v>
      </c>
      <c r="O7" s="146" t="n">
        <v>11</v>
      </c>
      <c r="P7" s="146" t="n">
        <v>34</v>
      </c>
      <c r="Q7" s="146" t="n">
        <v>34</v>
      </c>
      <c r="R7" s="146" t="n">
        <v>24</v>
      </c>
      <c r="S7" s="146" t="n">
        <v>41</v>
      </c>
      <c r="T7" s="146" t="n">
        <v>34</v>
      </c>
      <c r="U7" s="146" t="n">
        <v>32</v>
      </c>
      <c r="V7" s="147" t="n">
        <v>461</v>
      </c>
    </row>
    <row r="8" ht="30" customHeight="1">
      <c r="A8" s="145" t="inlineStr">
        <is>
          <t>NORD</t>
        </is>
      </c>
      <c r="B8" s="145" t="inlineStr">
        <is>
          <t>ENTREPONT</t>
        </is>
      </c>
      <c r="C8" s="145" t="inlineStr">
        <is>
          <t>Entrepont-Cartigny</t>
        </is>
      </c>
      <c r="D8" s="146" t="n">
        <v>29</v>
      </c>
      <c r="E8" s="146" t="n">
        <v>34</v>
      </c>
      <c r="F8" s="146" t="n">
        <v>30</v>
      </c>
      <c r="G8" s="146" t="n">
        <v>42</v>
      </c>
      <c r="H8" s="146" t="n">
        <v>46</v>
      </c>
      <c r="I8" s="146" t="n">
        <v>67</v>
      </c>
      <c r="J8" s="146" t="n">
        <v>63</v>
      </c>
      <c r="K8" s="146" t="n">
        <v>70</v>
      </c>
      <c r="L8" s="146" t="n">
        <v>44</v>
      </c>
      <c r="M8" s="146" t="n">
        <v>47</v>
      </c>
      <c r="N8" s="146" t="n">
        <v>76</v>
      </c>
      <c r="O8" s="146" t="n">
        <v>18</v>
      </c>
      <c r="P8" s="146" t="n">
        <v>77</v>
      </c>
      <c r="Q8" s="146" t="n">
        <v>36</v>
      </c>
      <c r="R8" s="146" t="n">
        <v>47</v>
      </c>
      <c r="S8" s="146" t="n">
        <v>52</v>
      </c>
      <c r="T8" s="146" t="n">
        <v>60</v>
      </c>
      <c r="U8" s="146" t="n">
        <v>45</v>
      </c>
      <c r="V8" s="147" t="n">
        <v>883</v>
      </c>
    </row>
    <row r="9" ht="30" customHeight="1">
      <c r="A9" s="145" t="inlineStr">
        <is>
          <t>NORD</t>
        </is>
      </c>
      <c r="B9" s="145" t="inlineStr">
        <is>
          <t>HUTIN - ORAN - CARTIGNY</t>
        </is>
      </c>
      <c r="C9" s="145" t="inlineStr">
        <is>
          <t>Hutin-Oran</t>
        </is>
      </c>
      <c r="D9" s="146" t="n">
        <v>28</v>
      </c>
      <c r="E9" s="146" t="n">
        <v>24</v>
      </c>
      <c r="F9" s="146" t="n">
        <v>31</v>
      </c>
      <c r="G9" s="146" t="n">
        <v>26</v>
      </c>
      <c r="H9" s="146" t="n">
        <v>51</v>
      </c>
      <c r="I9" s="146" t="n">
        <v>38</v>
      </c>
      <c r="J9" s="146" t="n">
        <v>25</v>
      </c>
      <c r="K9" s="146" t="n">
        <v>42</v>
      </c>
      <c r="L9" s="146" t="n">
        <v>41</v>
      </c>
      <c r="M9" s="146" t="n">
        <v>37</v>
      </c>
      <c r="N9" s="146" t="n">
        <v>53</v>
      </c>
      <c r="O9" s="146" t="n">
        <v>43</v>
      </c>
      <c r="P9" s="146" t="n">
        <v>56</v>
      </c>
      <c r="Q9" s="146" t="n">
        <v>40</v>
      </c>
      <c r="R9" s="146" t="n">
        <v>60</v>
      </c>
      <c r="S9" s="146" t="n">
        <v>36</v>
      </c>
      <c r="T9" s="146" t="n">
        <v>38</v>
      </c>
      <c r="U9" s="146" t="n">
        <v>32</v>
      </c>
      <c r="V9" s="147" t="n">
        <v>701</v>
      </c>
    </row>
    <row r="10" ht="30" customHeight="1">
      <c r="A10" s="145" t="inlineStr">
        <is>
          <t>NORD</t>
        </is>
      </c>
      <c r="B10" s="145" t="inlineStr">
        <is>
          <t>CUL DE FOUR</t>
        </is>
      </c>
      <c r="C10" s="145" t="inlineStr">
        <is>
          <t>Cul de Four</t>
        </is>
      </c>
      <c r="D10" s="146" t="n">
        <v>56</v>
      </c>
      <c r="E10" s="146" t="n">
        <v>34</v>
      </c>
      <c r="F10" s="146" t="n">
        <v>49</v>
      </c>
      <c r="G10" s="146" t="n">
        <v>62</v>
      </c>
      <c r="H10" s="146" t="n">
        <v>33</v>
      </c>
      <c r="I10" s="146" t="n">
        <v>86</v>
      </c>
      <c r="J10" s="146" t="n">
        <v>48</v>
      </c>
      <c r="K10" s="146" t="n">
        <v>63</v>
      </c>
      <c r="L10" s="146" t="n">
        <v>89</v>
      </c>
      <c r="M10" s="146" t="n">
        <v>44</v>
      </c>
      <c r="N10" s="146" t="n">
        <v>84</v>
      </c>
      <c r="O10" s="146" t="n">
        <v>74</v>
      </c>
      <c r="P10" s="146" t="n">
        <v>77</v>
      </c>
      <c r="Q10" s="146" t="n">
        <v>104</v>
      </c>
      <c r="R10" s="146" t="n">
        <v>64</v>
      </c>
      <c r="S10" s="146" t="n">
        <v>71</v>
      </c>
      <c r="T10" s="146" t="n">
        <v>56</v>
      </c>
      <c r="U10" s="146" t="n">
        <v>101</v>
      </c>
      <c r="V10" s="147" t="n">
        <v>1195</v>
      </c>
    </row>
    <row r="11" ht="30" customHeight="1">
      <c r="A11" s="145" t="inlineStr">
        <is>
          <t>NORD</t>
        </is>
      </c>
      <c r="B11" s="145" t="inlineStr">
        <is>
          <t>HOMMELET</t>
        </is>
      </c>
      <c r="C11" s="145" t="inlineStr">
        <is>
          <t>Hommelet Nord</t>
        </is>
      </c>
      <c r="D11" s="146" t="n">
        <v>37</v>
      </c>
      <c r="E11" s="146" t="n">
        <v>59</v>
      </c>
      <c r="F11" s="146" t="n">
        <v>63</v>
      </c>
      <c r="G11" s="146" t="n">
        <v>59</v>
      </c>
      <c r="H11" s="146" t="n">
        <v>51</v>
      </c>
      <c r="I11" s="146" t="n">
        <v>56</v>
      </c>
      <c r="J11" s="146" t="n">
        <v>79</v>
      </c>
      <c r="K11" s="146" t="n">
        <v>34</v>
      </c>
      <c r="L11" s="146" t="n">
        <v>62</v>
      </c>
      <c r="M11" s="146" t="n">
        <v>38</v>
      </c>
      <c r="N11" s="146" t="n">
        <v>70</v>
      </c>
      <c r="O11" s="146" t="n">
        <v>70</v>
      </c>
      <c r="P11" s="146" t="n">
        <v>40</v>
      </c>
      <c r="Q11" s="146" t="n">
        <v>48</v>
      </c>
      <c r="R11" s="146" t="n">
        <v>66</v>
      </c>
      <c r="S11" s="146" t="n">
        <v>41</v>
      </c>
      <c r="T11" s="146" t="n">
        <v>36</v>
      </c>
      <c r="U11" s="146" t="n">
        <v>46</v>
      </c>
      <c r="V11" s="147" t="n">
        <v>955</v>
      </c>
    </row>
    <row r="12" ht="30" customHeight="1">
      <c r="A12" s="145" t="inlineStr">
        <is>
          <t>NORD</t>
        </is>
      </c>
      <c r="B12" s="145" t="inlineStr">
        <is>
          <t>HOMMELET</t>
        </is>
      </c>
      <c r="C12" s="145" t="inlineStr">
        <is>
          <t>Hommelet Centre</t>
        </is>
      </c>
      <c r="D12" s="146" t="n">
        <v>26</v>
      </c>
      <c r="E12" s="146" t="n">
        <v>26</v>
      </c>
      <c r="F12" s="146" t="n">
        <v>47</v>
      </c>
      <c r="G12" s="146" t="n">
        <v>50</v>
      </c>
      <c r="H12" s="146" t="n">
        <v>57</v>
      </c>
      <c r="I12" s="146" t="n">
        <v>39</v>
      </c>
      <c r="J12" s="146" t="n">
        <v>44</v>
      </c>
      <c r="K12" s="146" t="n">
        <v>38</v>
      </c>
      <c r="L12" s="146" t="n">
        <v>67</v>
      </c>
      <c r="M12" s="146" t="n">
        <v>66</v>
      </c>
      <c r="N12" s="146" t="n">
        <v>65</v>
      </c>
      <c r="O12" s="146" t="n">
        <v>50</v>
      </c>
      <c r="P12" s="146" t="n">
        <v>60</v>
      </c>
      <c r="Q12" s="146" t="n">
        <v>69</v>
      </c>
      <c r="R12" s="146" t="n">
        <v>47</v>
      </c>
      <c r="S12" s="146" t="n">
        <v>62</v>
      </c>
      <c r="T12" s="146" t="n">
        <v>64</v>
      </c>
      <c r="U12" s="146" t="n">
        <v>72</v>
      </c>
      <c r="V12" s="147" t="n">
        <v>949</v>
      </c>
    </row>
    <row r="13" ht="30" customHeight="1">
      <c r="A13" s="145" t="inlineStr">
        <is>
          <t>NORD</t>
        </is>
      </c>
      <c r="B13" s="145" t="inlineStr">
        <is>
          <t>HOMMELET</t>
        </is>
      </c>
      <c r="C13" s="145" t="inlineStr">
        <is>
          <t>Hommelet Sud</t>
        </is>
      </c>
      <c r="D13" s="146" t="n">
        <v>28</v>
      </c>
      <c r="E13" s="146" t="n">
        <v>27</v>
      </c>
      <c r="F13" s="146" t="n">
        <v>43</v>
      </c>
      <c r="G13" s="146" t="n">
        <v>46</v>
      </c>
      <c r="H13" s="146" t="n">
        <v>50</v>
      </c>
      <c r="I13" s="146" t="n">
        <v>21</v>
      </c>
      <c r="J13" s="146" t="n">
        <v>25</v>
      </c>
      <c r="K13" s="146" t="n">
        <v>75</v>
      </c>
      <c r="L13" s="146" t="n">
        <v>47</v>
      </c>
      <c r="M13" s="146" t="n">
        <v>37</v>
      </c>
      <c r="N13" s="146" t="n">
        <v>47</v>
      </c>
      <c r="O13" s="146" t="n">
        <v>17</v>
      </c>
      <c r="P13" s="146" t="n">
        <v>35</v>
      </c>
      <c r="Q13" s="146" t="n">
        <v>51</v>
      </c>
      <c r="R13" s="146" t="n">
        <v>64</v>
      </c>
      <c r="S13" s="146" t="n">
        <v>44</v>
      </c>
      <c r="T13" s="146" t="n">
        <v>54</v>
      </c>
      <c r="U13" s="146" t="n">
        <v>42</v>
      </c>
      <c r="V13" s="147" t="n">
        <v>753</v>
      </c>
    </row>
    <row r="14" ht="30" customHeight="1">
      <c r="A14" s="145" t="inlineStr">
        <is>
          <t>OUEST</t>
        </is>
      </c>
      <c r="B14" s="145" t="inlineStr">
        <is>
          <t>EPEULE</t>
        </is>
      </c>
      <c r="C14" s="145" t="inlineStr">
        <is>
          <t>Épeule Nord</t>
        </is>
      </c>
      <c r="D14" s="146" t="n">
        <v>9</v>
      </c>
      <c r="E14" s="146" t="n">
        <v>23</v>
      </c>
      <c r="F14" s="146" t="n">
        <v>38</v>
      </c>
      <c r="G14" s="146" t="n">
        <v>47</v>
      </c>
      <c r="H14" s="146" t="n">
        <v>8</v>
      </c>
      <c r="I14" s="146" t="n">
        <v>22</v>
      </c>
      <c r="J14" s="146" t="n">
        <v>33</v>
      </c>
      <c r="K14" s="146" t="n">
        <v>30</v>
      </c>
      <c r="L14" s="146" t="n">
        <v>32</v>
      </c>
      <c r="M14" s="146" t="n">
        <v>13</v>
      </c>
      <c r="N14" s="146" t="n">
        <v>35</v>
      </c>
      <c r="O14" s="146" t="n">
        <v>31</v>
      </c>
      <c r="P14" s="146" t="n">
        <v>28</v>
      </c>
      <c r="Q14" s="146" t="n">
        <v>7</v>
      </c>
      <c r="R14" s="146" t="n">
        <v>54</v>
      </c>
      <c r="S14" s="146" t="n">
        <v>23</v>
      </c>
      <c r="T14" s="146" t="n">
        <v>35</v>
      </c>
      <c r="U14" s="146" t="n">
        <v>39</v>
      </c>
      <c r="V14" s="147" t="n">
        <v>507</v>
      </c>
    </row>
    <row r="15" ht="30" customHeight="1">
      <c r="A15" s="145" t="inlineStr">
        <is>
          <t>OUEST</t>
        </is>
      </c>
      <c r="B15" s="145" t="inlineStr">
        <is>
          <t>EPEULE</t>
        </is>
      </c>
      <c r="C15" s="145" t="inlineStr">
        <is>
          <t>Épeule Centre</t>
        </is>
      </c>
      <c r="D15" s="146" t="n">
        <v>42</v>
      </c>
      <c r="E15" s="146" t="n">
        <v>39</v>
      </c>
      <c r="F15" s="146" t="n">
        <v>33</v>
      </c>
      <c r="G15" s="146" t="n">
        <v>60</v>
      </c>
      <c r="H15" s="146" t="n">
        <v>57</v>
      </c>
      <c r="I15" s="146" t="n">
        <v>63</v>
      </c>
      <c r="J15" s="146" t="n">
        <v>56</v>
      </c>
      <c r="K15" s="146" t="n">
        <v>51</v>
      </c>
      <c r="L15" s="146" t="n">
        <v>53</v>
      </c>
      <c r="M15" s="146" t="n">
        <v>61</v>
      </c>
      <c r="N15" s="146" t="n">
        <v>41</v>
      </c>
      <c r="O15" s="146" t="n">
        <v>63</v>
      </c>
      <c r="P15" s="146" t="n">
        <v>36</v>
      </c>
      <c r="Q15" s="146" t="n">
        <v>71</v>
      </c>
      <c r="R15" s="146" t="n">
        <v>38</v>
      </c>
      <c r="S15" s="146" t="n">
        <v>47</v>
      </c>
      <c r="T15" s="146" t="n">
        <v>35</v>
      </c>
      <c r="U15" s="146" t="n">
        <v>35</v>
      </c>
      <c r="V15" s="147" t="n">
        <v>881</v>
      </c>
    </row>
    <row r="16" ht="30" customHeight="1">
      <c r="A16" s="145" t="inlineStr">
        <is>
          <t>OUEST</t>
        </is>
      </c>
      <c r="B16" s="145" t="inlineStr">
        <is>
          <t>EPEULE</t>
        </is>
      </c>
      <c r="C16" s="145" t="inlineStr">
        <is>
          <t>Épeule Sud</t>
        </is>
      </c>
      <c r="D16" s="146" t="n">
        <v>25</v>
      </c>
      <c r="E16" s="146" t="n">
        <v>4</v>
      </c>
      <c r="F16" s="146" t="n">
        <v>22</v>
      </c>
      <c r="G16" s="146" t="n">
        <v>6</v>
      </c>
      <c r="H16" s="146" t="n">
        <v>19</v>
      </c>
      <c r="I16" s="146" t="n">
        <v>11</v>
      </c>
      <c r="J16" s="146" t="n">
        <v>12</v>
      </c>
      <c r="K16" s="146" t="n">
        <v>11</v>
      </c>
      <c r="L16" s="146" t="n">
        <v>26</v>
      </c>
      <c r="M16" s="146" t="n">
        <v>14</v>
      </c>
      <c r="N16" s="146" t="n">
        <v>32</v>
      </c>
      <c r="O16" s="146" t="n">
        <v>36</v>
      </c>
      <c r="P16" s="146" t="n">
        <v>10</v>
      </c>
      <c r="Q16" s="146" t="n">
        <v>17</v>
      </c>
      <c r="R16" s="146" t="n">
        <v>38</v>
      </c>
      <c r="S16" s="146" t="n">
        <v>42</v>
      </c>
      <c r="T16" s="146" t="n">
        <v>15</v>
      </c>
      <c r="U16" s="146" t="n">
        <v>30</v>
      </c>
      <c r="V16" s="147" t="n">
        <v>370</v>
      </c>
    </row>
    <row r="17" ht="30" customHeight="1">
      <c r="A17" s="145" t="inlineStr">
        <is>
          <t>OUEST</t>
        </is>
      </c>
      <c r="B17" s="145" t="inlineStr">
        <is>
          <t>TRICHON</t>
        </is>
      </c>
      <c r="C17" s="145" t="inlineStr">
        <is>
          <t>Trichon</t>
        </is>
      </c>
      <c r="D17" s="146" t="n">
        <v>36</v>
      </c>
      <c r="E17" s="146" t="n">
        <v>67</v>
      </c>
      <c r="F17" s="146" t="n">
        <v>48</v>
      </c>
      <c r="G17" s="146" t="n">
        <v>36</v>
      </c>
      <c r="H17" s="146" t="n">
        <v>41</v>
      </c>
      <c r="I17" s="146" t="n">
        <v>72</v>
      </c>
      <c r="J17" s="146" t="n">
        <v>60</v>
      </c>
      <c r="K17" s="146" t="n">
        <v>35</v>
      </c>
      <c r="L17" s="146" t="n">
        <v>69</v>
      </c>
      <c r="M17" s="146" t="n">
        <v>94</v>
      </c>
      <c r="N17" s="146" t="n">
        <v>67</v>
      </c>
      <c r="O17" s="146" t="n">
        <v>70</v>
      </c>
      <c r="P17" s="146" t="n">
        <v>68</v>
      </c>
      <c r="Q17" s="146" t="n">
        <v>56</v>
      </c>
      <c r="R17" s="146" t="n">
        <v>65</v>
      </c>
      <c r="S17" s="146" t="n">
        <v>32</v>
      </c>
      <c r="T17" s="146" t="n">
        <v>57</v>
      </c>
      <c r="U17" s="146" t="n">
        <v>54</v>
      </c>
      <c r="V17" s="147" t="n">
        <v>1027</v>
      </c>
    </row>
    <row r="18" ht="30" customHeight="1">
      <c r="A18" s="145" t="inlineStr">
        <is>
          <t>CENTRE</t>
        </is>
      </c>
      <c r="B18" s="145" t="inlineStr">
        <is>
          <t>ESPERANCE/CROUY/CENTRE VILLE</t>
        </is>
      </c>
      <c r="C18" s="145" t="inlineStr">
        <is>
          <t>Espérance Centre</t>
        </is>
      </c>
      <c r="D18" s="146" t="n">
        <v>58</v>
      </c>
      <c r="E18" s="146" t="n">
        <v>43</v>
      </c>
      <c r="F18" s="146" t="n">
        <v>51</v>
      </c>
      <c r="G18" s="146" t="n">
        <v>42</v>
      </c>
      <c r="H18" s="146" t="n">
        <v>107</v>
      </c>
      <c r="I18" s="146" t="n">
        <v>42</v>
      </c>
      <c r="J18" s="146" t="n">
        <v>50</v>
      </c>
      <c r="K18" s="146" t="n">
        <v>54</v>
      </c>
      <c r="L18" s="146" t="n">
        <v>40</v>
      </c>
      <c r="M18" s="146" t="n">
        <v>28</v>
      </c>
      <c r="N18" s="146" t="n">
        <v>72</v>
      </c>
      <c r="O18" s="146" t="n">
        <v>50</v>
      </c>
      <c r="P18" s="146" t="n">
        <v>32</v>
      </c>
      <c r="Q18" s="146" t="n">
        <v>44</v>
      </c>
      <c r="R18" s="146" t="n">
        <v>24</v>
      </c>
      <c r="S18" s="146" t="n">
        <v>44</v>
      </c>
      <c r="T18" s="146" t="n">
        <v>54</v>
      </c>
      <c r="U18" s="146" t="n">
        <v>41</v>
      </c>
      <c r="V18" s="147" t="n">
        <v>876</v>
      </c>
    </row>
    <row r="19" ht="30" customHeight="1">
      <c r="A19" s="145" t="inlineStr">
        <is>
          <t>CENTRE</t>
        </is>
      </c>
      <c r="B19" s="145" t="inlineStr">
        <is>
          <t>NATIONS UNIES</t>
        </is>
      </c>
      <c r="C19" s="145" t="inlineStr">
        <is>
          <t>Nations Unies</t>
        </is>
      </c>
      <c r="D19" s="146" t="n">
        <v>41</v>
      </c>
      <c r="E19" s="146" t="n">
        <v>50</v>
      </c>
      <c r="F19" s="146" t="n">
        <v>38</v>
      </c>
      <c r="G19" s="146" t="n">
        <v>38</v>
      </c>
      <c r="H19" s="146" t="n">
        <v>30</v>
      </c>
      <c r="I19" s="146" t="n">
        <v>31</v>
      </c>
      <c r="J19" s="146" t="n">
        <v>62</v>
      </c>
      <c r="K19" s="146" t="n">
        <v>76</v>
      </c>
      <c r="L19" s="146" t="n">
        <v>36</v>
      </c>
      <c r="M19" s="146" t="n">
        <v>52</v>
      </c>
      <c r="N19" s="146" t="n">
        <v>48</v>
      </c>
      <c r="O19" s="146" t="n">
        <v>45</v>
      </c>
      <c r="P19" s="146" t="n">
        <v>35</v>
      </c>
      <c r="Q19" s="146" t="n">
        <v>43</v>
      </c>
      <c r="R19" s="146" t="n">
        <v>24</v>
      </c>
      <c r="S19" s="146" t="n">
        <v>13</v>
      </c>
      <c r="T19" s="146" t="n">
        <v>6</v>
      </c>
      <c r="U19" s="146" t="n">
        <v>18</v>
      </c>
      <c r="V19" s="147" t="n">
        <v>686</v>
      </c>
    </row>
    <row r="20" ht="30" customHeight="1">
      <c r="A20" s="145" t="inlineStr">
        <is>
          <t>CENTRE</t>
        </is>
      </c>
      <c r="B20" s="145" t="inlineStr">
        <is>
          <t>ANSEELE MOTTE BOSSUT</t>
        </is>
      </c>
      <c r="C20" s="145" t="inlineStr">
        <is>
          <t>Anseele</t>
        </is>
      </c>
      <c r="D20" s="146" t="n">
        <v>70</v>
      </c>
      <c r="E20" s="146" t="n">
        <v>75</v>
      </c>
      <c r="F20" s="146" t="n">
        <v>63</v>
      </c>
      <c r="G20" s="146" t="n">
        <v>67</v>
      </c>
      <c r="H20" s="146" t="n">
        <v>51</v>
      </c>
      <c r="I20" s="146" t="n">
        <v>49</v>
      </c>
      <c r="J20" s="146" t="n">
        <v>50</v>
      </c>
      <c r="K20" s="146" t="n">
        <v>63</v>
      </c>
      <c r="L20" s="146" t="n">
        <v>58</v>
      </c>
      <c r="M20" s="146" t="n">
        <v>43</v>
      </c>
      <c r="N20" s="146" t="n">
        <v>49</v>
      </c>
      <c r="O20" s="146" t="n">
        <v>44</v>
      </c>
      <c r="P20" s="146" t="n">
        <v>41</v>
      </c>
      <c r="Q20" s="146" t="n">
        <v>49</v>
      </c>
      <c r="R20" s="146" t="n">
        <v>43</v>
      </c>
      <c r="S20" s="146" t="n">
        <v>37</v>
      </c>
      <c r="T20" s="146" t="n">
        <v>65</v>
      </c>
      <c r="U20" s="146" t="n">
        <v>44</v>
      </c>
      <c r="V20" s="147" t="n">
        <v>961</v>
      </c>
    </row>
    <row r="21" ht="30" customHeight="1">
      <c r="A21" s="145" t="inlineStr">
        <is>
          <t>CENTRE</t>
        </is>
      </c>
      <c r="B21" s="145" t="inlineStr">
        <is>
          <t>VAUBAN</t>
        </is>
      </c>
      <c r="C21" s="145" t="inlineStr">
        <is>
          <t>Barbieux-Vauban</t>
        </is>
      </c>
      <c r="D21" s="146" t="n">
        <v>39</v>
      </c>
      <c r="E21" s="146" t="n">
        <v>58</v>
      </c>
      <c r="F21" s="146" t="n">
        <v>25</v>
      </c>
      <c r="G21" s="146" t="n">
        <v>28</v>
      </c>
      <c r="H21" s="146" t="n">
        <v>47</v>
      </c>
      <c r="I21" s="146" t="n">
        <v>24</v>
      </c>
      <c r="J21" s="146" t="n">
        <v>49</v>
      </c>
      <c r="K21" s="146" t="n">
        <v>19</v>
      </c>
      <c r="L21" s="146" t="n">
        <v>45</v>
      </c>
      <c r="M21" s="146" t="n">
        <v>21</v>
      </c>
      <c r="N21" s="146" t="n">
        <v>37</v>
      </c>
      <c r="O21" s="146" t="n">
        <v>27</v>
      </c>
      <c r="P21" s="146" t="n">
        <v>47</v>
      </c>
      <c r="Q21" s="146" t="n">
        <v>15</v>
      </c>
      <c r="R21" s="146" t="n">
        <v>23</v>
      </c>
      <c r="S21" s="146" t="n">
        <v>41</v>
      </c>
      <c r="T21" s="146" t="n">
        <v>30</v>
      </c>
      <c r="U21" s="146" t="n">
        <v>59</v>
      </c>
      <c r="V21" s="147" t="n">
        <v>634</v>
      </c>
    </row>
    <row r="22" ht="30" customHeight="1">
      <c r="A22" s="145" t="inlineStr">
        <is>
          <t>SUD</t>
        </is>
      </c>
      <c r="B22" s="145" t="inlineStr">
        <is>
          <t>BARBIEUX</t>
        </is>
      </c>
      <c r="C22" s="145" t="inlineStr">
        <is>
          <t>Barbieux Sud</t>
        </is>
      </c>
      <c r="D22" s="146" t="n">
        <v>15</v>
      </c>
      <c r="E22" s="146" t="n">
        <v>4</v>
      </c>
      <c r="F22" s="146" t="n">
        <v>20</v>
      </c>
      <c r="G22" s="146" t="n">
        <v>53</v>
      </c>
      <c r="H22" s="146" t="n">
        <v>7</v>
      </c>
      <c r="I22" s="146" t="n">
        <v>22</v>
      </c>
      <c r="J22" s="146" t="n">
        <v>21</v>
      </c>
      <c r="K22" s="146" t="n">
        <v>33</v>
      </c>
      <c r="L22" s="146" t="n">
        <v>5</v>
      </c>
      <c r="M22" s="146" t="n">
        <v>26</v>
      </c>
      <c r="N22" s="146" t="n">
        <v>13</v>
      </c>
      <c r="O22" s="146" t="n">
        <v>36</v>
      </c>
      <c r="P22" s="146" t="n">
        <v>13</v>
      </c>
      <c r="Q22" s="146" t="n">
        <v>0</v>
      </c>
      <c r="R22" s="146" t="n">
        <v>7</v>
      </c>
      <c r="S22" s="146" t="n">
        <v>32</v>
      </c>
      <c r="T22" s="146" t="n">
        <v>20</v>
      </c>
      <c r="U22" s="146" t="n">
        <v>13</v>
      </c>
      <c r="V22" s="147" t="n">
        <v>340</v>
      </c>
    </row>
    <row r="23" ht="30" customHeight="1">
      <c r="A23" s="145" t="inlineStr">
        <is>
          <t>SUD</t>
        </is>
      </c>
      <c r="B23" s="145" t="inlineStr">
        <is>
          <t>EDOUARD VAILLANT</t>
        </is>
      </c>
      <c r="C23" s="145" t="inlineStr">
        <is>
          <t>Édouard Vaillant</t>
        </is>
      </c>
      <c r="D23" s="146" t="n">
        <v>66</v>
      </c>
      <c r="E23" s="146" t="n">
        <v>64</v>
      </c>
      <c r="F23" s="146" t="n">
        <v>92</v>
      </c>
      <c r="G23" s="146" t="n">
        <v>39</v>
      </c>
      <c r="H23" s="146" t="n">
        <v>68</v>
      </c>
      <c r="I23" s="146" t="n">
        <v>103</v>
      </c>
      <c r="J23" s="146" t="n">
        <v>78</v>
      </c>
      <c r="K23" s="146" t="n">
        <v>37</v>
      </c>
      <c r="L23" s="146" t="n">
        <v>74</v>
      </c>
      <c r="M23" s="146" t="n">
        <v>62</v>
      </c>
      <c r="N23" s="146" t="n">
        <v>54</v>
      </c>
      <c r="O23" s="146" t="n">
        <v>45</v>
      </c>
      <c r="P23" s="146" t="n">
        <v>83</v>
      </c>
      <c r="Q23" s="146" t="n">
        <v>37</v>
      </c>
      <c r="R23" s="146" t="n">
        <v>71</v>
      </c>
      <c r="S23" s="146" t="n">
        <v>43</v>
      </c>
      <c r="T23" s="146" t="n">
        <v>65</v>
      </c>
      <c r="U23" s="146" t="n">
        <v>38</v>
      </c>
      <c r="V23" s="147" t="n">
        <v>1119</v>
      </c>
    </row>
    <row r="24" ht="30" customHeight="1">
      <c r="A24" s="145" t="inlineStr">
        <is>
          <t>SUD</t>
        </is>
      </c>
      <c r="B24" s="145" t="inlineStr">
        <is>
          <t>MOULIN</t>
        </is>
      </c>
      <c r="C24" s="145" t="inlineStr">
        <is>
          <t>Moulin Nord</t>
        </is>
      </c>
      <c r="D24" s="146" t="n">
        <v>31</v>
      </c>
      <c r="E24" s="146" t="n">
        <v>23</v>
      </c>
      <c r="F24" s="146" t="n">
        <v>54</v>
      </c>
      <c r="G24" s="146" t="n">
        <v>36</v>
      </c>
      <c r="H24" s="146" t="n">
        <v>43</v>
      </c>
      <c r="I24" s="146" t="n">
        <v>18</v>
      </c>
      <c r="J24" s="146" t="n">
        <v>60</v>
      </c>
      <c r="K24" s="146" t="n">
        <v>48</v>
      </c>
      <c r="L24" s="146" t="n">
        <v>41</v>
      </c>
      <c r="M24" s="146" t="n">
        <v>25</v>
      </c>
      <c r="N24" s="146" t="n">
        <v>50</v>
      </c>
      <c r="O24" s="146" t="n">
        <v>45</v>
      </c>
      <c r="P24" s="146" t="n">
        <v>46</v>
      </c>
      <c r="Q24" s="146" t="n">
        <v>67</v>
      </c>
      <c r="R24" s="146" t="n">
        <v>52</v>
      </c>
      <c r="S24" s="146" t="n">
        <v>41</v>
      </c>
      <c r="T24" s="146" t="n">
        <v>79</v>
      </c>
      <c r="U24" s="146" t="n">
        <v>41</v>
      </c>
      <c r="V24" s="147" t="n">
        <v>800</v>
      </c>
    </row>
    <row r="25" ht="30" customHeight="1">
      <c r="A25" s="145" t="inlineStr">
        <is>
          <t>SUD</t>
        </is>
      </c>
      <c r="B25" s="145" t="inlineStr">
        <is>
          <t>MOULIN</t>
        </is>
      </c>
      <c r="C25" s="145" t="inlineStr">
        <is>
          <t>Moulin Sud</t>
        </is>
      </c>
      <c r="D25" s="146" t="n">
        <v>35</v>
      </c>
      <c r="E25" s="146" t="n">
        <v>43</v>
      </c>
      <c r="F25" s="146" t="n">
        <v>65</v>
      </c>
      <c r="G25" s="146" t="n">
        <v>44</v>
      </c>
      <c r="H25" s="146" t="n">
        <v>48</v>
      </c>
      <c r="I25" s="146" t="n">
        <v>54</v>
      </c>
      <c r="J25" s="146" t="n">
        <v>31</v>
      </c>
      <c r="K25" s="146" t="n">
        <v>56</v>
      </c>
      <c r="L25" s="146" t="n">
        <v>61</v>
      </c>
      <c r="M25" s="146" t="n">
        <v>46</v>
      </c>
      <c r="N25" s="146" t="n">
        <v>41</v>
      </c>
      <c r="O25" s="146" t="n">
        <v>41</v>
      </c>
      <c r="P25" s="146" t="n">
        <v>42</v>
      </c>
      <c r="Q25" s="146" t="n">
        <v>28</v>
      </c>
      <c r="R25" s="146" t="n">
        <v>26</v>
      </c>
      <c r="S25" s="146" t="n">
        <v>31</v>
      </c>
      <c r="T25" s="146" t="n">
        <v>26</v>
      </c>
      <c r="U25" s="146" t="n">
        <v>42</v>
      </c>
      <c r="V25" s="147" t="n">
        <v>760</v>
      </c>
    </row>
    <row r="26" ht="30" customHeight="1">
      <c r="A26" s="145" t="inlineStr">
        <is>
          <t>SUD</t>
        </is>
      </c>
      <c r="B26" s="145" t="inlineStr">
        <is>
          <t>POTENNERIE</t>
        </is>
      </c>
      <c r="C26" s="145" t="inlineStr">
        <is>
          <t>Potennerie</t>
        </is>
      </c>
      <c r="D26" s="146" t="n">
        <v>58</v>
      </c>
      <c r="E26" s="146" t="n">
        <v>42</v>
      </c>
      <c r="F26" s="146" t="n">
        <v>36</v>
      </c>
      <c r="G26" s="146" t="n">
        <v>100</v>
      </c>
      <c r="H26" s="146" t="n">
        <v>49</v>
      </c>
      <c r="I26" s="146" t="n">
        <v>45</v>
      </c>
      <c r="J26" s="146" t="n">
        <v>46</v>
      </c>
      <c r="K26" s="146" t="n">
        <v>61</v>
      </c>
      <c r="L26" s="146" t="n">
        <v>51</v>
      </c>
      <c r="M26" s="146" t="n">
        <v>49</v>
      </c>
      <c r="N26" s="146" t="n">
        <v>43</v>
      </c>
      <c r="O26" s="146" t="n">
        <v>57</v>
      </c>
      <c r="P26" s="146" t="n">
        <v>32</v>
      </c>
      <c r="Q26" s="146" t="n">
        <v>43</v>
      </c>
      <c r="R26" s="146" t="n">
        <v>42</v>
      </c>
      <c r="S26" s="146" t="n">
        <v>51</v>
      </c>
      <c r="T26" s="146" t="n">
        <v>33</v>
      </c>
      <c r="U26" s="146" t="n">
        <v>51</v>
      </c>
      <c r="V26" s="147" t="n">
        <v>889</v>
      </c>
    </row>
    <row r="27" ht="30" customHeight="1">
      <c r="A27" s="145" t="inlineStr">
        <is>
          <t>EST</t>
        </is>
      </c>
      <c r="B27" s="145" t="inlineStr">
        <is>
          <t>STE ELISABETH</t>
        </is>
      </c>
      <c r="C27" s="145" t="inlineStr">
        <is>
          <t>Sainte-Élisabeth Centre</t>
        </is>
      </c>
      <c r="D27" s="146" t="n">
        <v>37</v>
      </c>
      <c r="E27" s="146" t="n">
        <v>33</v>
      </c>
      <c r="F27" s="146" t="n">
        <v>9</v>
      </c>
      <c r="G27" s="146" t="n">
        <v>36</v>
      </c>
      <c r="H27" s="146" t="n">
        <v>40</v>
      </c>
      <c r="I27" s="146" t="n">
        <v>34</v>
      </c>
      <c r="J27" s="146" t="n">
        <v>38</v>
      </c>
      <c r="K27" s="146" t="n">
        <v>40</v>
      </c>
      <c r="L27" s="146" t="n">
        <v>56</v>
      </c>
      <c r="M27" s="146" t="n">
        <v>39</v>
      </c>
      <c r="N27" s="146" t="n">
        <v>57</v>
      </c>
      <c r="O27" s="146" t="n">
        <v>42</v>
      </c>
      <c r="P27" s="146" t="n">
        <v>29</v>
      </c>
      <c r="Q27" s="146" t="n">
        <v>55</v>
      </c>
      <c r="R27" s="146" t="n">
        <v>56</v>
      </c>
      <c r="S27" s="146" t="n">
        <v>51</v>
      </c>
      <c r="T27" s="146" t="n">
        <v>41</v>
      </c>
      <c r="U27" s="146" t="n">
        <v>60</v>
      </c>
      <c r="V27" s="147" t="n">
        <v>753</v>
      </c>
    </row>
    <row r="28" ht="30" customHeight="1">
      <c r="A28" s="145" t="inlineStr">
        <is>
          <t>EST</t>
        </is>
      </c>
      <c r="B28" s="145" t="inlineStr">
        <is>
          <t>STE ELISABETH</t>
        </is>
      </c>
      <c r="C28" s="145" t="inlineStr">
        <is>
          <t>Sainte-Élisabeth Sud</t>
        </is>
      </c>
      <c r="D28" s="146" t="n">
        <v>63</v>
      </c>
      <c r="E28" s="146" t="n">
        <v>41</v>
      </c>
      <c r="F28" s="146" t="n">
        <v>37</v>
      </c>
      <c r="G28" s="146" t="n">
        <v>43</v>
      </c>
      <c r="H28" s="146" t="n">
        <v>90</v>
      </c>
      <c r="I28" s="146" t="n">
        <v>62</v>
      </c>
      <c r="J28" s="146" t="n">
        <v>53</v>
      </c>
      <c r="K28" s="146" t="n">
        <v>68</v>
      </c>
      <c r="L28" s="146" t="n">
        <v>48</v>
      </c>
      <c r="M28" s="146" t="n">
        <v>64</v>
      </c>
      <c r="N28" s="146" t="n">
        <v>24</v>
      </c>
      <c r="O28" s="146" t="n">
        <v>41</v>
      </c>
      <c r="P28" s="146" t="n">
        <v>71</v>
      </c>
      <c r="Q28" s="146" t="n">
        <v>43</v>
      </c>
      <c r="R28" s="146" t="n">
        <v>46</v>
      </c>
      <c r="S28" s="146" t="n">
        <v>42</v>
      </c>
      <c r="T28" s="146" t="n">
        <v>14</v>
      </c>
      <c r="U28" s="146" t="n">
        <v>39</v>
      </c>
      <c r="V28" s="147" t="n">
        <v>889</v>
      </c>
    </row>
    <row r="29" ht="30" customHeight="1">
      <c r="A29" s="145" t="inlineStr">
        <is>
          <t>EST</t>
        </is>
      </c>
      <c r="B29" s="145" t="inlineStr">
        <is>
          <t>STE ELISABETH</t>
        </is>
      </c>
      <c r="C29" s="145" t="inlineStr">
        <is>
          <t>Sainte-Élisabeth Nord</t>
        </is>
      </c>
      <c r="D29" s="146" t="n">
        <v>50</v>
      </c>
      <c r="E29" s="146" t="n">
        <v>25</v>
      </c>
      <c r="F29" s="146" t="n">
        <v>52</v>
      </c>
      <c r="G29" s="146" t="n">
        <v>47</v>
      </c>
      <c r="H29" s="146" t="n">
        <v>24</v>
      </c>
      <c r="I29" s="146" t="n">
        <v>34</v>
      </c>
      <c r="J29" s="146" t="n">
        <v>49</v>
      </c>
      <c r="K29" s="146" t="n">
        <v>50</v>
      </c>
      <c r="L29" s="146" t="n">
        <v>46</v>
      </c>
      <c r="M29" s="146" t="n">
        <v>39</v>
      </c>
      <c r="N29" s="146" t="n">
        <v>58</v>
      </c>
      <c r="O29" s="146" t="n">
        <v>78</v>
      </c>
      <c r="P29" s="146" t="n">
        <v>58</v>
      </c>
      <c r="Q29" s="146" t="n">
        <v>43</v>
      </c>
      <c r="R29" s="146" t="n">
        <v>66</v>
      </c>
      <c r="S29" s="146" t="n">
        <v>40</v>
      </c>
      <c r="T29" s="146" t="n">
        <v>45</v>
      </c>
      <c r="U29" s="146" t="n">
        <v>36</v>
      </c>
      <c r="V29" s="147" t="n">
        <v>840</v>
      </c>
    </row>
    <row r="30" ht="30" customHeight="1">
      <c r="A30" s="145" t="inlineStr">
        <is>
          <t>EST</t>
        </is>
      </c>
      <c r="B30" s="145" t="inlineStr">
        <is>
          <t>PILE</t>
        </is>
      </c>
      <c r="C30" s="145" t="inlineStr">
        <is>
          <t>Pile Est</t>
        </is>
      </c>
      <c r="D30" s="146" t="n">
        <v>55</v>
      </c>
      <c r="E30" s="146" t="n">
        <v>23</v>
      </c>
      <c r="F30" s="146" t="n">
        <v>13</v>
      </c>
      <c r="G30" s="146" t="n">
        <v>52</v>
      </c>
      <c r="H30" s="146" t="n">
        <v>47</v>
      </c>
      <c r="I30" s="146" t="n">
        <v>37</v>
      </c>
      <c r="J30" s="146" t="n">
        <v>56</v>
      </c>
      <c r="K30" s="146" t="n">
        <v>52</v>
      </c>
      <c r="L30" s="146" t="n">
        <v>80</v>
      </c>
      <c r="M30" s="146" t="n">
        <v>51</v>
      </c>
      <c r="N30" s="146" t="n">
        <v>61</v>
      </c>
      <c r="O30" s="146" t="n">
        <v>30</v>
      </c>
      <c r="P30" s="146" t="n">
        <v>60</v>
      </c>
      <c r="Q30" s="146" t="n">
        <v>56</v>
      </c>
      <c r="R30" s="146" t="n">
        <v>50</v>
      </c>
      <c r="S30" s="146" t="n">
        <v>44</v>
      </c>
      <c r="T30" s="146" t="n">
        <v>39</v>
      </c>
      <c r="U30" s="146" t="n">
        <v>27</v>
      </c>
      <c r="V30" s="147" t="n">
        <v>833</v>
      </c>
    </row>
    <row r="31" ht="30" customHeight="1">
      <c r="A31" s="145" t="inlineStr">
        <is>
          <t>EST</t>
        </is>
      </c>
      <c r="B31" s="145" t="inlineStr">
        <is>
          <t>PILE</t>
        </is>
      </c>
      <c r="C31" s="145" t="inlineStr">
        <is>
          <t>Pile Centre</t>
        </is>
      </c>
      <c r="D31" s="146" t="n">
        <v>47</v>
      </c>
      <c r="E31" s="146" t="n">
        <v>62</v>
      </c>
      <c r="F31" s="146" t="n">
        <v>52</v>
      </c>
      <c r="G31" s="146" t="n">
        <v>70</v>
      </c>
      <c r="H31" s="146" t="n">
        <v>58</v>
      </c>
      <c r="I31" s="146" t="n">
        <v>50</v>
      </c>
      <c r="J31" s="146" t="n">
        <v>85</v>
      </c>
      <c r="K31" s="146" t="n">
        <v>51</v>
      </c>
      <c r="L31" s="146" t="n">
        <v>64</v>
      </c>
      <c r="M31" s="146" t="n">
        <v>43</v>
      </c>
      <c r="N31" s="146" t="n">
        <v>52</v>
      </c>
      <c r="O31" s="146" t="n">
        <v>61</v>
      </c>
      <c r="P31" s="146" t="n">
        <v>38</v>
      </c>
      <c r="Q31" s="146" t="n">
        <v>38</v>
      </c>
      <c r="R31" s="146" t="n">
        <v>71</v>
      </c>
      <c r="S31" s="146" t="n">
        <v>60</v>
      </c>
      <c r="T31" s="146" t="n">
        <v>28</v>
      </c>
      <c r="U31" s="146" t="n">
        <v>41</v>
      </c>
      <c r="V31" s="147" t="n">
        <v>971</v>
      </c>
    </row>
    <row r="32" ht="30" customHeight="1">
      <c r="A32" s="145" t="inlineStr">
        <is>
          <t>EST</t>
        </is>
      </c>
      <c r="B32" s="145" t="inlineStr">
        <is>
          <t>PILE</t>
        </is>
      </c>
      <c r="C32" s="145" t="inlineStr">
        <is>
          <t>Pile Nord</t>
        </is>
      </c>
      <c r="D32" s="146" t="n">
        <v>32</v>
      </c>
      <c r="E32" s="146" t="n">
        <v>21</v>
      </c>
      <c r="F32" s="146" t="n">
        <v>37</v>
      </c>
      <c r="G32" s="146" t="n">
        <v>23</v>
      </c>
      <c r="H32" s="146" t="n">
        <v>16</v>
      </c>
      <c r="I32" s="146" t="n">
        <v>36</v>
      </c>
      <c r="J32" s="146" t="n">
        <v>27</v>
      </c>
      <c r="K32" s="146" t="n">
        <v>39</v>
      </c>
      <c r="L32" s="146" t="n">
        <v>21</v>
      </c>
      <c r="M32" s="146" t="n">
        <v>38</v>
      </c>
      <c r="N32" s="146" t="n">
        <v>47</v>
      </c>
      <c r="O32" s="146" t="n">
        <v>16</v>
      </c>
      <c r="P32" s="146" t="n">
        <v>35</v>
      </c>
      <c r="Q32" s="146" t="n">
        <v>34</v>
      </c>
      <c r="R32" s="146" t="n">
        <v>33</v>
      </c>
      <c r="S32" s="146" t="n">
        <v>47</v>
      </c>
      <c r="T32" s="146" t="n">
        <v>31</v>
      </c>
      <c r="U32" s="146" t="n">
        <v>41</v>
      </c>
      <c r="V32" s="147" t="n">
        <v>574</v>
      </c>
    </row>
    <row r="33" ht="30" customHeight="1">
      <c r="A33" s="145" t="inlineStr">
        <is>
          <t>EST</t>
        </is>
      </c>
      <c r="B33" s="145" t="inlineStr">
        <is>
          <t>TROIS PONTS</t>
        </is>
      </c>
      <c r="C33" s="145" t="inlineStr">
        <is>
          <t>Trois Ponts Nord</t>
        </is>
      </c>
      <c r="D33" s="146" t="n">
        <v>15</v>
      </c>
      <c r="E33" s="146" t="n">
        <v>14</v>
      </c>
      <c r="F33" s="146" t="n">
        <v>7</v>
      </c>
      <c r="G33" s="146" t="n">
        <v>10</v>
      </c>
      <c r="H33" s="146" t="n">
        <v>10</v>
      </c>
      <c r="I33" s="146" t="n">
        <v>8</v>
      </c>
      <c r="J33" s="146" t="n">
        <v>19</v>
      </c>
      <c r="K33" s="146" t="n">
        <v>13</v>
      </c>
      <c r="L33" s="146" t="n">
        <v>3</v>
      </c>
      <c r="M33" s="146" t="n">
        <v>4</v>
      </c>
      <c r="N33" s="146" t="n">
        <v>3</v>
      </c>
      <c r="O33" s="146" t="n">
        <v>7</v>
      </c>
      <c r="P33" s="146" t="n">
        <v>0</v>
      </c>
      <c r="Q33" s="146" t="n">
        <v>11</v>
      </c>
      <c r="R33" s="146" t="n">
        <v>3</v>
      </c>
      <c r="S33" s="146" t="n">
        <v>10</v>
      </c>
      <c r="T33" s="146" t="n">
        <v>2</v>
      </c>
      <c r="U33" s="146" t="n">
        <v>9</v>
      </c>
      <c r="V33" s="147" t="n">
        <v>148</v>
      </c>
    </row>
    <row r="34" ht="30" customHeight="1">
      <c r="A34" s="145" t="inlineStr">
        <is>
          <t>EST</t>
        </is>
      </c>
      <c r="B34" s="145" t="inlineStr">
        <is>
          <t>TROIS PONTS</t>
        </is>
      </c>
      <c r="C34" s="145" t="inlineStr">
        <is>
          <t>Trois Ponts Sud</t>
        </is>
      </c>
      <c r="D34" s="146" t="n">
        <v>49</v>
      </c>
      <c r="E34" s="146" t="n">
        <v>51</v>
      </c>
      <c r="F34" s="146" t="n">
        <v>59</v>
      </c>
      <c r="G34" s="146" t="n">
        <v>62</v>
      </c>
      <c r="H34" s="146" t="n">
        <v>38</v>
      </c>
      <c r="I34" s="146" t="n">
        <v>56</v>
      </c>
      <c r="J34" s="146" t="n">
        <v>49</v>
      </c>
      <c r="K34" s="146" t="n">
        <v>61</v>
      </c>
      <c r="L34" s="146" t="n">
        <v>45</v>
      </c>
      <c r="M34" s="146" t="n">
        <v>100</v>
      </c>
      <c r="N34" s="146" t="n">
        <v>54</v>
      </c>
      <c r="O34" s="146" t="n">
        <v>44</v>
      </c>
      <c r="P34" s="146" t="n">
        <v>37</v>
      </c>
      <c r="Q34" s="146" t="n">
        <v>35</v>
      </c>
      <c r="R34" s="146" t="n">
        <v>51</v>
      </c>
      <c r="S34" s="146" t="n">
        <v>54</v>
      </c>
      <c r="T34" s="146" t="n">
        <v>42</v>
      </c>
      <c r="U34" s="146" t="n">
        <v>25</v>
      </c>
      <c r="V34" s="147" t="n">
        <v>912</v>
      </c>
    </row>
    <row r="35" ht="30" customHeight="1">
      <c r="A35" s="145" t="inlineStr">
        <is>
          <t>EST</t>
        </is>
      </c>
      <c r="B35" s="145" t="inlineStr">
        <is>
          <t>SARTEL CARIHEM</t>
        </is>
      </c>
      <c r="C35" s="145" t="inlineStr">
        <is>
          <t>Sartel</t>
        </is>
      </c>
      <c r="D35" s="146" t="n">
        <v>34</v>
      </c>
      <c r="E35" s="146" t="n">
        <v>12</v>
      </c>
      <c r="F35" s="146" t="n">
        <v>18</v>
      </c>
      <c r="G35" s="146" t="n">
        <v>21</v>
      </c>
      <c r="H35" s="146" t="n">
        <v>18</v>
      </c>
      <c r="I35" s="146" t="n">
        <v>35</v>
      </c>
      <c r="J35" s="146" t="n">
        <v>20</v>
      </c>
      <c r="K35" s="146" t="n">
        <v>23</v>
      </c>
      <c r="L35" s="146" t="n">
        <v>28</v>
      </c>
      <c r="M35" s="146" t="n">
        <v>24</v>
      </c>
      <c r="N35" s="146" t="n">
        <v>19</v>
      </c>
      <c r="O35" s="146" t="n">
        <v>25</v>
      </c>
      <c r="P35" s="146" t="n">
        <v>29</v>
      </c>
      <c r="Q35" s="146" t="n">
        <v>26</v>
      </c>
      <c r="R35" s="146" t="n">
        <v>20</v>
      </c>
      <c r="S35" s="146" t="n">
        <v>34</v>
      </c>
      <c r="T35" s="146" t="n">
        <v>33</v>
      </c>
      <c r="U35" s="146" t="n">
        <v>23</v>
      </c>
      <c r="V35" s="147" t="n">
        <v>442</v>
      </c>
    </row>
    <row r="36" ht="30" customHeight="1">
      <c r="A36" s="145" t="inlineStr">
        <is>
          <t>SUD</t>
        </is>
      </c>
      <c r="B36" s="145" t="inlineStr">
        <is>
          <t>CHEMIN NEUF/LINNE</t>
        </is>
      </c>
      <c r="C36" s="145" t="inlineStr">
        <is>
          <t>Linné-Chemin Neuf</t>
        </is>
      </c>
      <c r="D36" s="146" t="n">
        <v>31</v>
      </c>
      <c r="E36" s="146" t="n">
        <v>32</v>
      </c>
      <c r="F36" s="146" t="n">
        <v>45</v>
      </c>
      <c r="G36" s="146" t="n">
        <v>45</v>
      </c>
      <c r="H36" s="146" t="n">
        <v>67</v>
      </c>
      <c r="I36" s="146" t="n">
        <v>51</v>
      </c>
      <c r="J36" s="146" t="n">
        <v>64</v>
      </c>
      <c r="K36" s="146" t="n">
        <v>58</v>
      </c>
      <c r="L36" s="146" t="n">
        <v>63</v>
      </c>
      <c r="M36" s="146" t="n">
        <v>69</v>
      </c>
      <c r="N36" s="146" t="n">
        <v>64</v>
      </c>
      <c r="O36" s="146" t="n">
        <v>86</v>
      </c>
      <c r="P36" s="146" t="n">
        <v>66</v>
      </c>
      <c r="Q36" s="146" t="n">
        <v>28</v>
      </c>
      <c r="R36" s="146" t="n">
        <v>88</v>
      </c>
      <c r="S36" s="146" t="n">
        <v>45</v>
      </c>
      <c r="T36" s="146" t="n">
        <v>74</v>
      </c>
      <c r="U36" s="146" t="n">
        <v>81</v>
      </c>
      <c r="V36" s="147" t="n">
        <v>1057</v>
      </c>
    </row>
    <row r="37" ht="30" customHeight="1">
      <c r="A37" s="145" t="inlineStr">
        <is>
          <t>SUD</t>
        </is>
      </c>
      <c r="B37" s="145" t="inlineStr">
        <is>
          <t>JUSTICE</t>
        </is>
      </c>
      <c r="C37" s="145" t="inlineStr">
        <is>
          <t>Justice</t>
        </is>
      </c>
      <c r="D37" s="146" t="n">
        <v>16</v>
      </c>
      <c r="E37" s="146" t="n">
        <v>7</v>
      </c>
      <c r="F37" s="146" t="n">
        <v>34</v>
      </c>
      <c r="G37" s="146" t="n">
        <v>27</v>
      </c>
      <c r="H37" s="146" t="n">
        <v>27</v>
      </c>
      <c r="I37" s="146" t="n">
        <v>28</v>
      </c>
      <c r="J37" s="146" t="n">
        <v>20</v>
      </c>
      <c r="K37" s="146" t="n">
        <v>17</v>
      </c>
      <c r="L37" s="146" t="n">
        <v>41</v>
      </c>
      <c r="M37" s="146" t="n">
        <v>50</v>
      </c>
      <c r="N37" s="146" t="n">
        <v>61</v>
      </c>
      <c r="O37" s="146" t="n">
        <v>39</v>
      </c>
      <c r="P37" s="146" t="n">
        <v>33</v>
      </c>
      <c r="Q37" s="146" t="n">
        <v>29</v>
      </c>
      <c r="R37" s="146" t="n">
        <v>33</v>
      </c>
      <c r="S37" s="146" t="n">
        <v>38</v>
      </c>
      <c r="T37" s="146" t="n">
        <v>23</v>
      </c>
      <c r="U37" s="146" t="n">
        <v>37</v>
      </c>
      <c r="V37" s="147" t="n">
        <v>560</v>
      </c>
    </row>
    <row r="38" ht="30" customHeight="1">
      <c r="A38" s="145" t="inlineStr">
        <is>
          <t>EST</t>
        </is>
      </c>
      <c r="B38" s="145" t="inlineStr">
        <is>
          <t>FRATERNITE</t>
        </is>
      </c>
      <c r="C38" s="145" t="inlineStr">
        <is>
          <t>Fraternité</t>
        </is>
      </c>
      <c r="D38" s="146" t="n">
        <v>41</v>
      </c>
      <c r="E38" s="146" t="n">
        <v>41</v>
      </c>
      <c r="F38" s="146" t="n">
        <v>29</v>
      </c>
      <c r="G38" s="146" t="n">
        <v>43</v>
      </c>
      <c r="H38" s="146" t="n">
        <v>17</v>
      </c>
      <c r="I38" s="146" t="n">
        <v>43</v>
      </c>
      <c r="J38" s="146" t="n">
        <v>51</v>
      </c>
      <c r="K38" s="146" t="n">
        <v>41</v>
      </c>
      <c r="L38" s="146" t="n">
        <v>65</v>
      </c>
      <c r="M38" s="146" t="n">
        <v>42</v>
      </c>
      <c r="N38" s="146" t="n">
        <v>33</v>
      </c>
      <c r="O38" s="146" t="n">
        <v>67</v>
      </c>
      <c r="P38" s="146" t="n">
        <v>55</v>
      </c>
      <c r="Q38" s="146" t="n">
        <v>38</v>
      </c>
      <c r="R38" s="146" t="n">
        <v>58</v>
      </c>
      <c r="S38" s="146" t="n">
        <v>34</v>
      </c>
      <c r="T38" s="146" t="n">
        <v>29</v>
      </c>
      <c r="U38" s="146" t="n">
        <v>50</v>
      </c>
      <c r="V38" s="147" t="n">
        <v>777</v>
      </c>
    </row>
    <row r="39" ht="30" customHeight="1">
      <c r="A39" s="145" t="inlineStr">
        <is>
          <t>SUD</t>
        </is>
      </c>
      <c r="B39" s="145" t="inlineStr">
        <is>
          <t>NOUVEAU ROUBAIX</t>
        </is>
      </c>
      <c r="C39" s="145" t="inlineStr">
        <is>
          <t>Nouveau Roubaix</t>
        </is>
      </c>
      <c r="D39" s="146" t="n">
        <v>49</v>
      </c>
      <c r="E39" s="146" t="n">
        <v>41</v>
      </c>
      <c r="F39" s="146" t="n">
        <v>59</v>
      </c>
      <c r="G39" s="146" t="n">
        <v>34</v>
      </c>
      <c r="H39" s="146" t="n">
        <v>65</v>
      </c>
      <c r="I39" s="146" t="n">
        <v>61</v>
      </c>
      <c r="J39" s="146" t="n">
        <v>70</v>
      </c>
      <c r="K39" s="146" t="n">
        <v>81</v>
      </c>
      <c r="L39" s="146" t="n">
        <v>56</v>
      </c>
      <c r="M39" s="146" t="n">
        <v>62</v>
      </c>
      <c r="N39" s="146" t="n">
        <v>78</v>
      </c>
      <c r="O39" s="146" t="n">
        <v>30</v>
      </c>
      <c r="P39" s="146" t="n">
        <v>56</v>
      </c>
      <c r="Q39" s="146" t="n">
        <v>52</v>
      </c>
      <c r="R39" s="146" t="n">
        <v>46</v>
      </c>
      <c r="S39" s="146" t="n">
        <v>35</v>
      </c>
      <c r="T39" s="146" t="n">
        <v>66</v>
      </c>
      <c r="U39" s="146" t="n">
        <v>42</v>
      </c>
      <c r="V39" s="147" t="n">
        <v>983</v>
      </c>
    </row>
    <row r="40" ht="30" customHeight="1">
      <c r="A40" s="148" t="inlineStr">
        <is>
          <t>SUD</t>
        </is>
      </c>
      <c r="B40" s="148" t="inlineStr">
        <is>
          <t>HAUTS CHAMPS/PETITES HAIES</t>
        </is>
      </c>
      <c r="C40" s="148" t="inlineStr">
        <is>
          <t>Hauts Champs</t>
        </is>
      </c>
      <c r="D40" s="149" t="n">
        <v>30</v>
      </c>
      <c r="E40" s="149" t="n">
        <v>21</v>
      </c>
      <c r="F40" s="149" t="n">
        <v>41</v>
      </c>
      <c r="G40" s="149" t="n">
        <v>28</v>
      </c>
      <c r="H40" s="149" t="n">
        <v>47</v>
      </c>
      <c r="I40" s="149" t="n">
        <v>51</v>
      </c>
      <c r="J40" s="149" t="n">
        <v>30</v>
      </c>
      <c r="K40" s="149" t="n">
        <v>47</v>
      </c>
      <c r="L40" s="149" t="n">
        <v>24</v>
      </c>
      <c r="M40" s="149" t="n">
        <v>20</v>
      </c>
      <c r="N40" s="149" t="n">
        <v>40</v>
      </c>
      <c r="O40" s="149" t="n">
        <v>33</v>
      </c>
      <c r="P40" s="149" t="n">
        <v>59</v>
      </c>
      <c r="Q40" s="149" t="n">
        <v>56</v>
      </c>
      <c r="R40" s="149" t="n">
        <v>21</v>
      </c>
      <c r="S40" s="149" t="n">
        <v>32</v>
      </c>
      <c r="T40" s="149" t="n">
        <v>40</v>
      </c>
      <c r="U40" s="149" t="n">
        <v>16</v>
      </c>
      <c r="V40" s="150" t="n">
        <v>636</v>
      </c>
    </row>
  </sheetData>
  <mergeCells count="1">
    <mergeCell ref="A1:C1"/>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AE40"/>
  <sheetViews>
    <sheetView topLeftCell="A1" workbookViewId="0">
      <pane xSplit="3" ySplit="2" topLeftCell="D3" activePane="bottomRight" state="frozen"/>
      <selection pane="topRight"/>
      <selection pane="bottomLeft"/>
      <selection pane="bottomRight" activeCell="H1" sqref="H1"/>
      <selection pane="bottomLeft" activeCell="A3" sqref="A3"/>
      <selection pane="bottomRight" activeCell="C1" sqref="C1"/>
    </sheetView>
  </sheetViews>
  <sheetFormatPr baseColWidth="10" defaultColWidth="9.140625" defaultRowHeight="15"/>
  <cols>
    <col width="13" customWidth="1" min="1" max="1"/>
    <col width="31" customWidth="1" min="2" max="2"/>
    <col width="26" customWidth="1" min="3" max="3"/>
    <col width="18" customWidth="1" min="4" max="4"/>
    <col width="14" customWidth="1" min="5" max="5"/>
    <col width="16" customWidth="1" min="6" max="6"/>
    <col width="16" customWidth="1" min="7" max="7"/>
    <col width="16" customWidth="1" min="8" max="8"/>
    <col width="16" customWidth="1" min="9" max="9"/>
    <col width="19" customWidth="1" min="10" max="10"/>
    <col width="18" customWidth="1" min="11" max="11"/>
    <col width="14" customWidth="1" min="12" max="12"/>
    <col width="14" customWidth="1" min="13" max="13"/>
    <col width="14" customWidth="1" min="14" max="14"/>
    <col width="14" customWidth="1" min="15" max="15"/>
    <col width="14" customWidth="1" min="16" max="16"/>
    <col width="14" customWidth="1" min="17" max="17"/>
    <col width="16" customWidth="1" min="18" max="18"/>
    <col width="16" customWidth="1" min="19" max="21"/>
    <col width="16" customWidth="1" min="20" max="20"/>
    <col width="24" customWidth="1" min="21" max="21"/>
    <col width="20" customWidth="1" min="22" max="22"/>
    <col width="16" customWidth="1" min="23" max="23"/>
    <col width="16" customWidth="1" min="24" max="24"/>
    <col width="14" customWidth="1" min="25" max="25"/>
    <col width="14" customWidth="1" min="26" max="26"/>
    <col width="22" customWidth="1" min="27" max="27"/>
    <col width="16" customWidth="1" min="28" max="28"/>
    <col width="16" customWidth="1" min="29" max="29"/>
    <col width="16" customWidth="1" min="30" max="30"/>
    <col width="18" customWidth="1" min="31" max="31"/>
    <col width="36.42578125" customWidth="1" min="32" max="32"/>
    <col width="38.42578125" customWidth="1" min="33" max="33"/>
    <col width="39" customWidth="1" min="34" max="34"/>
    <col width="46.42578125" customWidth="1" min="35" max="35"/>
  </cols>
  <sheetData>
    <row r="1" ht="21" customHeight="1">
      <c r="A1" s="124" t="inlineStr">
        <is>
          <t>Bénéficiaires des prestations légales versées par les CAF</t>
        </is>
      </c>
      <c r="B1" s="125" t="n"/>
      <c r="C1" s="126" t="n"/>
      <c r="D1" s="127">
        <f>SUBTOTAL(9,D3:D40)</f>
        <v/>
      </c>
      <c r="E1" s="127">
        <f>SUBTOTAL(9,E3:E40)</f>
        <v/>
      </c>
      <c r="F1" s="127">
        <f>SUBTOTAL(9,F3:F40)</f>
        <v/>
      </c>
      <c r="G1" s="127">
        <f>SUBTOTAL(9,G3:G40)</f>
        <v/>
      </c>
      <c r="H1" s="127">
        <f>SUBTOTAL(9,H3:H40)</f>
        <v/>
      </c>
      <c r="I1" s="127">
        <f>SUBTOTAL(9,I3:I40)</f>
        <v/>
      </c>
      <c r="J1" s="127">
        <f>SUBTOTAL(9,J3:J40)</f>
        <v/>
      </c>
      <c r="K1" s="127">
        <f>SUBTOTAL(9,K3:K40)</f>
        <v/>
      </c>
      <c r="L1" s="127">
        <f>SUBTOTAL(9,L3:L40)</f>
        <v/>
      </c>
      <c r="M1" s="127">
        <f>SUBTOTAL(9,M3:M40)</f>
        <v/>
      </c>
      <c r="N1" s="127">
        <f>SUBTOTAL(9,N3:N40)</f>
        <v/>
      </c>
      <c r="O1" s="127">
        <f>SUBTOTAL(9,O3:O40)</f>
        <v/>
      </c>
      <c r="P1" s="127">
        <f>SUBTOTAL(9,P3:P40)</f>
        <v/>
      </c>
      <c r="Q1" s="127">
        <f>SUBTOTAL(9,Q3:Q40)</f>
        <v/>
      </c>
      <c r="R1" s="127">
        <f>SUBTOTAL(9,R3:R40)</f>
        <v/>
      </c>
      <c r="S1" s="127">
        <f>SUBTOTAL(9,S3:S40)</f>
        <v/>
      </c>
      <c r="T1" s="127">
        <f>SUBTOTAL(9,T3:T40)</f>
        <v/>
      </c>
      <c r="U1" s="127">
        <f>SUBTOTAL(9,U3:U40)</f>
        <v/>
      </c>
      <c r="V1" s="127">
        <f>SUBTOTAL(9,V3:V40)</f>
        <v/>
      </c>
      <c r="W1" s="127">
        <f>SUBTOTAL(9,W3:W40)</f>
        <v/>
      </c>
      <c r="X1" s="127">
        <f>SUBTOTAL(9,X3:X40)</f>
        <v/>
      </c>
      <c r="Y1" s="128">
        <f>SUBTOTAL(9,Y3:Y40)</f>
        <v/>
      </c>
      <c r="Z1" s="127">
        <f>SUBTOTAL(9,Z3:Z40)</f>
        <v/>
      </c>
      <c r="AA1" s="129" t="n"/>
      <c r="AB1" s="129" t="n"/>
      <c r="AC1" s="129" t="n"/>
      <c r="AD1" s="129" t="n"/>
      <c r="AE1" s="129" t="n"/>
    </row>
    <row r="2" ht="70" customHeight="1">
      <c r="A2" s="45" t="inlineStr">
        <is>
          <t>Mairies de quartiers</t>
        </is>
      </c>
      <c r="B2" s="45" t="inlineStr">
        <is>
          <t>Grands quartiers</t>
        </is>
      </c>
      <c r="C2" s="45" t="inlineStr">
        <is>
          <t>Libellé de l'Iris</t>
        </is>
      </c>
      <c r="D2" s="46" t="inlineStr">
        <is>
          <t>Nombre total d'allocataires</t>
        </is>
      </c>
      <c r="E2" s="46" t="inlineStr">
        <is>
          <t>Personnes couvertes</t>
        </is>
      </c>
      <c r="F2" s="46" t="inlineStr">
        <is>
          <t>Allocataires isolés sans enfant</t>
        </is>
      </c>
      <c r="G2" s="46" t="inlineStr">
        <is>
          <t>Allocataires mono-parent</t>
        </is>
      </c>
      <c r="H2" s="46" t="inlineStr">
        <is>
          <t>Allocataires couples sans enfant</t>
        </is>
      </c>
      <c r="I2" s="46" t="inlineStr">
        <is>
          <t>Allocataires couples avec enfant(s)</t>
        </is>
      </c>
      <c r="J2" s="46" t="inlineStr">
        <is>
          <t>Allocataires couples avec au moins 3 enfants à charge</t>
        </is>
      </c>
      <c r="K2" s="46" t="inlineStr">
        <is>
          <t>Enfants couverts par au moins une prestation Caf</t>
        </is>
      </c>
      <c r="L2" s="46" t="inlineStr">
        <is>
          <t>Enfants de moins de 3 ans</t>
        </is>
      </c>
      <c r="M2" s="46" t="inlineStr">
        <is>
          <t>Enfants de 3 à moins de 6 ans</t>
        </is>
      </c>
      <c r="N2" s="46" t="inlineStr">
        <is>
          <t>Enfants de 6 à moins de 11 ans</t>
        </is>
      </c>
      <c r="O2" s="46" t="inlineStr">
        <is>
          <t>Enfants de 11 à moins de 15 ans</t>
        </is>
      </c>
      <c r="P2" s="46" t="inlineStr">
        <is>
          <t>Enfants de 15 à moins de 18 ans</t>
        </is>
      </c>
      <c r="Q2" s="46" t="inlineStr">
        <is>
          <t>Enfants de 18 à moins de 25 ans</t>
        </is>
      </c>
      <c r="R2" s="46" t="inlineStr">
        <is>
          <t>Allocataires étudiants</t>
        </is>
      </c>
      <c r="S2" s="46" t="inlineStr">
        <is>
          <t>Allocataires de moins de 25 ans non étudiants</t>
        </is>
      </c>
      <c r="T2" s="46" t="inlineStr">
        <is>
          <t>Allocataires percevant une aide au logement</t>
        </is>
      </c>
      <c r="U2" s="46" t="inlineStr">
        <is>
          <t>Allocataires percevant l’Aide Personnalisée au Logement (Métropole)</t>
        </is>
      </c>
      <c r="V2" s="46" t="inlineStr">
        <is>
          <t>Allocataires percevant l’Allocation Adulte Handicapé</t>
        </is>
      </c>
      <c r="W2" s="46" t="inlineStr">
        <is>
          <t>Allocataires percevant la prime d'activité</t>
        </is>
      </c>
      <c r="X2" s="46" t="inlineStr">
        <is>
          <t>Allocataires percevant le RSA socle</t>
        </is>
      </c>
      <c r="Y2" s="47" t="inlineStr">
        <is>
          <t>Superficie en km²</t>
        </is>
      </c>
      <c r="Z2" s="47" t="inlineStr">
        <is>
          <t>Population (CAF)</t>
        </is>
      </c>
      <c r="AA2" s="130" t="inlineStr">
        <is>
          <t>Part de la population couverte par une allocation CAF (%)</t>
        </is>
      </c>
      <c r="AB2" s="130" t="inlineStr">
        <is>
          <t>Part des allocataires mono-parent (%)</t>
        </is>
      </c>
      <c r="AC2" s="130" t="inlineStr">
        <is>
          <t>Part des allocataires percevant l’APL (%)</t>
        </is>
      </c>
      <c r="AD2" s="130" t="inlineStr">
        <is>
          <t>Part des allocataires percevant l’AAH (%)</t>
        </is>
      </c>
      <c r="AE2" s="131" t="inlineStr">
        <is>
          <t>Part des allocataires bénéficiant du RSA socle (%)</t>
        </is>
      </c>
    </row>
    <row r="3" ht="30" customHeight="1">
      <c r="A3" s="3" t="inlineStr">
        <is>
          <t>OUEST</t>
        </is>
      </c>
      <c r="B3" s="3" t="inlineStr">
        <is>
          <t>FRESNOY MACKELLERIE</t>
        </is>
      </c>
      <c r="C3" s="3" t="inlineStr">
        <is>
          <t>Mackellerie</t>
        </is>
      </c>
      <c r="D3" s="151" t="n">
        <v>865</v>
      </c>
      <c r="E3" s="151" t="n">
        <v>1931</v>
      </c>
      <c r="F3" s="151" t="n">
        <v>482</v>
      </c>
      <c r="G3" s="151" t="n">
        <v>149</v>
      </c>
      <c r="H3" s="151" t="n">
        <v>49</v>
      </c>
      <c r="I3" s="151" t="n">
        <v>196</v>
      </c>
      <c r="J3" s="151" t="n">
        <v>87</v>
      </c>
      <c r="K3" s="151" t="n">
        <v>834</v>
      </c>
      <c r="L3" s="151" t="n">
        <v>118</v>
      </c>
      <c r="M3" s="151" t="n">
        <v>112</v>
      </c>
      <c r="N3" s="151" t="n">
        <v>203</v>
      </c>
      <c r="O3" s="151" t="n">
        <v>179</v>
      </c>
      <c r="P3" s="151" t="n">
        <v>118</v>
      </c>
      <c r="Q3" s="151" t="n">
        <v>108</v>
      </c>
      <c r="R3" s="151" t="n">
        <v>136</v>
      </c>
      <c r="S3" s="151" t="n">
        <v>70</v>
      </c>
      <c r="T3" s="151" t="n">
        <v>532</v>
      </c>
      <c r="U3" s="151" t="n">
        <v>135</v>
      </c>
      <c r="V3" s="151" t="n">
        <v>84</v>
      </c>
      <c r="W3" s="151" t="n">
        <v>296</v>
      </c>
      <c r="X3" s="151" t="n">
        <v>249</v>
      </c>
      <c r="Y3" s="152" t="n">
        <v>0.32</v>
      </c>
      <c r="Z3" s="151" t="n">
        <v>2501</v>
      </c>
      <c r="AA3" s="153" t="n">
        <v>77.2</v>
      </c>
      <c r="AB3" s="153" t="n">
        <v>17.2</v>
      </c>
      <c r="AC3" s="153" t="n">
        <v>15.6</v>
      </c>
      <c r="AD3" s="153" t="n">
        <v>9.699999999999999</v>
      </c>
      <c r="AE3" s="153" t="n">
        <v>28.8</v>
      </c>
    </row>
    <row r="4" ht="30" customHeight="1">
      <c r="A4" s="3" t="inlineStr">
        <is>
          <t>OUEST</t>
        </is>
      </c>
      <c r="B4" s="3" t="inlineStr">
        <is>
          <t>ARMENTIERES</t>
        </is>
      </c>
      <c r="C4" s="3" t="inlineStr">
        <is>
          <t>Fresnoy</t>
        </is>
      </c>
      <c r="D4" s="151" t="n">
        <v>1810</v>
      </c>
      <c r="E4" s="151" t="n">
        <v>3130</v>
      </c>
      <c r="F4" s="151" t="n">
        <v>1317</v>
      </c>
      <c r="G4" s="151" t="n">
        <v>179</v>
      </c>
      <c r="H4" s="151" t="n">
        <v>59</v>
      </c>
      <c r="I4" s="151" t="n">
        <v>251</v>
      </c>
      <c r="J4" s="151" t="n">
        <v>101</v>
      </c>
      <c r="K4" s="151" t="n">
        <v>1009</v>
      </c>
      <c r="L4" s="151" t="n">
        <v>126</v>
      </c>
      <c r="M4" s="151" t="n">
        <v>122</v>
      </c>
      <c r="N4" s="151" t="n">
        <v>243</v>
      </c>
      <c r="O4" s="151" t="n">
        <v>214</v>
      </c>
      <c r="P4" s="151" t="n">
        <v>169</v>
      </c>
      <c r="Q4" s="151" t="n">
        <v>139</v>
      </c>
      <c r="R4" s="151" t="n">
        <v>662</v>
      </c>
      <c r="S4" s="151" t="n">
        <v>198</v>
      </c>
      <c r="T4" s="151" t="n">
        <v>1330</v>
      </c>
      <c r="U4" s="151" t="n">
        <v>450</v>
      </c>
      <c r="V4" s="151" t="n">
        <v>127</v>
      </c>
      <c r="W4" s="151" t="n">
        <v>441</v>
      </c>
      <c r="X4" s="151" t="n">
        <v>278</v>
      </c>
      <c r="Y4" s="152" t="n">
        <v>0.53</v>
      </c>
      <c r="Z4" s="151" t="n">
        <v>4280</v>
      </c>
      <c r="AA4" s="153" t="n">
        <v>73.09999999999999</v>
      </c>
      <c r="AB4" s="153" t="n">
        <v>9.9</v>
      </c>
      <c r="AC4" s="153" t="n">
        <v>24.9</v>
      </c>
      <c r="AD4" s="153" t="n">
        <v>7</v>
      </c>
      <c r="AE4" s="153" t="n">
        <v>15.4</v>
      </c>
    </row>
    <row r="5" ht="30" customHeight="1">
      <c r="A5" s="3" t="inlineStr">
        <is>
          <t>NORD</t>
        </is>
      </c>
      <c r="B5" s="3" t="inlineStr">
        <is>
          <t>FOSSE AUX CHENES</t>
        </is>
      </c>
      <c r="C5" s="3" t="inlineStr">
        <is>
          <t>Fosse aux Chênes</t>
        </is>
      </c>
      <c r="D5" s="151" t="n">
        <v>1135</v>
      </c>
      <c r="E5" s="151" t="n">
        <v>2393</v>
      </c>
      <c r="F5" s="151" t="n">
        <v>658</v>
      </c>
      <c r="G5" s="151" t="n">
        <v>173</v>
      </c>
      <c r="H5" s="151" t="n">
        <v>81</v>
      </c>
      <c r="I5" s="151" t="n">
        <v>218</v>
      </c>
      <c r="J5" s="151" t="n">
        <v>119</v>
      </c>
      <c r="K5" s="151" t="n">
        <v>983</v>
      </c>
      <c r="L5" s="151" t="n">
        <v>120</v>
      </c>
      <c r="M5" s="151" t="n">
        <v>143</v>
      </c>
      <c r="N5" s="151" t="n">
        <v>242</v>
      </c>
      <c r="O5" s="151" t="n">
        <v>211</v>
      </c>
      <c r="P5" s="151" t="n">
        <v>141</v>
      </c>
      <c r="Q5" s="151" t="n">
        <v>122</v>
      </c>
      <c r="R5" s="151" t="n">
        <v>36</v>
      </c>
      <c r="S5" s="151" t="n">
        <v>75</v>
      </c>
      <c r="T5" s="151" t="n">
        <v>756</v>
      </c>
      <c r="U5" s="151" t="n">
        <v>488</v>
      </c>
      <c r="V5" s="151" t="n">
        <v>168</v>
      </c>
      <c r="W5" s="151" t="n">
        <v>396</v>
      </c>
      <c r="X5" s="151" t="n">
        <v>320</v>
      </c>
      <c r="Y5" s="152" t="n">
        <v>0.41</v>
      </c>
      <c r="Z5" s="151" t="n">
        <v>2843</v>
      </c>
      <c r="AA5" s="153" t="n">
        <v>84.2</v>
      </c>
      <c r="AB5" s="153" t="n">
        <v>15.2</v>
      </c>
      <c r="AC5" s="153" t="n">
        <v>43</v>
      </c>
      <c r="AD5" s="153" t="n">
        <v>14.8</v>
      </c>
      <c r="AE5" s="153" t="n">
        <v>28.2</v>
      </c>
    </row>
    <row r="6" ht="30" customHeight="1">
      <c r="A6" s="3" t="inlineStr">
        <is>
          <t>NORD</t>
        </is>
      </c>
      <c r="B6" s="3" t="inlineStr">
        <is>
          <t>ALMA GARE</t>
        </is>
      </c>
      <c r="C6" s="3" t="inlineStr">
        <is>
          <t>Alma Sud</t>
        </is>
      </c>
      <c r="D6" s="151" t="n">
        <v>333</v>
      </c>
      <c r="E6" s="151" t="n">
        <v>747</v>
      </c>
      <c r="F6" s="151" t="n">
        <v>178</v>
      </c>
      <c r="G6" s="151" t="n">
        <v>55</v>
      </c>
      <c r="H6" s="151" t="n">
        <v>35</v>
      </c>
      <c r="I6" s="151" t="n">
        <v>69</v>
      </c>
      <c r="J6" s="151" t="n">
        <v>42</v>
      </c>
      <c r="K6" s="151" t="n">
        <v>321</v>
      </c>
      <c r="L6" s="151" t="n">
        <v>25</v>
      </c>
      <c r="M6" s="151" t="n">
        <v>44</v>
      </c>
      <c r="N6" s="151" t="n">
        <v>74</v>
      </c>
      <c r="O6" s="151" t="n">
        <v>71</v>
      </c>
      <c r="P6" s="151" t="n">
        <v>55</v>
      </c>
      <c r="Q6" s="151" t="n">
        <v>51</v>
      </c>
      <c r="R6" s="151" t="n">
        <v>0</v>
      </c>
      <c r="S6" s="151" t="n">
        <v>8</v>
      </c>
      <c r="T6" s="151" t="n">
        <v>221</v>
      </c>
      <c r="U6" s="151" t="n">
        <v>211</v>
      </c>
      <c r="V6" s="151" t="n">
        <v>49</v>
      </c>
      <c r="W6" s="151" t="n">
        <v>105</v>
      </c>
      <c r="X6" s="151" t="n">
        <v>121</v>
      </c>
      <c r="Y6" s="152" t="n">
        <v>0.09</v>
      </c>
      <c r="Z6" s="151" t="n">
        <v>1529</v>
      </c>
      <c r="AA6" s="153" t="n">
        <v>48.9</v>
      </c>
      <c r="AB6" s="153" t="n">
        <v>16.5</v>
      </c>
      <c r="AC6" s="153" t="n">
        <v>63.4</v>
      </c>
      <c r="AD6" s="153" t="n">
        <v>14.7</v>
      </c>
      <c r="AE6" s="153" t="n">
        <v>36.3</v>
      </c>
    </row>
    <row r="7" ht="30" customHeight="1">
      <c r="A7" s="3" t="inlineStr">
        <is>
          <t>NORD</t>
        </is>
      </c>
      <c r="B7" s="3" t="inlineStr">
        <is>
          <t>ALMA GARE</t>
        </is>
      </c>
      <c r="C7" s="3" t="inlineStr">
        <is>
          <t>Alma Nord</t>
        </is>
      </c>
      <c r="D7" s="151" t="n">
        <v>541</v>
      </c>
      <c r="E7" s="151" t="n">
        <v>1172</v>
      </c>
      <c r="F7" s="151" t="n">
        <v>324</v>
      </c>
      <c r="G7" s="151" t="n">
        <v>79</v>
      </c>
      <c r="H7" s="151" t="n">
        <v>28</v>
      </c>
      <c r="I7" s="151" t="n">
        <v>114</v>
      </c>
      <c r="J7" s="151" t="n">
        <v>71</v>
      </c>
      <c r="K7" s="151" t="n">
        <v>503</v>
      </c>
      <c r="L7" s="151" t="n">
        <v>63</v>
      </c>
      <c r="M7" s="151" t="n">
        <v>61</v>
      </c>
      <c r="N7" s="151" t="n">
        <v>125</v>
      </c>
      <c r="O7" s="151" t="n">
        <v>110</v>
      </c>
      <c r="P7" s="151" t="n">
        <v>71</v>
      </c>
      <c r="Q7" s="151" t="n">
        <v>74</v>
      </c>
      <c r="R7" s="151" t="n">
        <v>99</v>
      </c>
      <c r="S7" s="151" t="n">
        <v>55</v>
      </c>
      <c r="T7" s="151" t="n">
        <v>382</v>
      </c>
      <c r="U7" s="151" t="n">
        <v>219</v>
      </c>
      <c r="V7" s="151" t="n">
        <v>53</v>
      </c>
      <c r="W7" s="151" t="n">
        <v>144</v>
      </c>
      <c r="X7" s="151" t="n">
        <v>150</v>
      </c>
      <c r="Y7" s="152" t="n">
        <v>0.42</v>
      </c>
      <c r="Z7" s="151" t="n">
        <v>1613</v>
      </c>
      <c r="AA7" s="153" t="n">
        <v>72.7</v>
      </c>
      <c r="AB7" s="153" t="n">
        <v>14.6</v>
      </c>
      <c r="AC7" s="153" t="n">
        <v>40.5</v>
      </c>
      <c r="AD7" s="153" t="n">
        <v>9.800000000000001</v>
      </c>
      <c r="AE7" s="153" t="n">
        <v>27.7</v>
      </c>
    </row>
    <row r="8" ht="30" customHeight="1">
      <c r="A8" s="3" t="inlineStr">
        <is>
          <t>NORD</t>
        </is>
      </c>
      <c r="B8" s="3" t="inlineStr">
        <is>
          <t>ENTREPONT</t>
        </is>
      </c>
      <c r="C8" s="3" t="inlineStr">
        <is>
          <t>Entrepont-Cartigny</t>
        </is>
      </c>
      <c r="D8" s="151" t="n">
        <v>731</v>
      </c>
      <c r="E8" s="151" t="n">
        <v>1889</v>
      </c>
      <c r="F8" s="151" t="n">
        <v>339</v>
      </c>
      <c r="G8" s="151" t="n">
        <v>137</v>
      </c>
      <c r="H8" s="151" t="n">
        <v>39</v>
      </c>
      <c r="I8" s="151" t="n">
        <v>219</v>
      </c>
      <c r="J8" s="151" t="n">
        <v>118</v>
      </c>
      <c r="K8" s="151" t="n">
        <v>895</v>
      </c>
      <c r="L8" s="151" t="n">
        <v>96</v>
      </c>
      <c r="M8" s="151" t="n">
        <v>86</v>
      </c>
      <c r="N8" s="151" t="n">
        <v>226</v>
      </c>
      <c r="O8" s="151" t="n">
        <v>201</v>
      </c>
      <c r="P8" s="151" t="n">
        <v>147</v>
      </c>
      <c r="Q8" s="151" t="n">
        <v>137</v>
      </c>
      <c r="R8" s="151" t="n">
        <v>14</v>
      </c>
      <c r="S8" s="151" t="n">
        <v>73</v>
      </c>
      <c r="T8" s="151" t="n">
        <v>388</v>
      </c>
      <c r="U8" s="151" t="n">
        <v>197</v>
      </c>
      <c r="V8" s="151" t="n">
        <v>106</v>
      </c>
      <c r="W8" s="151" t="n">
        <v>269</v>
      </c>
      <c r="X8" s="151" t="n">
        <v>229</v>
      </c>
      <c r="Y8" s="152" t="n">
        <v>0.85</v>
      </c>
      <c r="Z8" s="151" t="n">
        <v>2372</v>
      </c>
      <c r="AA8" s="153" t="n">
        <v>79.59999999999999</v>
      </c>
      <c r="AB8" s="153" t="n">
        <v>18.7</v>
      </c>
      <c r="AC8" s="153" t="n">
        <v>26.9</v>
      </c>
      <c r="AD8" s="153" t="n">
        <v>14.5</v>
      </c>
      <c r="AE8" s="153" t="n">
        <v>31.3</v>
      </c>
    </row>
    <row r="9" ht="30" customHeight="1">
      <c r="A9" s="3" t="inlineStr">
        <is>
          <t>NORD</t>
        </is>
      </c>
      <c r="B9" s="3" t="inlineStr">
        <is>
          <t>HUTIN - ORAN - CARTIGNY</t>
        </is>
      </c>
      <c r="C9" s="3" t="inlineStr">
        <is>
          <t>Hutin-Oran</t>
        </is>
      </c>
      <c r="D9" s="151" t="n">
        <v>682</v>
      </c>
      <c r="E9" s="151" t="n">
        <v>1787</v>
      </c>
      <c r="F9" s="151" t="n">
        <v>298</v>
      </c>
      <c r="G9" s="151" t="n">
        <v>120</v>
      </c>
      <c r="H9" s="151" t="n">
        <v>37</v>
      </c>
      <c r="I9" s="151" t="n">
        <v>232</v>
      </c>
      <c r="J9" s="151" t="n">
        <v>103</v>
      </c>
      <c r="K9" s="151" t="n">
        <v>835</v>
      </c>
      <c r="L9" s="151" t="n">
        <v>99</v>
      </c>
      <c r="M9" s="151" t="n">
        <v>100</v>
      </c>
      <c r="N9" s="151" t="n">
        <v>187</v>
      </c>
      <c r="O9" s="151" t="n">
        <v>204</v>
      </c>
      <c r="P9" s="151" t="n">
        <v>141</v>
      </c>
      <c r="Q9" s="151" t="n">
        <v>110</v>
      </c>
      <c r="R9" s="151" t="n">
        <v>5</v>
      </c>
      <c r="S9" s="151" t="n">
        <v>33</v>
      </c>
      <c r="T9" s="151" t="n">
        <v>375</v>
      </c>
      <c r="U9" s="151" t="n">
        <v>224</v>
      </c>
      <c r="V9" s="151" t="n">
        <v>81</v>
      </c>
      <c r="W9" s="151" t="n">
        <v>258</v>
      </c>
      <c r="X9" s="151" t="n">
        <v>194</v>
      </c>
      <c r="Y9" s="152" t="n">
        <v>0.42</v>
      </c>
      <c r="Z9" s="151" t="n">
        <v>2166</v>
      </c>
      <c r="AA9" s="153" t="n">
        <v>82.5</v>
      </c>
      <c r="AB9" s="153" t="n">
        <v>17.6</v>
      </c>
      <c r="AC9" s="153" t="n">
        <v>32.8</v>
      </c>
      <c r="AD9" s="153" t="n">
        <v>11.9</v>
      </c>
      <c r="AE9" s="153" t="n">
        <v>28.4</v>
      </c>
    </row>
    <row r="10" ht="30" customHeight="1">
      <c r="A10" s="3" t="inlineStr">
        <is>
          <t>NORD</t>
        </is>
      </c>
      <c r="B10" s="3" t="inlineStr">
        <is>
          <t>CUL DE FOUR</t>
        </is>
      </c>
      <c r="C10" s="3" t="inlineStr">
        <is>
          <t>Cul de Four</t>
        </is>
      </c>
      <c r="D10" s="151" t="n">
        <v>914</v>
      </c>
      <c r="E10" s="151" t="n">
        <v>2426</v>
      </c>
      <c r="F10" s="151" t="n">
        <v>411</v>
      </c>
      <c r="G10" s="151" t="n">
        <v>188</v>
      </c>
      <c r="H10" s="151" t="n">
        <v>71</v>
      </c>
      <c r="I10" s="151" t="n">
        <v>251</v>
      </c>
      <c r="J10" s="151" t="n">
        <v>133</v>
      </c>
      <c r="K10" s="151" t="n">
        <v>1184</v>
      </c>
      <c r="L10" s="151" t="n">
        <v>115</v>
      </c>
      <c r="M10" s="151" t="n">
        <v>146</v>
      </c>
      <c r="N10" s="151" t="n">
        <v>283</v>
      </c>
      <c r="O10" s="151" t="n">
        <v>253</v>
      </c>
      <c r="P10" s="151" t="n">
        <v>189</v>
      </c>
      <c r="Q10" s="151" t="n">
        <v>184</v>
      </c>
      <c r="R10" s="151" t="n">
        <v>11</v>
      </c>
      <c r="S10" s="151" t="n">
        <v>62</v>
      </c>
      <c r="T10" s="151" t="n">
        <v>531</v>
      </c>
      <c r="U10" s="151" t="n">
        <v>282</v>
      </c>
      <c r="V10" s="151" t="n">
        <v>119</v>
      </c>
      <c r="W10" s="151" t="n">
        <v>357</v>
      </c>
      <c r="X10" s="151" t="n">
        <v>318</v>
      </c>
      <c r="Y10" s="152" t="n">
        <v>0.5600000000000001</v>
      </c>
      <c r="Z10" s="151" t="n">
        <v>3471</v>
      </c>
      <c r="AA10" s="153" t="n">
        <v>69.90000000000001</v>
      </c>
      <c r="AB10" s="153" t="n">
        <v>20.6</v>
      </c>
      <c r="AC10" s="153" t="n">
        <v>30.9</v>
      </c>
      <c r="AD10" s="153" t="n">
        <v>13</v>
      </c>
      <c r="AE10" s="153" t="n">
        <v>34.8</v>
      </c>
    </row>
    <row r="11" ht="30" customHeight="1">
      <c r="A11" s="3" t="inlineStr">
        <is>
          <t>NORD</t>
        </is>
      </c>
      <c r="B11" s="3" t="inlineStr">
        <is>
          <t>HOMMELET</t>
        </is>
      </c>
      <c r="C11" s="3" t="inlineStr">
        <is>
          <t>Hommelet Nord</t>
        </is>
      </c>
      <c r="D11" s="151" t="n">
        <v>735</v>
      </c>
      <c r="E11" s="151" t="n">
        <v>1960</v>
      </c>
      <c r="F11" s="151" t="n">
        <v>305</v>
      </c>
      <c r="G11" s="151" t="n">
        <v>156</v>
      </c>
      <c r="H11" s="151" t="n">
        <v>47</v>
      </c>
      <c r="I11" s="151" t="n">
        <v>223</v>
      </c>
      <c r="J11" s="151" t="n">
        <v>120</v>
      </c>
      <c r="K11" s="151" t="n">
        <v>960</v>
      </c>
      <c r="L11" s="151" t="n">
        <v>130</v>
      </c>
      <c r="M11" s="151" t="n">
        <v>140</v>
      </c>
      <c r="N11" s="151" t="n">
        <v>240</v>
      </c>
      <c r="O11" s="151" t="n">
        <v>175</v>
      </c>
      <c r="P11" s="151" t="n">
        <v>151</v>
      </c>
      <c r="Q11" s="151" t="n">
        <v>132</v>
      </c>
      <c r="R11" s="151" t="n">
        <v>10</v>
      </c>
      <c r="S11" s="151" t="n">
        <v>57</v>
      </c>
      <c r="T11" s="151" t="n">
        <v>440</v>
      </c>
      <c r="U11" s="151" t="n">
        <v>195</v>
      </c>
      <c r="V11" s="151" t="n">
        <v>97</v>
      </c>
      <c r="W11" s="151" t="n">
        <v>262</v>
      </c>
      <c r="X11" s="151" t="n">
        <v>263</v>
      </c>
      <c r="Y11" s="152" t="n">
        <v>0.18</v>
      </c>
      <c r="Z11" s="151" t="n">
        <v>2308</v>
      </c>
      <c r="AA11" s="153" t="n">
        <v>84.90000000000001</v>
      </c>
      <c r="AB11" s="153" t="n">
        <v>21.2</v>
      </c>
      <c r="AC11" s="153" t="n">
        <v>26.5</v>
      </c>
      <c r="AD11" s="153" t="n">
        <v>13.2</v>
      </c>
      <c r="AE11" s="153" t="n">
        <v>35.8</v>
      </c>
    </row>
    <row r="12" ht="30" customHeight="1">
      <c r="A12" s="3" t="inlineStr">
        <is>
          <t>NORD</t>
        </is>
      </c>
      <c r="B12" s="3" t="inlineStr">
        <is>
          <t>HOMMELET</t>
        </is>
      </c>
      <c r="C12" s="3" t="inlineStr">
        <is>
          <t>Hommelet Centre</t>
        </is>
      </c>
      <c r="D12" s="151" t="n">
        <v>934</v>
      </c>
      <c r="E12" s="151" t="n">
        <v>2185</v>
      </c>
      <c r="F12" s="151" t="n">
        <v>482</v>
      </c>
      <c r="G12" s="151" t="n">
        <v>175</v>
      </c>
      <c r="H12" s="151" t="n">
        <v>67</v>
      </c>
      <c r="I12" s="151" t="n">
        <v>214</v>
      </c>
      <c r="J12" s="151" t="n">
        <v>110</v>
      </c>
      <c r="K12" s="151" t="n">
        <v>961</v>
      </c>
      <c r="L12" s="151" t="n">
        <v>96</v>
      </c>
      <c r="M12" s="151" t="n">
        <v>147</v>
      </c>
      <c r="N12" s="151" t="n">
        <v>232</v>
      </c>
      <c r="O12" s="151" t="n">
        <v>205</v>
      </c>
      <c r="P12" s="151" t="n">
        <v>138</v>
      </c>
      <c r="Q12" s="151" t="n">
        <v>132</v>
      </c>
      <c r="R12" s="151" t="n">
        <v>19</v>
      </c>
      <c r="S12" s="151" t="n">
        <v>64</v>
      </c>
      <c r="T12" s="151" t="n">
        <v>588</v>
      </c>
      <c r="U12" s="151" t="n">
        <v>379</v>
      </c>
      <c r="V12" s="151" t="n">
        <v>134</v>
      </c>
      <c r="W12" s="151" t="n">
        <v>312</v>
      </c>
      <c r="X12" s="151" t="n">
        <v>278</v>
      </c>
      <c r="Y12" s="152" t="n">
        <v>0.28</v>
      </c>
      <c r="Z12" s="151" t="n">
        <v>2774</v>
      </c>
      <c r="AA12" s="153" t="n">
        <v>78.8</v>
      </c>
      <c r="AB12" s="153" t="n">
        <v>18.7</v>
      </c>
      <c r="AC12" s="153" t="n">
        <v>40.6</v>
      </c>
      <c r="AD12" s="153" t="n">
        <v>14.3</v>
      </c>
      <c r="AE12" s="153" t="n">
        <v>29.8</v>
      </c>
    </row>
    <row r="13" ht="30" customHeight="1">
      <c r="A13" s="3" t="inlineStr">
        <is>
          <t>NORD</t>
        </is>
      </c>
      <c r="B13" s="3" t="inlineStr">
        <is>
          <t>HOMMELET</t>
        </is>
      </c>
      <c r="C13" s="3" t="inlineStr">
        <is>
          <t>Hommelet Sud</t>
        </is>
      </c>
      <c r="D13" s="151" t="n">
        <v>751</v>
      </c>
      <c r="E13" s="151" t="n">
        <v>1665</v>
      </c>
      <c r="F13" s="151" t="n">
        <v>419</v>
      </c>
      <c r="G13" s="151" t="n">
        <v>122</v>
      </c>
      <c r="H13" s="151" t="n">
        <v>53</v>
      </c>
      <c r="I13" s="151" t="n">
        <v>156</v>
      </c>
      <c r="J13" s="151" t="n">
        <v>75</v>
      </c>
      <c r="K13" s="151" t="n">
        <v>713</v>
      </c>
      <c r="L13" s="151" t="n">
        <v>88</v>
      </c>
      <c r="M13" s="151" t="n">
        <v>94</v>
      </c>
      <c r="N13" s="151" t="n">
        <v>162</v>
      </c>
      <c r="O13" s="151" t="n">
        <v>136</v>
      </c>
      <c r="P13" s="151" t="n">
        <v>112</v>
      </c>
      <c r="Q13" s="151" t="n">
        <v>114</v>
      </c>
      <c r="R13" s="151" t="n">
        <v>42</v>
      </c>
      <c r="S13" s="151" t="n">
        <v>56</v>
      </c>
      <c r="T13" s="151" t="n">
        <v>467</v>
      </c>
      <c r="U13" s="151" t="n">
        <v>217</v>
      </c>
      <c r="V13" s="151" t="n">
        <v>87</v>
      </c>
      <c r="W13" s="151" t="n">
        <v>289</v>
      </c>
      <c r="X13" s="151" t="n">
        <v>211</v>
      </c>
      <c r="Y13" s="152" t="n">
        <v>0.21</v>
      </c>
      <c r="Z13" s="151" t="n">
        <v>2353</v>
      </c>
      <c r="AA13" s="153" t="n">
        <v>70.7</v>
      </c>
      <c r="AB13" s="153" t="n">
        <v>16.2</v>
      </c>
      <c r="AC13" s="153" t="n">
        <v>28.9</v>
      </c>
      <c r="AD13" s="153" t="n">
        <v>11.6</v>
      </c>
      <c r="AE13" s="153" t="n">
        <v>28.1</v>
      </c>
    </row>
    <row r="14" ht="30" customHeight="1">
      <c r="A14" s="3" t="inlineStr">
        <is>
          <t>OUEST</t>
        </is>
      </c>
      <c r="B14" s="3" t="inlineStr">
        <is>
          <t>EPEULE</t>
        </is>
      </c>
      <c r="C14" s="3" t="inlineStr">
        <is>
          <t>Épeule Nord</t>
        </is>
      </c>
      <c r="D14" s="151" t="n">
        <v>471</v>
      </c>
      <c r="E14" s="151" t="n">
        <v>1107</v>
      </c>
      <c r="F14" s="151" t="n">
        <v>242</v>
      </c>
      <c r="G14" s="151" t="n">
        <v>83</v>
      </c>
      <c r="H14" s="151" t="n">
        <v>39</v>
      </c>
      <c r="I14" s="151" t="n">
        <v>103</v>
      </c>
      <c r="J14" s="151" t="n">
        <v>62</v>
      </c>
      <c r="K14" s="151" t="n">
        <v>487</v>
      </c>
      <c r="L14" s="151" t="n">
        <v>45</v>
      </c>
      <c r="M14" s="151" t="n">
        <v>64</v>
      </c>
      <c r="N14" s="151" t="n">
        <v>116</v>
      </c>
      <c r="O14" s="151" t="n">
        <v>113</v>
      </c>
      <c r="P14" s="151" t="n">
        <v>79</v>
      </c>
      <c r="Q14" s="151" t="n">
        <v>68</v>
      </c>
      <c r="R14" s="151" t="n">
        <v>13</v>
      </c>
      <c r="S14" s="151" t="n">
        <v>17</v>
      </c>
      <c r="T14" s="151" t="n">
        <v>308</v>
      </c>
      <c r="U14" s="151" t="n">
        <v>198</v>
      </c>
      <c r="V14" s="151" t="n">
        <v>75</v>
      </c>
      <c r="W14" s="151" t="n">
        <v>153</v>
      </c>
      <c r="X14" s="151" t="n">
        <v>150</v>
      </c>
      <c r="Y14" s="152" t="n">
        <v>0.15</v>
      </c>
      <c r="Z14" s="151" t="n">
        <v>1947</v>
      </c>
      <c r="AA14" s="153" t="n">
        <v>56.9</v>
      </c>
      <c r="AB14" s="153" t="n">
        <v>17.6</v>
      </c>
      <c r="AC14" s="153" t="n">
        <v>42</v>
      </c>
      <c r="AD14" s="153" t="n">
        <v>15.9</v>
      </c>
      <c r="AE14" s="153" t="n">
        <v>31.8</v>
      </c>
    </row>
    <row r="15" ht="30" customHeight="1">
      <c r="A15" s="3" t="inlineStr">
        <is>
          <t>OUEST</t>
        </is>
      </c>
      <c r="B15" s="3" t="inlineStr">
        <is>
          <t>EPEULE</t>
        </is>
      </c>
      <c r="C15" s="3" t="inlineStr">
        <is>
          <t>Épeule Centre</t>
        </is>
      </c>
      <c r="D15" s="151" t="n">
        <v>835</v>
      </c>
      <c r="E15" s="151" t="n">
        <v>1981</v>
      </c>
      <c r="F15" s="151" t="n">
        <v>412</v>
      </c>
      <c r="G15" s="151" t="n">
        <v>147</v>
      </c>
      <c r="H15" s="151" t="n">
        <v>61</v>
      </c>
      <c r="I15" s="151" t="n">
        <v>211</v>
      </c>
      <c r="J15" s="151" t="n">
        <v>104</v>
      </c>
      <c r="K15" s="151" t="n">
        <v>876</v>
      </c>
      <c r="L15" s="151" t="n">
        <v>95</v>
      </c>
      <c r="M15" s="151" t="n">
        <v>121</v>
      </c>
      <c r="N15" s="151" t="n">
        <v>215</v>
      </c>
      <c r="O15" s="151" t="n">
        <v>201</v>
      </c>
      <c r="P15" s="151" t="n">
        <v>130</v>
      </c>
      <c r="Q15" s="151" t="n">
        <v>121</v>
      </c>
      <c r="R15" s="151" t="n">
        <v>50</v>
      </c>
      <c r="S15" s="151" t="n">
        <v>55</v>
      </c>
      <c r="T15" s="151" t="n">
        <v>543</v>
      </c>
      <c r="U15" s="151" t="n">
        <v>322</v>
      </c>
      <c r="V15" s="151" t="n">
        <v>106</v>
      </c>
      <c r="W15" s="151" t="n">
        <v>272</v>
      </c>
      <c r="X15" s="151" t="n">
        <v>243</v>
      </c>
      <c r="Y15" s="152" t="n">
        <v>0.2</v>
      </c>
      <c r="Z15" s="151" t="n">
        <v>2457</v>
      </c>
      <c r="AA15" s="153" t="n">
        <v>80.59999999999999</v>
      </c>
      <c r="AB15" s="153" t="n">
        <v>17.6</v>
      </c>
      <c r="AC15" s="153" t="n">
        <v>38.6</v>
      </c>
      <c r="AD15" s="153" t="n">
        <v>12.7</v>
      </c>
      <c r="AE15" s="153" t="n">
        <v>29.1</v>
      </c>
    </row>
    <row r="16" ht="30" customHeight="1">
      <c r="A16" s="3" t="inlineStr">
        <is>
          <t>OUEST</t>
        </is>
      </c>
      <c r="B16" s="3" t="inlineStr">
        <is>
          <t>EPEULE</t>
        </is>
      </c>
      <c r="C16" s="3" t="inlineStr">
        <is>
          <t>Épeule Sud</t>
        </is>
      </c>
      <c r="D16" s="151" t="n">
        <v>704</v>
      </c>
      <c r="E16" s="151" t="n">
        <v>1297</v>
      </c>
      <c r="F16" s="151" t="n">
        <v>465</v>
      </c>
      <c r="G16" s="151" t="n">
        <v>90</v>
      </c>
      <c r="H16" s="151" t="n">
        <v>44</v>
      </c>
      <c r="I16" s="151" t="n">
        <v>108</v>
      </c>
      <c r="J16" s="151" t="n">
        <v>46</v>
      </c>
      <c r="K16" s="151" t="n">
        <v>445</v>
      </c>
      <c r="L16" s="151" t="n">
        <v>53</v>
      </c>
      <c r="M16" s="151" t="n">
        <v>37</v>
      </c>
      <c r="N16" s="151" t="n">
        <v>100</v>
      </c>
      <c r="O16" s="151" t="n">
        <v>98</v>
      </c>
      <c r="P16" s="151" t="n">
        <v>86</v>
      </c>
      <c r="Q16" s="151" t="n">
        <v>71</v>
      </c>
      <c r="R16" s="151" t="n">
        <v>94</v>
      </c>
      <c r="S16" s="151" t="n">
        <v>86</v>
      </c>
      <c r="T16" s="151" t="n">
        <v>409</v>
      </c>
      <c r="U16" s="151" t="n">
        <v>131</v>
      </c>
      <c r="V16" s="151" t="n">
        <v>101</v>
      </c>
      <c r="W16" s="151" t="n">
        <v>211</v>
      </c>
      <c r="X16" s="151" t="n">
        <v>157</v>
      </c>
      <c r="Y16" s="152" t="n">
        <v>0.15</v>
      </c>
      <c r="Z16" s="151" t="n">
        <v>2009</v>
      </c>
      <c r="AA16" s="153" t="n">
        <v>64.59999999999999</v>
      </c>
      <c r="AB16" s="153" t="n">
        <v>12.8</v>
      </c>
      <c r="AC16" s="153" t="n">
        <v>18.6</v>
      </c>
      <c r="AD16" s="153" t="n">
        <v>14.3</v>
      </c>
      <c r="AE16" s="153" t="n">
        <v>22.3</v>
      </c>
    </row>
    <row r="17" ht="30" customHeight="1">
      <c r="A17" s="3" t="inlineStr">
        <is>
          <t>OUEST</t>
        </is>
      </c>
      <c r="B17" s="3" t="inlineStr">
        <is>
          <t>TRICHON</t>
        </is>
      </c>
      <c r="C17" s="3" t="inlineStr">
        <is>
          <t>Trichon</t>
        </is>
      </c>
      <c r="D17" s="151" t="n">
        <v>1139</v>
      </c>
      <c r="E17" s="151" t="n">
        <v>2349</v>
      </c>
      <c r="F17" s="151" t="n">
        <v>681</v>
      </c>
      <c r="G17" s="151" t="n">
        <v>200</v>
      </c>
      <c r="H17" s="151" t="n">
        <v>65</v>
      </c>
      <c r="I17" s="151" t="n">
        <v>197</v>
      </c>
      <c r="J17" s="151" t="n">
        <v>101</v>
      </c>
      <c r="K17" s="151" t="n">
        <v>955</v>
      </c>
      <c r="L17" s="151" t="n">
        <v>130</v>
      </c>
      <c r="M17" s="151" t="n">
        <v>121</v>
      </c>
      <c r="N17" s="151" t="n">
        <v>239</v>
      </c>
      <c r="O17" s="151" t="n">
        <v>191</v>
      </c>
      <c r="P17" s="151" t="n">
        <v>158</v>
      </c>
      <c r="Q17" s="151" t="n">
        <v>128</v>
      </c>
      <c r="R17" s="151" t="n">
        <v>133</v>
      </c>
      <c r="S17" s="151" t="n">
        <v>123</v>
      </c>
      <c r="T17" s="151" t="n">
        <v>749</v>
      </c>
      <c r="U17" s="151" t="n">
        <v>246</v>
      </c>
      <c r="V17" s="151" t="n">
        <v>112</v>
      </c>
      <c r="W17" s="151" t="n">
        <v>395</v>
      </c>
      <c r="X17" s="151" t="n">
        <v>269</v>
      </c>
      <c r="Y17" s="152" t="n">
        <v>0.33</v>
      </c>
      <c r="Z17" s="151" t="n">
        <v>2886</v>
      </c>
      <c r="AA17" s="153" t="n">
        <v>81.40000000000001</v>
      </c>
      <c r="AB17" s="153" t="n">
        <v>17.6</v>
      </c>
      <c r="AC17" s="153" t="n">
        <v>21.6</v>
      </c>
      <c r="AD17" s="153" t="n">
        <v>9.800000000000001</v>
      </c>
      <c r="AE17" s="153" t="n">
        <v>23.6</v>
      </c>
    </row>
    <row r="18" ht="30" customHeight="1">
      <c r="A18" s="3" t="inlineStr">
        <is>
          <t>CENTRE</t>
        </is>
      </c>
      <c r="B18" s="3" t="inlineStr">
        <is>
          <t>ESPERANCE/CROUY/CENTRE VILLE</t>
        </is>
      </c>
      <c r="C18" s="3" t="inlineStr">
        <is>
          <t>Espérance Centre</t>
        </is>
      </c>
      <c r="D18" s="151" t="n">
        <v>1691</v>
      </c>
      <c r="E18" s="151" t="n">
        <v>2653</v>
      </c>
      <c r="F18" s="151" t="n">
        <v>1256</v>
      </c>
      <c r="G18" s="151" t="n">
        <v>175</v>
      </c>
      <c r="H18" s="151" t="n">
        <v>96</v>
      </c>
      <c r="I18" s="151" t="n">
        <v>158</v>
      </c>
      <c r="J18" s="151" t="n">
        <v>66</v>
      </c>
      <c r="K18" s="151" t="n">
        <v>696</v>
      </c>
      <c r="L18" s="151" t="n">
        <v>116</v>
      </c>
      <c r="M18" s="151" t="n">
        <v>101</v>
      </c>
      <c r="N18" s="151" t="n">
        <v>189</v>
      </c>
      <c r="O18" s="151" t="n">
        <v>124</v>
      </c>
      <c r="P18" s="151" t="n">
        <v>82</v>
      </c>
      <c r="Q18" s="151" t="n">
        <v>77</v>
      </c>
      <c r="R18" s="151" t="n">
        <v>481</v>
      </c>
      <c r="S18" s="151" t="n">
        <v>235</v>
      </c>
      <c r="T18" s="151" t="n">
        <v>1242</v>
      </c>
      <c r="U18" s="151" t="n">
        <v>307</v>
      </c>
      <c r="V18" s="151" t="n">
        <v>120</v>
      </c>
      <c r="W18" s="151" t="n">
        <v>525</v>
      </c>
      <c r="X18" s="151" t="n">
        <v>281</v>
      </c>
      <c r="Y18" s="152" t="n">
        <v>0.45</v>
      </c>
      <c r="Z18" s="151" t="n">
        <v>3519</v>
      </c>
      <c r="AA18" s="153" t="n">
        <v>75.40000000000001</v>
      </c>
      <c r="AB18" s="153" t="n">
        <v>10.3</v>
      </c>
      <c r="AC18" s="153" t="n">
        <v>18.2</v>
      </c>
      <c r="AD18" s="153" t="n">
        <v>7.1</v>
      </c>
      <c r="AE18" s="153" t="n">
        <v>16.6</v>
      </c>
    </row>
    <row r="19" ht="30" customHeight="1">
      <c r="A19" s="3" t="inlineStr">
        <is>
          <t>CENTRE</t>
        </is>
      </c>
      <c r="B19" s="3" t="inlineStr">
        <is>
          <t>NATIONS UNIES</t>
        </is>
      </c>
      <c r="C19" s="3" t="inlineStr">
        <is>
          <t>Nations Unies</t>
        </is>
      </c>
      <c r="D19" s="151" t="n">
        <v>1367</v>
      </c>
      <c r="E19" s="151" t="n">
        <v>2536</v>
      </c>
      <c r="F19" s="151" t="n">
        <v>846</v>
      </c>
      <c r="G19" s="151" t="n">
        <v>184</v>
      </c>
      <c r="H19" s="151" t="n">
        <v>117</v>
      </c>
      <c r="I19" s="151" t="n">
        <v>225</v>
      </c>
      <c r="J19" s="151" t="n">
        <v>89</v>
      </c>
      <c r="K19" s="151" t="n">
        <v>837</v>
      </c>
      <c r="L19" s="151" t="n">
        <v>159</v>
      </c>
      <c r="M19" s="151" t="n">
        <v>129</v>
      </c>
      <c r="N19" s="151" t="n">
        <v>188</v>
      </c>
      <c r="O19" s="151" t="n">
        <v>158</v>
      </c>
      <c r="P19" s="151" t="n">
        <v>106</v>
      </c>
      <c r="Q19" s="151" t="n">
        <v>101</v>
      </c>
      <c r="R19" s="151" t="n">
        <v>135</v>
      </c>
      <c r="S19" s="151" t="n">
        <v>140</v>
      </c>
      <c r="T19" s="151" t="n">
        <v>955</v>
      </c>
      <c r="U19" s="151" t="n">
        <v>457</v>
      </c>
      <c r="V19" s="151" t="n">
        <v>172</v>
      </c>
      <c r="W19" s="151" t="n">
        <v>478</v>
      </c>
      <c r="X19" s="151" t="n">
        <v>340</v>
      </c>
      <c r="Y19" s="152" t="n">
        <v>0.32</v>
      </c>
      <c r="Z19" s="151" t="n">
        <v>2916</v>
      </c>
      <c r="AA19" s="153" t="n">
        <v>87</v>
      </c>
      <c r="AB19" s="153" t="n">
        <v>13.5</v>
      </c>
      <c r="AC19" s="153" t="n">
        <v>33.4</v>
      </c>
      <c r="AD19" s="153" t="n">
        <v>12.6</v>
      </c>
      <c r="AE19" s="153" t="n">
        <v>24.9</v>
      </c>
    </row>
    <row r="20" ht="30" customHeight="1">
      <c r="A20" s="3" t="inlineStr">
        <is>
          <t>CENTRE</t>
        </is>
      </c>
      <c r="B20" s="3" t="inlineStr">
        <is>
          <t>ANSEELE MOTTE BOSSUT</t>
        </is>
      </c>
      <c r="C20" s="3" t="inlineStr">
        <is>
          <t>Anseele</t>
        </is>
      </c>
      <c r="D20" s="151" t="n">
        <v>1580</v>
      </c>
      <c r="E20" s="151" t="n">
        <v>3353</v>
      </c>
      <c r="F20" s="151" t="n">
        <v>872</v>
      </c>
      <c r="G20" s="151" t="n">
        <v>239</v>
      </c>
      <c r="H20" s="151" t="n">
        <v>115</v>
      </c>
      <c r="I20" s="151" t="n">
        <v>349</v>
      </c>
      <c r="J20" s="151" t="n">
        <v>157</v>
      </c>
      <c r="K20" s="151" t="n">
        <v>1334</v>
      </c>
      <c r="L20" s="151" t="n">
        <v>209</v>
      </c>
      <c r="M20" s="151" t="n">
        <v>207</v>
      </c>
      <c r="N20" s="151" t="n">
        <v>358</v>
      </c>
      <c r="O20" s="151" t="n">
        <v>258</v>
      </c>
      <c r="P20" s="151" t="n">
        <v>157</v>
      </c>
      <c r="Q20" s="151" t="n">
        <v>146</v>
      </c>
      <c r="R20" s="151" t="n">
        <v>125</v>
      </c>
      <c r="S20" s="151" t="n">
        <v>123</v>
      </c>
      <c r="T20" s="151" t="n">
        <v>1164</v>
      </c>
      <c r="U20" s="151" t="n">
        <v>810</v>
      </c>
      <c r="V20" s="151" t="n">
        <v>183</v>
      </c>
      <c r="W20" s="151" t="n">
        <v>596</v>
      </c>
      <c r="X20" s="151" t="n">
        <v>393</v>
      </c>
      <c r="Y20" s="152" t="n">
        <v>0.29</v>
      </c>
      <c r="Z20" s="151" t="n">
        <v>3982</v>
      </c>
      <c r="AA20" s="153" t="n">
        <v>84.2</v>
      </c>
      <c r="AB20" s="153" t="n">
        <v>15.1</v>
      </c>
      <c r="AC20" s="153" t="n">
        <v>51.3</v>
      </c>
      <c r="AD20" s="153" t="n">
        <v>11.6</v>
      </c>
      <c r="AE20" s="153" t="n">
        <v>24.9</v>
      </c>
    </row>
    <row r="21" ht="30" customHeight="1">
      <c r="A21" s="3" t="inlineStr">
        <is>
          <t>CENTRE</t>
        </is>
      </c>
      <c r="B21" s="3" t="inlineStr">
        <is>
          <t>VAUBAN</t>
        </is>
      </c>
      <c r="C21" s="3" t="inlineStr">
        <is>
          <t>Barbieux-Vauban</t>
        </is>
      </c>
      <c r="D21" s="151" t="n">
        <v>879</v>
      </c>
      <c r="E21" s="151" t="n">
        <v>1729</v>
      </c>
      <c r="F21" s="151" t="n">
        <v>536</v>
      </c>
      <c r="G21" s="151" t="n">
        <v>97</v>
      </c>
      <c r="H21" s="151" t="n">
        <v>51</v>
      </c>
      <c r="I21" s="151" t="n">
        <v>197</v>
      </c>
      <c r="J21" s="151" t="n">
        <v>68</v>
      </c>
      <c r="K21" s="151" t="n">
        <v>613</v>
      </c>
      <c r="L21" s="151" t="n">
        <v>70</v>
      </c>
      <c r="M21" s="151" t="n">
        <v>75</v>
      </c>
      <c r="N21" s="151" t="n">
        <v>157</v>
      </c>
      <c r="O21" s="151" t="n">
        <v>150</v>
      </c>
      <c r="P21" s="151" t="n">
        <v>91</v>
      </c>
      <c r="Q21" s="151" t="n">
        <v>59</v>
      </c>
      <c r="R21" s="151" t="n">
        <v>164</v>
      </c>
      <c r="S21" s="151" t="n">
        <v>114</v>
      </c>
      <c r="T21" s="151" t="n">
        <v>442</v>
      </c>
      <c r="U21" s="151" t="n">
        <v>56</v>
      </c>
      <c r="V21" s="151" t="n">
        <v>72</v>
      </c>
      <c r="W21" s="151" t="n">
        <v>275</v>
      </c>
      <c r="X21" s="151" t="n">
        <v>102</v>
      </c>
      <c r="Y21" s="152" t="n">
        <v>0.91</v>
      </c>
      <c r="Z21" s="151" t="n">
        <v>3690</v>
      </c>
      <c r="AA21" s="153" t="n">
        <v>46.9</v>
      </c>
      <c r="AB21" s="153" t="n">
        <v>11</v>
      </c>
      <c r="AC21" s="153" t="n">
        <v>6.4</v>
      </c>
      <c r="AD21" s="153" t="n">
        <v>8.199999999999999</v>
      </c>
      <c r="AE21" s="153" t="n">
        <v>11.6</v>
      </c>
    </row>
    <row r="22" ht="30" customHeight="1">
      <c r="A22" s="3" t="inlineStr">
        <is>
          <t>SUD</t>
        </is>
      </c>
      <c r="B22" s="3" t="inlineStr">
        <is>
          <t>BARBIEUX</t>
        </is>
      </c>
      <c r="C22" s="3" t="inlineStr">
        <is>
          <t>Barbieux Sud</t>
        </is>
      </c>
      <c r="D22" s="151" t="n">
        <v>480</v>
      </c>
      <c r="E22" s="151" t="n">
        <v>972</v>
      </c>
      <c r="F22" s="151" t="n">
        <v>296</v>
      </c>
      <c r="G22" s="151" t="n">
        <v>45</v>
      </c>
      <c r="H22" s="151" t="n">
        <v>27</v>
      </c>
      <c r="I22" s="151" t="n">
        <v>124</v>
      </c>
      <c r="J22" s="151" t="n">
        <v>39</v>
      </c>
      <c r="K22" s="151" t="n">
        <v>346</v>
      </c>
      <c r="L22" s="151" t="n">
        <v>48</v>
      </c>
      <c r="M22" s="151" t="n">
        <v>39</v>
      </c>
      <c r="N22" s="151" t="n">
        <v>98</v>
      </c>
      <c r="O22" s="151" t="n">
        <v>96</v>
      </c>
      <c r="P22" s="151" t="n">
        <v>35</v>
      </c>
      <c r="Q22" s="151" t="n">
        <v>31</v>
      </c>
      <c r="R22" s="151" t="n">
        <v>107</v>
      </c>
      <c r="S22" s="151" t="n">
        <v>39</v>
      </c>
      <c r="T22" s="151" t="n">
        <v>248</v>
      </c>
      <c r="U22" s="151" t="n">
        <v>30</v>
      </c>
      <c r="V22" s="151" t="n">
        <v>26</v>
      </c>
      <c r="W22" s="151" t="n">
        <v>141</v>
      </c>
      <c r="X22" s="151" t="n">
        <v>41</v>
      </c>
      <c r="Y22" s="152" t="n">
        <v>0.5600000000000001</v>
      </c>
      <c r="Z22" s="151" t="n">
        <v>2463</v>
      </c>
      <c r="AA22" s="153" t="n">
        <v>39.5</v>
      </c>
      <c r="AB22" s="153" t="n">
        <v>9.4</v>
      </c>
      <c r="AC22" s="153" t="n">
        <v>6.2</v>
      </c>
      <c r="AD22" s="153" t="n">
        <v>5.4</v>
      </c>
      <c r="AE22" s="153" t="n">
        <v>8.5</v>
      </c>
    </row>
    <row r="23" ht="30" customHeight="1">
      <c r="A23" s="3" t="inlineStr">
        <is>
          <t>SUD</t>
        </is>
      </c>
      <c r="B23" s="3" t="inlineStr">
        <is>
          <t>EDOUARD VAILLANT</t>
        </is>
      </c>
      <c r="C23" s="3" t="inlineStr">
        <is>
          <t>Édouard Vaillant</t>
        </is>
      </c>
      <c r="D23" s="151" t="n">
        <v>1075</v>
      </c>
      <c r="E23" s="151" t="n">
        <v>2326</v>
      </c>
      <c r="F23" s="151" t="n">
        <v>609</v>
      </c>
      <c r="G23" s="151" t="n">
        <v>123</v>
      </c>
      <c r="H23" s="151" t="n">
        <v>56</v>
      </c>
      <c r="I23" s="151" t="n">
        <v>300</v>
      </c>
      <c r="J23" s="151" t="n">
        <v>114</v>
      </c>
      <c r="K23" s="151" t="n">
        <v>917</v>
      </c>
      <c r="L23" s="151" t="n">
        <v>115</v>
      </c>
      <c r="M23" s="151" t="n">
        <v>142</v>
      </c>
      <c r="N23" s="151" t="n">
        <v>259</v>
      </c>
      <c r="O23" s="151" t="n">
        <v>166</v>
      </c>
      <c r="P23" s="151" t="n">
        <v>139</v>
      </c>
      <c r="Q23" s="151" t="n">
        <v>89</v>
      </c>
      <c r="R23" s="151" t="n">
        <v>224</v>
      </c>
      <c r="S23" s="151" t="n">
        <v>56</v>
      </c>
      <c r="T23" s="151" t="n">
        <v>551</v>
      </c>
      <c r="U23" s="151" t="n">
        <v>218</v>
      </c>
      <c r="V23" s="151" t="n">
        <v>108</v>
      </c>
      <c r="W23" s="151" t="n">
        <v>307</v>
      </c>
      <c r="X23" s="151" t="n">
        <v>140</v>
      </c>
      <c r="Y23" s="152" t="n">
        <v>0.53</v>
      </c>
      <c r="Z23" s="151" t="n">
        <v>4214</v>
      </c>
      <c r="AA23" s="153" t="n">
        <v>55.2</v>
      </c>
      <c r="AB23" s="153" t="n">
        <v>11.4</v>
      </c>
      <c r="AC23" s="153" t="n">
        <v>20.3</v>
      </c>
      <c r="AD23" s="153" t="n">
        <v>10</v>
      </c>
      <c r="AE23" s="153" t="n">
        <v>13</v>
      </c>
    </row>
    <row r="24" ht="30" customHeight="1">
      <c r="A24" s="3" t="inlineStr">
        <is>
          <t>SUD</t>
        </is>
      </c>
      <c r="B24" s="3" t="inlineStr">
        <is>
          <t>MOULIN</t>
        </is>
      </c>
      <c r="C24" s="3" t="inlineStr">
        <is>
          <t>Moulin Nord</t>
        </is>
      </c>
      <c r="D24" s="151" t="n">
        <v>786</v>
      </c>
      <c r="E24" s="151" t="n">
        <v>1838</v>
      </c>
      <c r="F24" s="151" t="n">
        <v>408</v>
      </c>
      <c r="G24" s="151" t="n">
        <v>140</v>
      </c>
      <c r="H24" s="151" t="n">
        <v>58</v>
      </c>
      <c r="I24" s="151" t="n">
        <v>176</v>
      </c>
      <c r="J24" s="151" t="n">
        <v>93</v>
      </c>
      <c r="K24" s="151" t="n">
        <v>827</v>
      </c>
      <c r="L24" s="151" t="n">
        <v>89</v>
      </c>
      <c r="M24" s="151" t="n">
        <v>96</v>
      </c>
      <c r="N24" s="151" t="n">
        <v>214</v>
      </c>
      <c r="O24" s="151" t="n">
        <v>169</v>
      </c>
      <c r="P24" s="151" t="n">
        <v>125</v>
      </c>
      <c r="Q24" s="151" t="n">
        <v>135</v>
      </c>
      <c r="R24" s="151" t="n">
        <v>80</v>
      </c>
      <c r="S24" s="151" t="n">
        <v>77</v>
      </c>
      <c r="T24" s="151" t="n">
        <v>437</v>
      </c>
      <c r="U24" s="151" t="n">
        <v>90</v>
      </c>
      <c r="V24" s="151" t="n">
        <v>101</v>
      </c>
      <c r="W24" s="151" t="n">
        <v>254</v>
      </c>
      <c r="X24" s="151" t="n">
        <v>196</v>
      </c>
      <c r="Y24" s="152" t="n">
        <v>0.16</v>
      </c>
      <c r="Z24" s="151" t="n">
        <v>2319</v>
      </c>
      <c r="AA24" s="153" t="n">
        <v>79.3</v>
      </c>
      <c r="AB24" s="153" t="n">
        <v>17.8</v>
      </c>
      <c r="AC24" s="153" t="n">
        <v>11.5</v>
      </c>
      <c r="AD24" s="153" t="n">
        <v>12.8</v>
      </c>
      <c r="AE24" s="153" t="n">
        <v>24.9</v>
      </c>
    </row>
    <row r="25" ht="30" customHeight="1">
      <c r="A25" s="3" t="inlineStr">
        <is>
          <t>SUD</t>
        </is>
      </c>
      <c r="B25" s="3" t="inlineStr">
        <is>
          <t>MOULIN</t>
        </is>
      </c>
      <c r="C25" s="3" t="inlineStr">
        <is>
          <t>Moulin Sud</t>
        </is>
      </c>
      <c r="D25" s="151" t="n">
        <v>666</v>
      </c>
      <c r="E25" s="151" t="n">
        <v>1736</v>
      </c>
      <c r="F25" s="151" t="n">
        <v>294</v>
      </c>
      <c r="G25" s="151" t="n">
        <v>141</v>
      </c>
      <c r="H25" s="151" t="n">
        <v>51</v>
      </c>
      <c r="I25" s="151" t="n">
        <v>175</v>
      </c>
      <c r="J25" s="151" t="n">
        <v>93</v>
      </c>
      <c r="K25" s="151" t="n">
        <v>843</v>
      </c>
      <c r="L25" s="151" t="n">
        <v>81</v>
      </c>
      <c r="M25" s="151" t="n">
        <v>108</v>
      </c>
      <c r="N25" s="151" t="n">
        <v>219</v>
      </c>
      <c r="O25" s="151" t="n">
        <v>190</v>
      </c>
      <c r="P25" s="151" t="n">
        <v>134</v>
      </c>
      <c r="Q25" s="151" t="n">
        <v>117</v>
      </c>
      <c r="R25" s="151" t="n">
        <v>27</v>
      </c>
      <c r="S25" s="151" t="n">
        <v>55</v>
      </c>
      <c r="T25" s="151" t="n">
        <v>370</v>
      </c>
      <c r="U25" s="151" t="n">
        <v>131</v>
      </c>
      <c r="V25" s="151" t="n">
        <v>89</v>
      </c>
      <c r="W25" s="151" t="n">
        <v>237</v>
      </c>
      <c r="X25" s="151" t="n">
        <v>186</v>
      </c>
      <c r="Y25" s="152" t="n">
        <v>0.17</v>
      </c>
      <c r="Z25" s="151" t="n">
        <v>2164</v>
      </c>
      <c r="AA25" s="153" t="n">
        <v>80.2</v>
      </c>
      <c r="AB25" s="153" t="n">
        <v>21.2</v>
      </c>
      <c r="AC25" s="153" t="n">
        <v>19.7</v>
      </c>
      <c r="AD25" s="153" t="n">
        <v>13.4</v>
      </c>
      <c r="AE25" s="153" t="n">
        <v>27.9</v>
      </c>
    </row>
    <row r="26" ht="30" customHeight="1">
      <c r="A26" s="3" t="inlineStr">
        <is>
          <t>SUD</t>
        </is>
      </c>
      <c r="B26" s="3" t="inlineStr">
        <is>
          <t>POTENNERIE</t>
        </is>
      </c>
      <c r="C26" s="3" t="inlineStr">
        <is>
          <t>Potennerie</t>
        </is>
      </c>
      <c r="D26" s="151" t="n">
        <v>911</v>
      </c>
      <c r="E26" s="151" t="n">
        <v>1971</v>
      </c>
      <c r="F26" s="151" t="n">
        <v>459</v>
      </c>
      <c r="G26" s="151" t="n">
        <v>168</v>
      </c>
      <c r="H26" s="151" t="n">
        <v>66</v>
      </c>
      <c r="I26" s="151" t="n">
        <v>214</v>
      </c>
      <c r="J26" s="151" t="n">
        <v>78</v>
      </c>
      <c r="K26" s="151" t="n">
        <v>789</v>
      </c>
      <c r="L26" s="151" t="n">
        <v>129</v>
      </c>
      <c r="M26" s="151" t="n">
        <v>125</v>
      </c>
      <c r="N26" s="151" t="n">
        <v>193</v>
      </c>
      <c r="O26" s="151" t="n">
        <v>167</v>
      </c>
      <c r="P26" s="151" t="n">
        <v>100</v>
      </c>
      <c r="Q26" s="151" t="n">
        <v>79</v>
      </c>
      <c r="R26" s="151" t="n">
        <v>66</v>
      </c>
      <c r="S26" s="151" t="n">
        <v>59</v>
      </c>
      <c r="T26" s="151" t="n">
        <v>509</v>
      </c>
      <c r="U26" s="151" t="n">
        <v>341</v>
      </c>
      <c r="V26" s="151" t="n">
        <v>96</v>
      </c>
      <c r="W26" s="151" t="n">
        <v>296</v>
      </c>
      <c r="X26" s="151" t="n">
        <v>221</v>
      </c>
      <c r="Y26" s="152" t="n">
        <v>0.37</v>
      </c>
      <c r="Z26" s="151" t="n">
        <v>3230</v>
      </c>
      <c r="AA26" s="153" t="n">
        <v>61</v>
      </c>
      <c r="AB26" s="153" t="n">
        <v>18.4</v>
      </c>
      <c r="AC26" s="153" t="n">
        <v>37.4</v>
      </c>
      <c r="AD26" s="153" t="n">
        <v>10.5</v>
      </c>
      <c r="AE26" s="153" t="n">
        <v>24.3</v>
      </c>
    </row>
    <row r="27" ht="30" customHeight="1">
      <c r="A27" s="3" t="inlineStr">
        <is>
          <t>EST</t>
        </is>
      </c>
      <c r="B27" s="3" t="inlineStr">
        <is>
          <t>STE ELISABETH</t>
        </is>
      </c>
      <c r="C27" s="3" t="inlineStr">
        <is>
          <t>Sainte-Élisabeth Centre</t>
        </is>
      </c>
      <c r="D27" s="151" t="n">
        <v>682</v>
      </c>
      <c r="E27" s="151" t="n">
        <v>1827</v>
      </c>
      <c r="F27" s="151" t="n">
        <v>283</v>
      </c>
      <c r="G27" s="151" t="n">
        <v>161</v>
      </c>
      <c r="H27" s="151" t="n">
        <v>54</v>
      </c>
      <c r="I27" s="151" t="n">
        <v>180</v>
      </c>
      <c r="J27" s="151" t="n">
        <v>105</v>
      </c>
      <c r="K27" s="151" t="n">
        <v>916</v>
      </c>
      <c r="L27" s="151" t="n">
        <v>106</v>
      </c>
      <c r="M27" s="151" t="n">
        <v>109</v>
      </c>
      <c r="N27" s="151" t="n">
        <v>239</v>
      </c>
      <c r="O27" s="151" t="n">
        <v>181</v>
      </c>
      <c r="P27" s="151" t="n">
        <v>150</v>
      </c>
      <c r="Q27" s="151" t="n">
        <v>129</v>
      </c>
      <c r="R27" s="151" t="n">
        <v>25</v>
      </c>
      <c r="S27" s="151" t="n">
        <v>59</v>
      </c>
      <c r="T27" s="151" t="n">
        <v>383</v>
      </c>
      <c r="U27" s="151" t="n">
        <v>139</v>
      </c>
      <c r="V27" s="151" t="n">
        <v>89</v>
      </c>
      <c r="W27" s="151" t="n">
        <v>238</v>
      </c>
      <c r="X27" s="151" t="n">
        <v>248</v>
      </c>
      <c r="Y27" s="152" t="n">
        <v>0.16</v>
      </c>
      <c r="Z27" s="151" t="n">
        <v>2310</v>
      </c>
      <c r="AA27" s="153" t="n">
        <v>79.09999999999999</v>
      </c>
      <c r="AB27" s="153" t="n">
        <v>23.6</v>
      </c>
      <c r="AC27" s="153" t="n">
        <v>20.4</v>
      </c>
      <c r="AD27" s="153" t="n">
        <v>13</v>
      </c>
      <c r="AE27" s="153" t="n">
        <v>36.4</v>
      </c>
    </row>
    <row r="28" ht="30" customHeight="1">
      <c r="A28" s="3" t="inlineStr">
        <is>
          <t>EST</t>
        </is>
      </c>
      <c r="B28" s="3" t="inlineStr">
        <is>
          <t>STE ELISABETH</t>
        </is>
      </c>
      <c r="C28" s="3" t="inlineStr">
        <is>
          <t>Sainte-Élisabeth Sud</t>
        </is>
      </c>
      <c r="D28" s="151" t="n">
        <v>655</v>
      </c>
      <c r="E28" s="151" t="n">
        <v>1737</v>
      </c>
      <c r="F28" s="151" t="n">
        <v>247</v>
      </c>
      <c r="G28" s="151" t="n">
        <v>169</v>
      </c>
      <c r="H28" s="151" t="n">
        <v>55</v>
      </c>
      <c r="I28" s="151" t="n">
        <v>188</v>
      </c>
      <c r="J28" s="151" t="n">
        <v>89</v>
      </c>
      <c r="K28" s="151" t="n">
        <v>853</v>
      </c>
      <c r="L28" s="151" t="n">
        <v>125</v>
      </c>
      <c r="M28" s="151" t="n">
        <v>107</v>
      </c>
      <c r="N28" s="151" t="n">
        <v>208</v>
      </c>
      <c r="O28" s="151" t="n">
        <v>174</v>
      </c>
      <c r="P28" s="151" t="n">
        <v>134</v>
      </c>
      <c r="Q28" s="151" t="n">
        <v>113</v>
      </c>
      <c r="R28" s="151" t="n">
        <v>16</v>
      </c>
      <c r="S28" s="151" t="n">
        <v>62</v>
      </c>
      <c r="T28" s="151" t="n">
        <v>374</v>
      </c>
      <c r="U28" s="151" t="n">
        <v>171</v>
      </c>
      <c r="V28" s="151" t="n">
        <v>63</v>
      </c>
      <c r="W28" s="151" t="n">
        <v>262</v>
      </c>
      <c r="X28" s="151" t="n">
        <v>219</v>
      </c>
      <c r="Y28" s="152" t="n">
        <v>0.14</v>
      </c>
      <c r="Z28" s="151" t="n">
        <v>2145</v>
      </c>
      <c r="AA28" s="153" t="n">
        <v>81</v>
      </c>
      <c r="AB28" s="153" t="n">
        <v>25.8</v>
      </c>
      <c r="AC28" s="153" t="n">
        <v>26.1</v>
      </c>
      <c r="AD28" s="153" t="n">
        <v>9.6</v>
      </c>
      <c r="AE28" s="153" t="n">
        <v>33.4</v>
      </c>
    </row>
    <row r="29" ht="30" customHeight="1">
      <c r="A29" s="3" t="inlineStr">
        <is>
          <t>EST</t>
        </is>
      </c>
      <c r="B29" s="3" t="inlineStr">
        <is>
          <t>STE ELISABETH</t>
        </is>
      </c>
      <c r="C29" s="3" t="inlineStr">
        <is>
          <t>Sainte-Élisabeth Nord</t>
        </is>
      </c>
      <c r="D29" s="151" t="n">
        <v>1030</v>
      </c>
      <c r="E29" s="151" t="n">
        <v>2258</v>
      </c>
      <c r="F29" s="151" t="n">
        <v>567</v>
      </c>
      <c r="G29" s="151" t="n">
        <v>178</v>
      </c>
      <c r="H29" s="151" t="n">
        <v>71</v>
      </c>
      <c r="I29" s="151" t="n">
        <v>217</v>
      </c>
      <c r="J29" s="151" t="n">
        <v>108</v>
      </c>
      <c r="K29" s="151" t="n">
        <v>953</v>
      </c>
      <c r="L29" s="151" t="n">
        <v>110</v>
      </c>
      <c r="M29" s="151" t="n">
        <v>134</v>
      </c>
      <c r="N29" s="151" t="n">
        <v>225</v>
      </c>
      <c r="O29" s="151" t="n">
        <v>188</v>
      </c>
      <c r="P29" s="151" t="n">
        <v>157</v>
      </c>
      <c r="Q29" s="151" t="n">
        <v>145</v>
      </c>
      <c r="R29" s="151" t="n">
        <v>56</v>
      </c>
      <c r="S29" s="151" t="n">
        <v>70</v>
      </c>
      <c r="T29" s="151" t="n">
        <v>624</v>
      </c>
      <c r="U29" s="151" t="n">
        <v>285</v>
      </c>
      <c r="V29" s="151" t="n">
        <v>156</v>
      </c>
      <c r="W29" s="151" t="n">
        <v>361</v>
      </c>
      <c r="X29" s="151" t="n">
        <v>289</v>
      </c>
      <c r="Y29" s="152" t="n">
        <v>0.22</v>
      </c>
      <c r="Z29" s="151" t="n">
        <v>2832</v>
      </c>
      <c r="AA29" s="153" t="n">
        <v>79.7</v>
      </c>
      <c r="AB29" s="153" t="n">
        <v>17.3</v>
      </c>
      <c r="AC29" s="153" t="n">
        <v>27.7</v>
      </c>
      <c r="AD29" s="153" t="n">
        <v>15.1</v>
      </c>
      <c r="AE29" s="153" t="n">
        <v>28.1</v>
      </c>
    </row>
    <row r="30" ht="30" customHeight="1">
      <c r="A30" s="3" t="inlineStr">
        <is>
          <t>EST</t>
        </is>
      </c>
      <c r="B30" s="3" t="inlineStr">
        <is>
          <t>PILE</t>
        </is>
      </c>
      <c r="C30" s="3" t="inlineStr">
        <is>
          <t>Pile Est</t>
        </is>
      </c>
      <c r="D30" s="151" t="n">
        <v>625</v>
      </c>
      <c r="E30" s="151" t="n">
        <v>1599</v>
      </c>
      <c r="F30" s="151" t="n">
        <v>278</v>
      </c>
      <c r="G30" s="151" t="n">
        <v>120</v>
      </c>
      <c r="H30" s="151" t="n">
        <v>53</v>
      </c>
      <c r="I30" s="151" t="n">
        <v>178</v>
      </c>
      <c r="J30" s="151" t="n">
        <v>98</v>
      </c>
      <c r="K30" s="151" t="n">
        <v>754</v>
      </c>
      <c r="L30" s="151" t="n">
        <v>88</v>
      </c>
      <c r="M30" s="151" t="n">
        <v>93</v>
      </c>
      <c r="N30" s="151" t="n">
        <v>186</v>
      </c>
      <c r="O30" s="151" t="n">
        <v>154</v>
      </c>
      <c r="P30" s="151" t="n">
        <v>114</v>
      </c>
      <c r="Q30" s="151" t="n">
        <v>120</v>
      </c>
      <c r="R30" s="151" t="n">
        <v>5</v>
      </c>
      <c r="S30" s="151" t="n">
        <v>52</v>
      </c>
      <c r="T30" s="151" t="n">
        <v>324</v>
      </c>
      <c r="U30" s="151" t="n">
        <v>139</v>
      </c>
      <c r="V30" s="151" t="n">
        <v>93</v>
      </c>
      <c r="W30" s="151" t="n">
        <v>215</v>
      </c>
      <c r="X30" s="151" t="n">
        <v>225</v>
      </c>
      <c r="Y30" s="152" t="n">
        <v>0.2</v>
      </c>
      <c r="Z30" s="151" t="n">
        <v>2137</v>
      </c>
      <c r="AA30" s="153" t="n">
        <v>74.8</v>
      </c>
      <c r="AB30" s="153" t="n">
        <v>19.2</v>
      </c>
      <c r="AC30" s="153" t="n">
        <v>22.2</v>
      </c>
      <c r="AD30" s="153" t="n">
        <v>14.9</v>
      </c>
      <c r="AE30" s="153" t="n">
        <v>36</v>
      </c>
    </row>
    <row r="31" ht="30" customHeight="1">
      <c r="A31" s="3" t="inlineStr">
        <is>
          <t>EST</t>
        </is>
      </c>
      <c r="B31" s="3" t="inlineStr">
        <is>
          <t>PILE</t>
        </is>
      </c>
      <c r="C31" s="3" t="inlineStr">
        <is>
          <t>Pile Centre</t>
        </is>
      </c>
      <c r="D31" s="151" t="n">
        <v>760</v>
      </c>
      <c r="E31" s="151" t="n">
        <v>2121</v>
      </c>
      <c r="F31" s="151" t="n">
        <v>294</v>
      </c>
      <c r="G31" s="151" t="n">
        <v>190</v>
      </c>
      <c r="H31" s="151" t="n">
        <v>45</v>
      </c>
      <c r="I31" s="151" t="n">
        <v>228</v>
      </c>
      <c r="J31" s="151" t="n">
        <v>121</v>
      </c>
      <c r="K31" s="151" t="n">
        <v>1087</v>
      </c>
      <c r="L31" s="151" t="n">
        <v>118</v>
      </c>
      <c r="M31" s="151" t="n">
        <v>155</v>
      </c>
      <c r="N31" s="151" t="n">
        <v>302</v>
      </c>
      <c r="O31" s="151" t="n">
        <v>211</v>
      </c>
      <c r="P31" s="151" t="n">
        <v>161</v>
      </c>
      <c r="Q31" s="151" t="n">
        <v>148</v>
      </c>
      <c r="R31" s="151" t="n">
        <v>7</v>
      </c>
      <c r="S31" s="151" t="n">
        <v>55</v>
      </c>
      <c r="T31" s="151" t="n">
        <v>416</v>
      </c>
      <c r="U31" s="151" t="n">
        <v>176</v>
      </c>
      <c r="V31" s="151" t="n">
        <v>86</v>
      </c>
      <c r="W31" s="151" t="n">
        <v>285</v>
      </c>
      <c r="X31" s="151" t="n">
        <v>268</v>
      </c>
      <c r="Y31" s="152" t="n">
        <v>0.17</v>
      </c>
      <c r="Z31" s="151" t="n">
        <v>2553</v>
      </c>
      <c r="AA31" s="153" t="n">
        <v>83.09999999999999</v>
      </c>
      <c r="AB31" s="153" t="n">
        <v>25</v>
      </c>
      <c r="AC31" s="153" t="n">
        <v>23.2</v>
      </c>
      <c r="AD31" s="153" t="n">
        <v>11.3</v>
      </c>
      <c r="AE31" s="153" t="n">
        <v>35.3</v>
      </c>
    </row>
    <row r="32" ht="30" customHeight="1">
      <c r="A32" s="3" t="inlineStr">
        <is>
          <t>EST</t>
        </is>
      </c>
      <c r="B32" s="3" t="inlineStr">
        <is>
          <t>PILE</t>
        </is>
      </c>
      <c r="C32" s="3" t="inlineStr">
        <is>
          <t>Pile Nord</t>
        </is>
      </c>
      <c r="D32" s="151" t="n">
        <v>704</v>
      </c>
      <c r="E32" s="151" t="n">
        <v>1598</v>
      </c>
      <c r="F32" s="151" t="n">
        <v>407</v>
      </c>
      <c r="G32" s="151" t="n">
        <v>128</v>
      </c>
      <c r="H32" s="151" t="n">
        <v>29</v>
      </c>
      <c r="I32" s="151" t="n">
        <v>137</v>
      </c>
      <c r="J32" s="151" t="n">
        <v>80</v>
      </c>
      <c r="K32" s="151" t="n">
        <v>737</v>
      </c>
      <c r="L32" s="151" t="n">
        <v>81</v>
      </c>
      <c r="M32" s="151" t="n">
        <v>96</v>
      </c>
      <c r="N32" s="151" t="n">
        <v>166</v>
      </c>
      <c r="O32" s="151" t="n">
        <v>167</v>
      </c>
      <c r="P32" s="151" t="n">
        <v>127</v>
      </c>
      <c r="Q32" s="151" t="n">
        <v>104</v>
      </c>
      <c r="R32" s="151" t="n">
        <v>26</v>
      </c>
      <c r="S32" s="151" t="n">
        <v>45</v>
      </c>
      <c r="T32" s="151" t="n">
        <v>415</v>
      </c>
      <c r="U32" s="151" t="n">
        <v>158</v>
      </c>
      <c r="V32" s="151" t="n">
        <v>101</v>
      </c>
      <c r="W32" s="151" t="n">
        <v>235</v>
      </c>
      <c r="X32" s="151" t="n">
        <v>262</v>
      </c>
      <c r="Y32" s="152" t="n">
        <v>0.33</v>
      </c>
      <c r="Z32" s="151" t="n">
        <v>2300</v>
      </c>
      <c r="AA32" s="153" t="n">
        <v>69.5</v>
      </c>
      <c r="AB32" s="153" t="n">
        <v>18.2</v>
      </c>
      <c r="AC32" s="153" t="n">
        <v>22.4</v>
      </c>
      <c r="AD32" s="153" t="n">
        <v>14.3</v>
      </c>
      <c r="AE32" s="153" t="n">
        <v>37.2</v>
      </c>
    </row>
    <row r="33" ht="30" customHeight="1">
      <c r="A33" s="3" t="inlineStr">
        <is>
          <t>EST</t>
        </is>
      </c>
      <c r="B33" s="3" t="inlineStr">
        <is>
          <t>TROIS PONTS</t>
        </is>
      </c>
      <c r="C33" s="3" t="inlineStr">
        <is>
          <t>Trois Ponts Nord</t>
        </is>
      </c>
      <c r="D33" s="151" t="n">
        <v>280</v>
      </c>
      <c r="E33" s="151" t="n">
        <v>544</v>
      </c>
      <c r="F33" s="151" t="n">
        <v>166</v>
      </c>
      <c r="G33" s="151" t="n">
        <v>43</v>
      </c>
      <c r="H33" s="151" t="n">
        <v>24</v>
      </c>
      <c r="I33" s="151" t="n">
        <v>53</v>
      </c>
      <c r="J33" s="151" t="n">
        <v>22</v>
      </c>
      <c r="K33" s="151" t="n">
        <v>202</v>
      </c>
      <c r="L33" s="151" t="n">
        <v>20</v>
      </c>
      <c r="M33" s="151" t="n">
        <v>32</v>
      </c>
      <c r="N33" s="151" t="n">
        <v>50</v>
      </c>
      <c r="O33" s="151" t="n">
        <v>41</v>
      </c>
      <c r="P33" s="151" t="n">
        <v>31</v>
      </c>
      <c r="Q33" s="151" t="n">
        <v>31</v>
      </c>
      <c r="R33" s="151" t="n">
        <v>0</v>
      </c>
      <c r="S33" s="151" t="n">
        <v>9</v>
      </c>
      <c r="T33" s="151" t="n">
        <v>201</v>
      </c>
      <c r="U33" s="151" t="n">
        <v>198</v>
      </c>
      <c r="V33" s="151" t="n">
        <v>25</v>
      </c>
      <c r="W33" s="151" t="n">
        <v>101</v>
      </c>
      <c r="X33" s="151" t="n">
        <v>97</v>
      </c>
      <c r="Y33" s="152" t="n">
        <v>0.1</v>
      </c>
      <c r="Z33" s="151" t="n">
        <v>554</v>
      </c>
      <c r="AA33" s="153" t="n">
        <v>98.2</v>
      </c>
      <c r="AB33" s="153" t="n">
        <v>15.4</v>
      </c>
      <c r="AC33" s="153" t="n">
        <v>70.7</v>
      </c>
      <c r="AD33" s="153" t="n">
        <v>8.9</v>
      </c>
      <c r="AE33" s="153" t="n">
        <v>34.6</v>
      </c>
    </row>
    <row r="34" ht="30" customHeight="1">
      <c r="A34" s="3" t="inlineStr">
        <is>
          <t>EST</t>
        </is>
      </c>
      <c r="B34" s="3" t="inlineStr">
        <is>
          <t>TROIS PONTS</t>
        </is>
      </c>
      <c r="C34" s="3" t="inlineStr">
        <is>
          <t>Trois Ponts Sud</t>
        </is>
      </c>
      <c r="D34" s="151" t="n">
        <v>712</v>
      </c>
      <c r="E34" s="151" t="n">
        <v>1937</v>
      </c>
      <c r="F34" s="151" t="n">
        <v>250</v>
      </c>
      <c r="G34" s="151" t="n">
        <v>167</v>
      </c>
      <c r="H34" s="151" t="n">
        <v>67</v>
      </c>
      <c r="I34" s="151" t="n">
        <v>223</v>
      </c>
      <c r="J34" s="151" t="n">
        <v>121</v>
      </c>
      <c r="K34" s="151" t="n">
        <v>950</v>
      </c>
      <c r="L34" s="151" t="n">
        <v>110</v>
      </c>
      <c r="M34" s="151" t="n">
        <v>124</v>
      </c>
      <c r="N34" s="151" t="n">
        <v>262</v>
      </c>
      <c r="O34" s="151" t="n">
        <v>214</v>
      </c>
      <c r="P34" s="151" t="n">
        <v>130</v>
      </c>
      <c r="Q34" s="151" t="n">
        <v>114</v>
      </c>
      <c r="R34" s="151" t="n">
        <v>0</v>
      </c>
      <c r="S34" s="151" t="n">
        <v>32</v>
      </c>
      <c r="T34" s="151" t="n">
        <v>486</v>
      </c>
      <c r="U34" s="151" t="n">
        <v>457</v>
      </c>
      <c r="V34" s="151" t="n">
        <v>104</v>
      </c>
      <c r="W34" s="151" t="n">
        <v>278</v>
      </c>
      <c r="X34" s="151" t="n">
        <v>198</v>
      </c>
      <c r="Y34" s="152" t="n">
        <v>0.18</v>
      </c>
      <c r="Z34" s="151" t="n">
        <v>2357</v>
      </c>
      <c r="AA34" s="153" t="n">
        <v>82.2</v>
      </c>
      <c r="AB34" s="153" t="n">
        <v>23.5</v>
      </c>
      <c r="AC34" s="153" t="n">
        <v>64.2</v>
      </c>
      <c r="AD34" s="153" t="n">
        <v>14.6</v>
      </c>
      <c r="AE34" s="153" t="n">
        <v>27.8</v>
      </c>
    </row>
    <row r="35" ht="30" customHeight="1">
      <c r="A35" s="3" t="inlineStr">
        <is>
          <t>EST</t>
        </is>
      </c>
      <c r="B35" s="3" t="inlineStr">
        <is>
          <t>SARTEL CARIHEM</t>
        </is>
      </c>
      <c r="C35" s="3" t="inlineStr">
        <is>
          <t>Sartel</t>
        </is>
      </c>
      <c r="D35" s="151" t="n">
        <v>531</v>
      </c>
      <c r="E35" s="151" t="n">
        <v>1256</v>
      </c>
      <c r="F35" s="151" t="n">
        <v>266</v>
      </c>
      <c r="G35" s="151" t="n">
        <v>82</v>
      </c>
      <c r="H35" s="151" t="n">
        <v>35</v>
      </c>
      <c r="I35" s="151" t="n">
        <v>145</v>
      </c>
      <c r="J35" s="151" t="n">
        <v>64</v>
      </c>
      <c r="K35" s="151" t="n">
        <v>548</v>
      </c>
      <c r="L35" s="151" t="n">
        <v>60</v>
      </c>
      <c r="M35" s="151" t="n">
        <v>82</v>
      </c>
      <c r="N35" s="151" t="n">
        <v>145</v>
      </c>
      <c r="O35" s="151" t="n">
        <v>119</v>
      </c>
      <c r="P35" s="151" t="n">
        <v>78</v>
      </c>
      <c r="Q35" s="151" t="n">
        <v>53</v>
      </c>
      <c r="R35" s="151" t="n">
        <v>6</v>
      </c>
      <c r="S35" s="151" t="n">
        <v>25</v>
      </c>
      <c r="T35" s="151" t="n">
        <v>305</v>
      </c>
      <c r="U35" s="151" t="n">
        <v>206</v>
      </c>
      <c r="V35" s="151" t="n">
        <v>63</v>
      </c>
      <c r="W35" s="151" t="n">
        <v>161</v>
      </c>
      <c r="X35" s="151" t="n">
        <v>143</v>
      </c>
      <c r="Y35" s="152" t="n">
        <v>1</v>
      </c>
      <c r="Z35" s="151" t="n">
        <v>1702</v>
      </c>
      <c r="AA35" s="153" t="n">
        <v>73.8</v>
      </c>
      <c r="AB35" s="153" t="n">
        <v>15.4</v>
      </c>
      <c r="AC35" s="153" t="n">
        <v>38.8</v>
      </c>
      <c r="AD35" s="153" t="n">
        <v>11.9</v>
      </c>
      <c r="AE35" s="153" t="n">
        <v>26.9</v>
      </c>
    </row>
    <row r="36" ht="30" customHeight="1">
      <c r="A36" s="3" t="inlineStr">
        <is>
          <t>SUD</t>
        </is>
      </c>
      <c r="B36" s="3" t="inlineStr">
        <is>
          <t>CHEMIN NEUF/LINNE</t>
        </is>
      </c>
      <c r="C36" s="3" t="inlineStr">
        <is>
          <t>Linné-Chemin Neuf</t>
        </is>
      </c>
      <c r="D36" s="151" t="n">
        <v>904</v>
      </c>
      <c r="E36" s="151" t="n">
        <v>2159</v>
      </c>
      <c r="F36" s="151" t="n">
        <v>405</v>
      </c>
      <c r="G36" s="151" t="n">
        <v>164</v>
      </c>
      <c r="H36" s="151" t="n">
        <v>59</v>
      </c>
      <c r="I36" s="151" t="n">
        <v>274</v>
      </c>
      <c r="J36" s="151" t="n">
        <v>113</v>
      </c>
      <c r="K36" s="151" t="n">
        <v>924</v>
      </c>
      <c r="L36" s="151" t="n">
        <v>122</v>
      </c>
      <c r="M36" s="151" t="n">
        <v>127</v>
      </c>
      <c r="N36" s="151" t="n">
        <v>250</v>
      </c>
      <c r="O36" s="151" t="n">
        <v>181</v>
      </c>
      <c r="P36" s="151" t="n">
        <v>158</v>
      </c>
      <c r="Q36" s="151" t="n">
        <v>91</v>
      </c>
      <c r="R36" s="151" t="n">
        <v>21</v>
      </c>
      <c r="S36" s="151" t="n">
        <v>47</v>
      </c>
      <c r="T36" s="151" t="n">
        <v>408</v>
      </c>
      <c r="U36" s="151" t="n">
        <v>276</v>
      </c>
      <c r="V36" s="151" t="n">
        <v>87</v>
      </c>
      <c r="W36" s="151" t="n">
        <v>335</v>
      </c>
      <c r="X36" s="151" t="n">
        <v>179</v>
      </c>
      <c r="Y36" s="152" t="n">
        <v>0.46</v>
      </c>
      <c r="Z36" s="151" t="n">
        <v>3488</v>
      </c>
      <c r="AA36" s="153" t="n">
        <v>61.9</v>
      </c>
      <c r="AB36" s="153" t="n">
        <v>18.1</v>
      </c>
      <c r="AC36" s="153" t="n">
        <v>30.5</v>
      </c>
      <c r="AD36" s="153" t="n">
        <v>9.6</v>
      </c>
      <c r="AE36" s="153" t="n">
        <v>19.8</v>
      </c>
    </row>
    <row r="37" ht="30" customHeight="1">
      <c r="A37" s="3" t="inlineStr">
        <is>
          <t>SUD</t>
        </is>
      </c>
      <c r="B37" s="3" t="inlineStr">
        <is>
          <t>JUSTICE</t>
        </is>
      </c>
      <c r="C37" s="3" t="inlineStr">
        <is>
          <t>Justice</t>
        </is>
      </c>
      <c r="D37" s="151" t="n">
        <v>485</v>
      </c>
      <c r="E37" s="151" t="n">
        <v>1250</v>
      </c>
      <c r="F37" s="151" t="n">
        <v>208</v>
      </c>
      <c r="G37" s="151" t="n">
        <v>70</v>
      </c>
      <c r="H37" s="151" t="n">
        <v>28</v>
      </c>
      <c r="I37" s="151" t="n">
        <v>175</v>
      </c>
      <c r="J37" s="151" t="n">
        <v>74</v>
      </c>
      <c r="K37" s="151" t="n">
        <v>563</v>
      </c>
      <c r="L37" s="151" t="n">
        <v>46</v>
      </c>
      <c r="M37" s="151" t="n">
        <v>82</v>
      </c>
      <c r="N37" s="151" t="n">
        <v>147</v>
      </c>
      <c r="O37" s="151" t="n">
        <v>115</v>
      </c>
      <c r="P37" s="151" t="n">
        <v>97</v>
      </c>
      <c r="Q37" s="151" t="n">
        <v>75</v>
      </c>
      <c r="R37" s="151" t="n">
        <v>0</v>
      </c>
      <c r="S37" s="151" t="n">
        <v>36</v>
      </c>
      <c r="T37" s="151" t="n">
        <v>169</v>
      </c>
      <c r="U37" s="151" t="n">
        <v>114</v>
      </c>
      <c r="V37" s="151" t="n">
        <v>49</v>
      </c>
      <c r="W37" s="151" t="n">
        <v>206</v>
      </c>
      <c r="X37" s="151" t="n">
        <v>96</v>
      </c>
      <c r="Y37" s="152" t="n">
        <v>0.52</v>
      </c>
      <c r="Z37" s="151" t="n">
        <v>2362</v>
      </c>
      <c r="AA37" s="153" t="n">
        <v>52.9</v>
      </c>
      <c r="AB37" s="153" t="n">
        <v>14.4</v>
      </c>
      <c r="AC37" s="153" t="n">
        <v>23.5</v>
      </c>
      <c r="AD37" s="153" t="n">
        <v>10.1</v>
      </c>
      <c r="AE37" s="153" t="n">
        <v>19.8</v>
      </c>
    </row>
    <row r="38" ht="30" customHeight="1">
      <c r="A38" s="3" t="inlineStr">
        <is>
          <t>EST</t>
        </is>
      </c>
      <c r="B38" s="3" t="inlineStr">
        <is>
          <t>FRATERNITE</t>
        </is>
      </c>
      <c r="C38" s="3" t="inlineStr">
        <is>
          <t>Fraternité</t>
        </is>
      </c>
      <c r="D38" s="151" t="n">
        <v>699</v>
      </c>
      <c r="E38" s="151" t="n">
        <v>1824</v>
      </c>
      <c r="F38" s="151" t="n">
        <v>317</v>
      </c>
      <c r="G38" s="151" t="n">
        <v>127</v>
      </c>
      <c r="H38" s="151" t="n">
        <v>28</v>
      </c>
      <c r="I38" s="151" t="n">
        <v>224</v>
      </c>
      <c r="J38" s="151" t="n">
        <v>103</v>
      </c>
      <c r="K38" s="151" t="n">
        <v>872</v>
      </c>
      <c r="L38" s="151" t="n">
        <v>100</v>
      </c>
      <c r="M38" s="151" t="n">
        <v>102</v>
      </c>
      <c r="N38" s="151" t="n">
        <v>219</v>
      </c>
      <c r="O38" s="151" t="n">
        <v>191</v>
      </c>
      <c r="P38" s="151" t="n">
        <v>140</v>
      </c>
      <c r="Q38" s="151" t="n">
        <v>115</v>
      </c>
      <c r="R38" s="151" t="n">
        <v>23</v>
      </c>
      <c r="S38" s="151" t="n">
        <v>48</v>
      </c>
      <c r="T38" s="151" t="n">
        <v>291</v>
      </c>
      <c r="U38" s="151" t="n">
        <v>69</v>
      </c>
      <c r="V38" s="151" t="n">
        <v>79</v>
      </c>
      <c r="W38" s="151" t="n">
        <v>228</v>
      </c>
      <c r="X38" s="151" t="n">
        <v>181</v>
      </c>
      <c r="Y38" s="152" t="n">
        <v>0.41</v>
      </c>
      <c r="Z38" s="151" t="n">
        <v>2691</v>
      </c>
      <c r="AA38" s="153" t="n">
        <v>67.8</v>
      </c>
      <c r="AB38" s="153" t="n">
        <v>18.2</v>
      </c>
      <c r="AC38" s="153" t="n">
        <v>9.9</v>
      </c>
      <c r="AD38" s="153" t="n">
        <v>11.3</v>
      </c>
      <c r="AE38" s="153" t="n">
        <v>25.9</v>
      </c>
    </row>
    <row r="39" ht="30" customHeight="1">
      <c r="A39" s="3" t="inlineStr">
        <is>
          <t>SUD</t>
        </is>
      </c>
      <c r="B39" s="3" t="inlineStr">
        <is>
          <t>NOUVEAU ROUBAIX</t>
        </is>
      </c>
      <c r="C39" s="3" t="inlineStr">
        <is>
          <t>Nouveau Roubaix</t>
        </is>
      </c>
      <c r="D39" s="151" t="n">
        <v>851</v>
      </c>
      <c r="E39" s="151" t="n">
        <v>1916</v>
      </c>
      <c r="F39" s="151" t="n">
        <v>426</v>
      </c>
      <c r="G39" s="151" t="n">
        <v>168</v>
      </c>
      <c r="H39" s="151" t="n">
        <v>51</v>
      </c>
      <c r="I39" s="151" t="n">
        <v>202</v>
      </c>
      <c r="J39" s="151" t="n">
        <v>91</v>
      </c>
      <c r="K39" s="151" t="n">
        <v>813</v>
      </c>
      <c r="L39" s="151" t="n">
        <v>86</v>
      </c>
      <c r="M39" s="151" t="n">
        <v>94</v>
      </c>
      <c r="N39" s="151" t="n">
        <v>208</v>
      </c>
      <c r="O39" s="151" t="n">
        <v>178</v>
      </c>
      <c r="P39" s="151" t="n">
        <v>137</v>
      </c>
      <c r="Q39" s="151" t="n">
        <v>112</v>
      </c>
      <c r="R39" s="151" t="n">
        <v>5</v>
      </c>
      <c r="S39" s="151" t="n">
        <v>43</v>
      </c>
      <c r="T39" s="151" t="n">
        <v>594</v>
      </c>
      <c r="U39" s="151" t="n">
        <v>582</v>
      </c>
      <c r="V39" s="151" t="n">
        <v>105</v>
      </c>
      <c r="W39" s="151" t="n">
        <v>322</v>
      </c>
      <c r="X39" s="151" t="n">
        <v>257</v>
      </c>
      <c r="Y39" s="152" t="n">
        <v>0.17</v>
      </c>
      <c r="Z39" s="151" t="n">
        <v>2622</v>
      </c>
      <c r="AA39" s="153" t="n">
        <v>73.09999999999999</v>
      </c>
      <c r="AB39" s="153" t="n">
        <v>19.7</v>
      </c>
      <c r="AC39" s="153" t="n">
        <v>68.40000000000001</v>
      </c>
      <c r="AD39" s="153" t="n">
        <v>12.3</v>
      </c>
      <c r="AE39" s="153" t="n">
        <v>30.2</v>
      </c>
    </row>
    <row r="40" ht="30" customHeight="1">
      <c r="A40" s="50" t="inlineStr">
        <is>
          <t>SUD</t>
        </is>
      </c>
      <c r="B40" s="50" t="inlineStr">
        <is>
          <t>HAUTS CHAMPS/PETITES HAIES</t>
        </is>
      </c>
      <c r="C40" s="50" t="inlineStr">
        <is>
          <t>Hauts Champs</t>
        </is>
      </c>
      <c r="D40" s="151" t="n">
        <v>807</v>
      </c>
      <c r="E40" s="151" t="n">
        <v>1785</v>
      </c>
      <c r="F40" s="151" t="n">
        <v>404</v>
      </c>
      <c r="G40" s="151" t="n">
        <v>170</v>
      </c>
      <c r="H40" s="151" t="n">
        <v>54</v>
      </c>
      <c r="I40" s="151" t="n">
        <v>175</v>
      </c>
      <c r="J40" s="151" t="n">
        <v>72</v>
      </c>
      <c r="K40" s="151" t="n">
        <v>739</v>
      </c>
      <c r="L40" s="151" t="n">
        <v>98</v>
      </c>
      <c r="M40" s="151" t="n">
        <v>110</v>
      </c>
      <c r="N40" s="151" t="n">
        <v>201</v>
      </c>
      <c r="O40" s="151" t="n">
        <v>130</v>
      </c>
      <c r="P40" s="151" t="n">
        <v>104</v>
      </c>
      <c r="Q40" s="151" t="n">
        <v>98</v>
      </c>
      <c r="R40" s="151" t="n">
        <v>6</v>
      </c>
      <c r="S40" s="151" t="n">
        <v>39</v>
      </c>
      <c r="T40" s="151" t="n">
        <v>560</v>
      </c>
      <c r="U40" s="151" t="n">
        <v>539</v>
      </c>
      <c r="V40" s="151" t="n">
        <v>110</v>
      </c>
      <c r="W40" s="151" t="n">
        <v>322</v>
      </c>
      <c r="X40" s="151" t="n">
        <v>218</v>
      </c>
      <c r="Y40" s="152" t="n">
        <v>0.31</v>
      </c>
      <c r="Z40" s="151" t="n">
        <v>2227</v>
      </c>
      <c r="AA40" s="153" t="n">
        <v>80.09999999999999</v>
      </c>
      <c r="AB40" s="153" t="n">
        <v>21.1</v>
      </c>
      <c r="AC40" s="153" t="n">
        <v>66.8</v>
      </c>
      <c r="AD40" s="153" t="n">
        <v>13.6</v>
      </c>
      <c r="AE40" s="153" t="n">
        <v>27</v>
      </c>
    </row>
  </sheetData>
  <mergeCells count="1">
    <mergeCell ref="A1:C1"/>
  </mergeCell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C40"/>
  <sheetViews>
    <sheetView topLeftCell="A1" workbookViewId="0">
      <pane xSplit="3" ySplit="2" topLeftCell="D3" activePane="bottomRight" state="frozen"/>
      <selection pane="topRight"/>
      <selection pane="bottomLeft"/>
      <selection pane="bottomRight" activeCell="H1" sqref="H1"/>
      <selection pane="bottomLeft" activeCell="A3" sqref="A3"/>
      <selection pane="bottomRight" activeCell="A1" sqref="A1"/>
    </sheetView>
  </sheetViews>
  <sheetFormatPr baseColWidth="10" defaultColWidth="9.140625" defaultRowHeight="15"/>
  <cols>
    <col width="13" customWidth="1" min="1" max="1"/>
    <col width="31" customWidth="1" min="2" max="2"/>
    <col width="26" customWidth="1" min="3" max="3"/>
    <col width="14" customWidth="1" min="4" max="4"/>
    <col width="14" customWidth="1" min="5" max="5"/>
    <col width="14" customWidth="1" min="6" max="6"/>
    <col width="14" customWidth="1" min="7" max="7"/>
    <col width="14" customWidth="1" min="8" max="8"/>
    <col width="14" customWidth="1" min="9" max="10"/>
    <col width="14" customWidth="1" min="10" max="10"/>
    <col width="14" customWidth="1" min="11" max="11"/>
    <col width="14" customWidth="1" min="12" max="15"/>
    <col width="23" customWidth="1" min="13" max="13"/>
    <col width="17" customWidth="1" min="14" max="14"/>
    <col width="17" customWidth="1" min="15" max="15"/>
    <col width="20" customWidth="1" min="16" max="16"/>
    <col width="26" customWidth="1" min="17" max="17"/>
    <col width="26" customWidth="1" min="18" max="18"/>
    <col width="26" customWidth="1" min="19" max="19"/>
    <col width="20" customWidth="1" min="20" max="20"/>
    <col width="22" customWidth="1" min="21" max="23"/>
    <col width="17" customWidth="1" min="22" max="22"/>
    <col width="17" customWidth="1" min="23" max="23"/>
    <col width="20" customWidth="1" min="24" max="24"/>
    <col width="23" customWidth="1" min="25" max="25"/>
    <col width="23" customWidth="1" min="26" max="26"/>
    <col width="23" customWidth="1" min="27" max="27"/>
    <col width="20" customWidth="1" min="28" max="28"/>
    <col width="14" customWidth="1" min="29" max="31"/>
    <col width="50" customWidth="1" min="32" max="32"/>
    <col width="18.7109375" customWidth="1" min="33" max="33"/>
    <col width="68.140625" customWidth="1" min="34" max="34"/>
    <col width="66.5703125" customWidth="1" min="35" max="35"/>
    <col width="63.42578125" customWidth="1" min="36" max="36"/>
    <col width="64.28515625" customWidth="1" min="37" max="37"/>
    <col width="62.7109375" customWidth="1" min="38" max="38"/>
    <col width="60" customWidth="1" min="39" max="39"/>
  </cols>
  <sheetData>
    <row r="1" ht="36" customHeight="1">
      <c r="A1" s="124" t="inlineStr">
        <is>
          <t>Bénéficiaires du régime général de l’assurance maladie, dont bénéficiaires de la complémentaire santé solidaire</t>
        </is>
      </c>
      <c r="B1" s="125" t="n"/>
      <c r="C1" s="126" t="n"/>
      <c r="D1" s="127">
        <f>SUBTOTAL(9,D3:D40)</f>
        <v/>
      </c>
      <c r="E1" s="127">
        <f>SUBTOTAL(9,E3:E40)</f>
        <v/>
      </c>
      <c r="F1" s="127">
        <f>SUBTOTAL(9,F3:F40)</f>
        <v/>
      </c>
      <c r="G1" s="127">
        <f>SUBTOTAL(9,G3:G40)</f>
        <v/>
      </c>
      <c r="H1" s="127">
        <f>SUBTOTAL(9,H3:H40)</f>
        <v/>
      </c>
      <c r="I1" s="127">
        <f>SUBTOTAL(9,I3:I40)</f>
        <v/>
      </c>
      <c r="J1" s="127">
        <f>SUBTOTAL(9,J3:J40)</f>
        <v/>
      </c>
      <c r="K1" s="127">
        <f>SUBTOTAL(9,K3:K40)</f>
        <v/>
      </c>
      <c r="L1" s="127">
        <f>SUBTOTAL(9,L3:L40)</f>
        <v/>
      </c>
      <c r="M1" s="127">
        <f>SUBTOTAL(9,M3:M40)</f>
        <v/>
      </c>
      <c r="N1" s="127">
        <f>SUBTOTAL(9,N3:N40)</f>
        <v/>
      </c>
      <c r="O1" s="127">
        <f>SUBTOTAL(9,O3:O40)</f>
        <v/>
      </c>
      <c r="P1" s="127">
        <f>SUBTOTAL(9,P3:P40)</f>
        <v/>
      </c>
      <c r="Q1" s="127">
        <f>SUBTOTAL(9,Q3:Q40)</f>
        <v/>
      </c>
      <c r="R1" s="127">
        <f>SUBTOTAL(9,R3:R40)</f>
        <v/>
      </c>
      <c r="S1" s="127">
        <f>SUBTOTAL(9,S3:S40)</f>
        <v/>
      </c>
      <c r="T1" s="127">
        <f>SUBTOTAL(9,T3:T40)</f>
        <v/>
      </c>
      <c r="U1" s="127">
        <f>SUBTOTAL(9,U3:U40)</f>
        <v/>
      </c>
      <c r="V1" s="127">
        <f>SUBTOTAL(9,V3:V40)</f>
        <v/>
      </c>
      <c r="W1" s="127">
        <f>SUBTOTAL(9,W3:W40)</f>
        <v/>
      </c>
      <c r="X1" s="127">
        <f>SUBTOTAL(9,X3:X40)</f>
        <v/>
      </c>
      <c r="Y1" s="127">
        <f>SUBTOTAL(9,Y3:Y40)</f>
        <v/>
      </c>
      <c r="Z1" s="127">
        <f>SUBTOTAL(9,Z3:Z40)</f>
        <v/>
      </c>
      <c r="AA1" s="127">
        <f>SUBTOTAL(9,AA3:AA40)</f>
        <v/>
      </c>
      <c r="AB1" s="127">
        <f>SUBTOTAL(9,AB3:AB40)</f>
        <v/>
      </c>
      <c r="AC1" s="128">
        <f>SUBTOTAL(9,AC3:AC40)</f>
        <v/>
      </c>
    </row>
    <row r="2" ht="70" customHeight="1">
      <c r="A2" s="45" t="inlineStr">
        <is>
          <t>Mairies de quartiers</t>
        </is>
      </c>
      <c r="B2" s="45" t="inlineStr">
        <is>
          <t>Grands quartiers</t>
        </is>
      </c>
      <c r="C2" s="45" t="inlineStr">
        <is>
          <t>Libellé de l'Iris</t>
        </is>
      </c>
      <c r="D2" s="46" t="inlineStr">
        <is>
          <t>Population couverte</t>
        </is>
      </c>
      <c r="E2" s="46" t="inlineStr">
        <is>
          <t>Hommes</t>
        </is>
      </c>
      <c r="F2" s="46" t="inlineStr">
        <is>
          <t>Femmes</t>
        </is>
      </c>
      <c r="G2" s="46" t="inlineStr">
        <is>
          <t>Moins de 18 ans</t>
        </is>
      </c>
      <c r="H2" s="46" t="inlineStr">
        <is>
          <t>de 18 ans à moins de 25 ans</t>
        </is>
      </c>
      <c r="I2" s="46" t="inlineStr">
        <is>
          <t>de 25 ans à moins de 50 ans</t>
        </is>
      </c>
      <c r="J2" s="46" t="inlineStr">
        <is>
          <t>de 50 ans à moins de 60 ans</t>
        </is>
      </c>
      <c r="K2" s="46" t="inlineStr">
        <is>
          <t>de 60 ans à moins de 75 ans</t>
        </is>
      </c>
      <c r="L2" s="46" t="inlineStr">
        <is>
          <t>75 ans ou plus</t>
        </is>
      </c>
      <c r="M2" s="46" t="inlineStr">
        <is>
          <t>Population couverte bénéficiaire de la C2S non participative</t>
        </is>
      </c>
      <c r="N2" s="46" t="inlineStr">
        <is>
          <t>Hommes bénéficiaires de la C2S non participative</t>
        </is>
      </c>
      <c r="O2" s="46" t="inlineStr">
        <is>
          <t>Femmes bénéficiaires de la C2S non participative</t>
        </is>
      </c>
      <c r="P2" s="46" t="inlineStr">
        <is>
          <t>Bénéficiaires de la C2S non participative de moins de 18 ans</t>
        </is>
      </c>
      <c r="Q2" s="46" t="inlineStr">
        <is>
          <t>Bénéficiaires de la C2S non participative de 18 ans à moins de 25 ans</t>
        </is>
      </c>
      <c r="R2" s="46" t="inlineStr">
        <is>
          <t>Bénéficiaires de la C2S non participative de 25 ans à moins de 50 ans</t>
        </is>
      </c>
      <c r="S2" s="46" t="inlineStr">
        <is>
          <t>Bénéficiaires de la C2S non participative de 50 ans à moins de 60 ans</t>
        </is>
      </c>
      <c r="T2" s="46" t="inlineStr">
        <is>
          <t>Bénéficiaires de la C2S non participative de 60 ans ou plus</t>
        </is>
      </c>
      <c r="U2" s="46" t="inlineStr">
        <is>
          <t>Population couverte bénéficiaire de la C2S participative</t>
        </is>
      </c>
      <c r="V2" s="46" t="inlineStr">
        <is>
          <t>Hommes bénéficiaires de la C2S participative</t>
        </is>
      </c>
      <c r="W2" s="46" t="inlineStr">
        <is>
          <t>Femmes bénéficiaires de la C2S participative</t>
        </is>
      </c>
      <c r="X2" s="46" t="inlineStr">
        <is>
          <t>Bénéficiaires de la C2S participative de moins de 18 ans</t>
        </is>
      </c>
      <c r="Y2" s="46" t="inlineStr">
        <is>
          <t>Bénéficiaires de la C2S participative de 18 ans à moins de 25 ans</t>
        </is>
      </c>
      <c r="Z2" s="46" t="inlineStr">
        <is>
          <t>Bénéficiaires de la C2S participative de 25 ans à moins de 50 ans</t>
        </is>
      </c>
      <c r="AA2" s="46" t="inlineStr">
        <is>
          <t>Bénéficiaires de la C2S participative de 50 ans à moins de 60 ans</t>
        </is>
      </c>
      <c r="AB2" s="46" t="inlineStr">
        <is>
          <t>Bénéficiaires de la C2S participative de 60 ans ou plus</t>
        </is>
      </c>
      <c r="AC2" s="47" t="inlineStr">
        <is>
          <t>Superficie en km²</t>
        </is>
      </c>
    </row>
    <row r="3" ht="30" customHeight="1">
      <c r="A3" s="3" t="inlineStr">
        <is>
          <t>OUEST</t>
        </is>
      </c>
      <c r="B3" s="3" t="inlineStr">
        <is>
          <t>FRESNOY MACKELLERIE</t>
        </is>
      </c>
      <c r="C3" s="3" t="inlineStr">
        <is>
          <t>Mackellerie</t>
        </is>
      </c>
      <c r="D3" s="135" t="n">
        <v>2485</v>
      </c>
      <c r="E3" s="135" t="n">
        <v>1276</v>
      </c>
      <c r="F3" s="135" t="n">
        <v>1221</v>
      </c>
      <c r="G3" s="135" t="n">
        <v>698</v>
      </c>
      <c r="H3" s="135" t="n">
        <v>340</v>
      </c>
      <c r="I3" s="135" t="n">
        <v>862</v>
      </c>
      <c r="J3" s="135" t="n">
        <v>269</v>
      </c>
      <c r="K3" s="135" t="n">
        <v>230</v>
      </c>
      <c r="L3" s="135" t="n">
        <v>77</v>
      </c>
      <c r="M3" s="135" t="n">
        <v>874</v>
      </c>
      <c r="N3" s="135" t="n">
        <v>440</v>
      </c>
      <c r="O3" s="135" t="n">
        <v>424</v>
      </c>
      <c r="P3" s="135" t="n">
        <v>314</v>
      </c>
      <c r="Q3" s="135" t="n">
        <v>137</v>
      </c>
      <c r="R3" s="135" t="n">
        <v>282</v>
      </c>
      <c r="S3" s="135" t="n">
        <v>74</v>
      </c>
      <c r="T3" s="135" t="n">
        <v>50</v>
      </c>
      <c r="U3" s="135" t="n">
        <v>190</v>
      </c>
      <c r="V3" s="135" t="n">
        <v>82</v>
      </c>
      <c r="W3" s="135" t="n">
        <v>100</v>
      </c>
      <c r="X3" s="135" t="n">
        <v>73</v>
      </c>
      <c r="Y3" s="135" t="n">
        <v>27</v>
      </c>
      <c r="Z3" s="135" t="n">
        <v>55</v>
      </c>
      <c r="AA3" s="135" t="n">
        <v>27</v>
      </c>
      <c r="AB3" s="135" t="n">
        <v>28</v>
      </c>
      <c r="AC3" s="136" t="n">
        <v>0.32</v>
      </c>
    </row>
    <row r="4" ht="30" customHeight="1">
      <c r="A4" s="3" t="inlineStr">
        <is>
          <t>OUEST</t>
        </is>
      </c>
      <c r="B4" s="3" t="inlineStr">
        <is>
          <t>ARMENTIERES</t>
        </is>
      </c>
      <c r="C4" s="3" t="inlineStr">
        <is>
          <t>Fresnoy</t>
        </is>
      </c>
      <c r="D4" s="135" t="n">
        <v>3814</v>
      </c>
      <c r="E4" s="135" t="n">
        <v>1912</v>
      </c>
      <c r="F4" s="135" t="n">
        <v>1911</v>
      </c>
      <c r="G4" s="135" t="n">
        <v>794</v>
      </c>
      <c r="H4" s="135" t="n">
        <v>661</v>
      </c>
      <c r="I4" s="135" t="n">
        <v>1405</v>
      </c>
      <c r="J4" s="135" t="n">
        <v>425</v>
      </c>
      <c r="K4" s="135" t="n">
        <v>384</v>
      </c>
      <c r="L4" s="135" t="n">
        <v>135</v>
      </c>
      <c r="M4" s="135" t="n">
        <v>1006</v>
      </c>
      <c r="N4" s="135" t="n">
        <v>501</v>
      </c>
      <c r="O4" s="135" t="n">
        <v>517</v>
      </c>
      <c r="P4" s="135" t="n">
        <v>319</v>
      </c>
      <c r="Q4" s="135" t="n">
        <v>165</v>
      </c>
      <c r="R4" s="135" t="n">
        <v>382</v>
      </c>
      <c r="S4" s="135" t="n">
        <v>111</v>
      </c>
      <c r="T4" s="135" t="n">
        <v>54</v>
      </c>
      <c r="U4" s="135" t="n">
        <v>173</v>
      </c>
      <c r="V4" s="135" t="n">
        <v>69</v>
      </c>
      <c r="W4" s="135" t="n">
        <v>96</v>
      </c>
      <c r="X4" s="135" t="n">
        <v>43</v>
      </c>
      <c r="Y4" s="135" t="n">
        <v>16</v>
      </c>
      <c r="Z4" s="135" t="n">
        <v>41</v>
      </c>
      <c r="AA4" s="135" t="n">
        <v>24</v>
      </c>
      <c r="AB4" s="135" t="n">
        <v>48</v>
      </c>
      <c r="AC4" s="136" t="n">
        <v>0.53</v>
      </c>
    </row>
    <row r="5" ht="30" customHeight="1">
      <c r="A5" s="3" t="inlineStr">
        <is>
          <t>NORD</t>
        </is>
      </c>
      <c r="B5" s="3" t="inlineStr">
        <is>
          <t>FOSSE AUX CHENES</t>
        </is>
      </c>
      <c r="C5" s="3" t="inlineStr">
        <is>
          <t>Fosse aux Chênes</t>
        </is>
      </c>
      <c r="D5" s="135" t="n">
        <v>2964</v>
      </c>
      <c r="E5" s="135" t="n">
        <v>1467</v>
      </c>
      <c r="F5" s="135" t="n">
        <v>1487</v>
      </c>
      <c r="G5" s="135" t="n">
        <v>812</v>
      </c>
      <c r="H5" s="135" t="n">
        <v>352</v>
      </c>
      <c r="I5" s="135" t="n">
        <v>973</v>
      </c>
      <c r="J5" s="135" t="n">
        <v>347</v>
      </c>
      <c r="K5" s="135" t="n">
        <v>307</v>
      </c>
      <c r="L5" s="135" t="n">
        <v>165</v>
      </c>
      <c r="M5" s="135" t="n">
        <v>1221</v>
      </c>
      <c r="N5" s="135" t="n">
        <v>595</v>
      </c>
      <c r="O5" s="135" t="n">
        <v>636</v>
      </c>
      <c r="P5" s="135" t="n">
        <v>472</v>
      </c>
      <c r="Q5" s="135" t="n">
        <v>133</v>
      </c>
      <c r="R5" s="135" t="n">
        <v>416</v>
      </c>
      <c r="S5" s="135" t="n">
        <v>119</v>
      </c>
      <c r="T5" s="135" t="n">
        <v>84</v>
      </c>
      <c r="U5" s="135" t="n">
        <v>242</v>
      </c>
      <c r="V5" s="135" t="n">
        <v>117</v>
      </c>
      <c r="W5" s="135" t="n">
        <v>133</v>
      </c>
      <c r="X5" s="135" t="n">
        <v>55</v>
      </c>
      <c r="Y5" s="135" t="n">
        <v>23</v>
      </c>
      <c r="Z5" s="135" t="n">
        <v>39</v>
      </c>
      <c r="AA5" s="135" t="n">
        <v>36</v>
      </c>
      <c r="AB5" s="135" t="n">
        <v>86</v>
      </c>
      <c r="AC5" s="136" t="n">
        <v>0.41</v>
      </c>
    </row>
    <row r="6" ht="30" customHeight="1">
      <c r="A6" s="3" t="inlineStr">
        <is>
          <t>NORD</t>
        </is>
      </c>
      <c r="B6" s="3" t="inlineStr">
        <is>
          <t>ALMA GARE</t>
        </is>
      </c>
      <c r="C6" s="3" t="inlineStr">
        <is>
          <t>Alma Sud</t>
        </is>
      </c>
      <c r="D6" s="135" t="n">
        <v>1005</v>
      </c>
      <c r="E6" s="135" t="n">
        <v>509</v>
      </c>
      <c r="F6" s="135" t="n">
        <v>482</v>
      </c>
      <c r="G6" s="135" t="n">
        <v>264</v>
      </c>
      <c r="H6" s="135" t="n">
        <v>130</v>
      </c>
      <c r="I6" s="135" t="n">
        <v>298</v>
      </c>
      <c r="J6" s="135" t="n">
        <v>135</v>
      </c>
      <c r="K6" s="135" t="n">
        <v>140</v>
      </c>
      <c r="L6" s="135" t="n">
        <v>50</v>
      </c>
      <c r="M6" s="135" t="n">
        <v>456</v>
      </c>
      <c r="N6" s="135" t="n">
        <v>262</v>
      </c>
      <c r="O6" s="135" t="n">
        <v>206</v>
      </c>
      <c r="P6" s="135" t="n">
        <v>167</v>
      </c>
      <c r="Q6" s="135" t="n">
        <v>62</v>
      </c>
      <c r="R6" s="135" t="n">
        <v>126</v>
      </c>
      <c r="S6" s="135" t="n">
        <v>56</v>
      </c>
      <c r="T6" s="135" t="n">
        <v>42</v>
      </c>
      <c r="U6" s="135" t="n">
        <v>111</v>
      </c>
      <c r="V6" s="135" t="n">
        <v>55</v>
      </c>
      <c r="W6" s="135" t="n">
        <v>68</v>
      </c>
      <c r="X6" s="135" t="n">
        <v>34</v>
      </c>
      <c r="Y6" s="135" t="n">
        <v>33</v>
      </c>
      <c r="Z6" s="135" t="n">
        <v>14</v>
      </c>
      <c r="AA6" s="135" t="n">
        <v>13</v>
      </c>
      <c r="AB6" s="135" t="n">
        <v>43</v>
      </c>
      <c r="AC6" s="136" t="n">
        <v>0.09</v>
      </c>
    </row>
    <row r="7" ht="30" customHeight="1">
      <c r="A7" s="3" t="inlineStr">
        <is>
          <t>NORD</t>
        </is>
      </c>
      <c r="B7" s="3" t="inlineStr">
        <is>
          <t>ALMA GARE</t>
        </is>
      </c>
      <c r="C7" s="3" t="inlineStr">
        <is>
          <t>Alma Nord</t>
        </is>
      </c>
      <c r="D7" s="135" t="n">
        <v>1519</v>
      </c>
      <c r="E7" s="135" t="n">
        <v>779</v>
      </c>
      <c r="F7" s="135" t="n">
        <v>732</v>
      </c>
      <c r="G7" s="135" t="n">
        <v>396</v>
      </c>
      <c r="H7" s="135" t="n">
        <v>229</v>
      </c>
      <c r="I7" s="135" t="n">
        <v>491</v>
      </c>
      <c r="J7" s="135" t="n">
        <v>162</v>
      </c>
      <c r="K7" s="135" t="n">
        <v>141</v>
      </c>
      <c r="L7" s="135" t="n">
        <v>74</v>
      </c>
      <c r="M7" s="135" t="n">
        <v>626</v>
      </c>
      <c r="N7" s="135" t="n">
        <v>324</v>
      </c>
      <c r="O7" s="135" t="n">
        <v>291</v>
      </c>
      <c r="P7" s="135" t="n">
        <v>236</v>
      </c>
      <c r="Q7" s="135" t="n">
        <v>86</v>
      </c>
      <c r="R7" s="135" t="n">
        <v>201</v>
      </c>
      <c r="S7" s="135" t="n">
        <v>58</v>
      </c>
      <c r="T7" s="135" t="n">
        <v>44</v>
      </c>
      <c r="U7" s="135" t="n">
        <v>105</v>
      </c>
      <c r="V7" s="135" t="n">
        <v>48</v>
      </c>
      <c r="W7" s="135" t="n">
        <v>65</v>
      </c>
      <c r="X7" s="135" t="n">
        <v>40</v>
      </c>
      <c r="Y7" s="135" t="n">
        <v>13</v>
      </c>
      <c r="Z7" s="135" t="n">
        <v>16</v>
      </c>
      <c r="AA7" s="135" t="n">
        <v>0</v>
      </c>
      <c r="AB7" s="135" t="n">
        <v>35</v>
      </c>
      <c r="AC7" s="136" t="n">
        <v>0.42</v>
      </c>
    </row>
    <row r="8" ht="30" customHeight="1">
      <c r="A8" s="3" t="inlineStr">
        <is>
          <t>NORD</t>
        </is>
      </c>
      <c r="B8" s="3" t="inlineStr">
        <is>
          <t>ENTREPONT</t>
        </is>
      </c>
      <c r="C8" s="3" t="inlineStr">
        <is>
          <t>Entrepont-Cartigny</t>
        </is>
      </c>
      <c r="D8" s="135" t="n">
        <v>2646</v>
      </c>
      <c r="E8" s="135" t="n">
        <v>1381</v>
      </c>
      <c r="F8" s="135" t="n">
        <v>1255</v>
      </c>
      <c r="G8" s="135" t="n">
        <v>745</v>
      </c>
      <c r="H8" s="135" t="n">
        <v>371</v>
      </c>
      <c r="I8" s="135" t="n">
        <v>854</v>
      </c>
      <c r="J8" s="135" t="n">
        <v>288</v>
      </c>
      <c r="K8" s="135" t="n">
        <v>260</v>
      </c>
      <c r="L8" s="135" t="n">
        <v>137</v>
      </c>
      <c r="M8" s="135" t="n">
        <v>947</v>
      </c>
      <c r="N8" s="135" t="n">
        <v>498</v>
      </c>
      <c r="O8" s="135" t="n">
        <v>458</v>
      </c>
      <c r="P8" s="135" t="n">
        <v>344</v>
      </c>
      <c r="Q8" s="135" t="n">
        <v>141</v>
      </c>
      <c r="R8" s="135" t="n">
        <v>315</v>
      </c>
      <c r="S8" s="135" t="n">
        <v>98</v>
      </c>
      <c r="T8" s="135" t="n">
        <v>49</v>
      </c>
      <c r="U8" s="135" t="n">
        <v>146</v>
      </c>
      <c r="V8" s="135" t="n">
        <v>61</v>
      </c>
      <c r="W8" s="135" t="n">
        <v>76</v>
      </c>
      <c r="X8" s="135" t="n">
        <v>49</v>
      </c>
      <c r="Y8" s="135" t="n">
        <v>21</v>
      </c>
      <c r="Z8" s="135" t="n">
        <v>29</v>
      </c>
      <c r="AA8" s="135" t="n">
        <v>27</v>
      </c>
      <c r="AB8" s="135" t="n">
        <v>36</v>
      </c>
      <c r="AC8" s="136" t="n">
        <v>0.85</v>
      </c>
    </row>
    <row r="9" ht="30" customHeight="1">
      <c r="A9" s="3" t="inlineStr">
        <is>
          <t>NORD</t>
        </is>
      </c>
      <c r="B9" s="3" t="inlineStr">
        <is>
          <t>HUTIN - ORAN - CARTIGNY</t>
        </is>
      </c>
      <c r="C9" s="3" t="inlineStr">
        <is>
          <t>Hutin-Oran</t>
        </is>
      </c>
      <c r="D9" s="135" t="n">
        <v>2473</v>
      </c>
      <c r="E9" s="135" t="n">
        <v>1251</v>
      </c>
      <c r="F9" s="135" t="n">
        <v>1213</v>
      </c>
      <c r="G9" s="135" t="n">
        <v>694</v>
      </c>
      <c r="H9" s="135" t="n">
        <v>273</v>
      </c>
      <c r="I9" s="135" t="n">
        <v>825</v>
      </c>
      <c r="J9" s="135" t="n">
        <v>300</v>
      </c>
      <c r="K9" s="135" t="n">
        <v>246</v>
      </c>
      <c r="L9" s="135" t="n">
        <v>124</v>
      </c>
      <c r="M9" s="135" t="n">
        <v>735</v>
      </c>
      <c r="N9" s="135" t="n">
        <v>367</v>
      </c>
      <c r="O9" s="135" t="n">
        <v>360</v>
      </c>
      <c r="P9" s="135" t="n">
        <v>279</v>
      </c>
      <c r="Q9" s="135" t="n">
        <v>96</v>
      </c>
      <c r="R9" s="135" t="n">
        <v>252</v>
      </c>
      <c r="S9" s="135" t="n">
        <v>80</v>
      </c>
      <c r="T9" s="135" t="n">
        <v>29</v>
      </c>
      <c r="U9" s="135" t="n">
        <v>164</v>
      </c>
      <c r="V9" s="135" t="n">
        <v>82</v>
      </c>
      <c r="W9" s="135" t="n">
        <v>93</v>
      </c>
      <c r="X9" s="135" t="n">
        <v>51</v>
      </c>
      <c r="Y9" s="135" t="n">
        <v>22</v>
      </c>
      <c r="Z9" s="135" t="n">
        <v>35</v>
      </c>
      <c r="AA9" s="135" t="n">
        <v>19</v>
      </c>
      <c r="AB9" s="135" t="n">
        <v>40</v>
      </c>
      <c r="AC9" s="136" t="n">
        <v>0.42</v>
      </c>
    </row>
    <row r="10" ht="30" customHeight="1">
      <c r="A10" s="3" t="inlineStr">
        <is>
          <t>NORD</t>
        </is>
      </c>
      <c r="B10" s="3" t="inlineStr">
        <is>
          <t>CUL DE FOUR</t>
        </is>
      </c>
      <c r="C10" s="3" t="inlineStr">
        <is>
          <t>Cul de Four</t>
        </is>
      </c>
      <c r="D10" s="135" t="n">
        <v>3151</v>
      </c>
      <c r="E10" s="135" t="n">
        <v>1624</v>
      </c>
      <c r="F10" s="135" t="n">
        <v>1520</v>
      </c>
      <c r="G10" s="135" t="n">
        <v>969</v>
      </c>
      <c r="H10" s="135" t="n">
        <v>393</v>
      </c>
      <c r="I10" s="135" t="n">
        <v>965</v>
      </c>
      <c r="J10" s="135" t="n">
        <v>341</v>
      </c>
      <c r="K10" s="135" t="n">
        <v>333</v>
      </c>
      <c r="L10" s="135" t="n">
        <v>180</v>
      </c>
      <c r="M10" s="135" t="n">
        <v>1379</v>
      </c>
      <c r="N10" s="135" t="n">
        <v>689</v>
      </c>
      <c r="O10" s="135" t="n">
        <v>682</v>
      </c>
      <c r="P10" s="135" t="n">
        <v>567</v>
      </c>
      <c r="Q10" s="135" t="n">
        <v>181</v>
      </c>
      <c r="R10" s="135" t="n">
        <v>417</v>
      </c>
      <c r="S10" s="135" t="n">
        <v>113</v>
      </c>
      <c r="T10" s="135" t="n">
        <v>85</v>
      </c>
      <c r="U10" s="135" t="n">
        <v>238</v>
      </c>
      <c r="V10" s="135" t="n">
        <v>107</v>
      </c>
      <c r="W10" s="135" t="n">
        <v>140</v>
      </c>
      <c r="X10" s="135" t="n">
        <v>76</v>
      </c>
      <c r="Y10" s="135" t="n">
        <v>25</v>
      </c>
      <c r="Z10" s="135" t="n">
        <v>43</v>
      </c>
      <c r="AA10" s="135" t="n">
        <v>27</v>
      </c>
      <c r="AB10" s="135" t="n">
        <v>68</v>
      </c>
      <c r="AC10" s="136" t="n">
        <v>0.5600000000000001</v>
      </c>
    </row>
    <row r="11" ht="30" customHeight="1">
      <c r="A11" s="3" t="inlineStr">
        <is>
          <t>NORD</t>
        </is>
      </c>
      <c r="B11" s="3" t="inlineStr">
        <is>
          <t>HOMMELET</t>
        </is>
      </c>
      <c r="C11" s="3" t="inlineStr">
        <is>
          <t>Hommelet Nord</t>
        </is>
      </c>
      <c r="D11" s="135" t="n">
        <v>2425</v>
      </c>
      <c r="E11" s="135" t="n">
        <v>1231</v>
      </c>
      <c r="F11" s="135" t="n">
        <v>1186</v>
      </c>
      <c r="G11" s="135" t="n">
        <v>734</v>
      </c>
      <c r="H11" s="135" t="n">
        <v>308</v>
      </c>
      <c r="I11" s="135" t="n">
        <v>801</v>
      </c>
      <c r="J11" s="135" t="n">
        <v>240</v>
      </c>
      <c r="K11" s="135" t="n">
        <v>226</v>
      </c>
      <c r="L11" s="135" t="n">
        <v>91</v>
      </c>
      <c r="M11" s="135" t="n">
        <v>938</v>
      </c>
      <c r="N11" s="135" t="n">
        <v>458</v>
      </c>
      <c r="O11" s="135" t="n">
        <v>472</v>
      </c>
      <c r="P11" s="135" t="n">
        <v>388</v>
      </c>
      <c r="Q11" s="135" t="n">
        <v>117</v>
      </c>
      <c r="R11" s="135" t="n">
        <v>307</v>
      </c>
      <c r="S11" s="135" t="n">
        <v>78</v>
      </c>
      <c r="T11" s="135" t="n">
        <v>50</v>
      </c>
      <c r="U11" s="135" t="n">
        <v>188</v>
      </c>
      <c r="V11" s="135" t="n">
        <v>71</v>
      </c>
      <c r="W11" s="135" t="n">
        <v>106</v>
      </c>
      <c r="X11" s="135" t="n">
        <v>59</v>
      </c>
      <c r="Y11" s="135" t="n">
        <v>18</v>
      </c>
      <c r="Z11" s="135" t="n">
        <v>45</v>
      </c>
      <c r="AA11" s="135" t="n">
        <v>14</v>
      </c>
      <c r="AB11" s="135" t="n">
        <v>49</v>
      </c>
      <c r="AC11" s="136" t="n">
        <v>0.18</v>
      </c>
    </row>
    <row r="12" ht="30" customHeight="1">
      <c r="A12" s="3" t="inlineStr">
        <is>
          <t>NORD</t>
        </is>
      </c>
      <c r="B12" s="3" t="inlineStr">
        <is>
          <t>HOMMELET</t>
        </is>
      </c>
      <c r="C12" s="3" t="inlineStr">
        <is>
          <t>Hommelet Centre</t>
        </is>
      </c>
      <c r="D12" s="135" t="n">
        <v>2855</v>
      </c>
      <c r="E12" s="135" t="n">
        <v>1456</v>
      </c>
      <c r="F12" s="135" t="n">
        <v>1407</v>
      </c>
      <c r="G12" s="135" t="n">
        <v>770</v>
      </c>
      <c r="H12" s="135" t="n">
        <v>347</v>
      </c>
      <c r="I12" s="135" t="n">
        <v>850</v>
      </c>
      <c r="J12" s="135" t="n">
        <v>344</v>
      </c>
      <c r="K12" s="135" t="n">
        <v>347</v>
      </c>
      <c r="L12" s="135" t="n">
        <v>182</v>
      </c>
      <c r="M12" s="135" t="n">
        <v>1057</v>
      </c>
      <c r="N12" s="135" t="n">
        <v>539</v>
      </c>
      <c r="O12" s="135" t="n">
        <v>505</v>
      </c>
      <c r="P12" s="135" t="n">
        <v>418</v>
      </c>
      <c r="Q12" s="135" t="n">
        <v>103</v>
      </c>
      <c r="R12" s="135" t="n">
        <v>330</v>
      </c>
      <c r="S12" s="135" t="n">
        <v>111</v>
      </c>
      <c r="T12" s="135" t="n">
        <v>74</v>
      </c>
      <c r="U12" s="135" t="n">
        <v>241</v>
      </c>
      <c r="V12" s="135" t="n">
        <v>110</v>
      </c>
      <c r="W12" s="135" t="n">
        <v>139</v>
      </c>
      <c r="X12" s="135" t="n">
        <v>62</v>
      </c>
      <c r="Y12" s="135" t="n">
        <v>23</v>
      </c>
      <c r="Z12" s="135" t="n">
        <v>38</v>
      </c>
      <c r="AA12" s="135" t="n">
        <v>25</v>
      </c>
      <c r="AB12" s="135" t="n">
        <v>74</v>
      </c>
      <c r="AC12" s="136" t="n">
        <v>0.28</v>
      </c>
    </row>
    <row r="13" ht="30" customHeight="1">
      <c r="A13" s="3" t="inlineStr">
        <is>
          <t>NORD</t>
        </is>
      </c>
      <c r="B13" s="3" t="inlineStr">
        <is>
          <t>HOMMELET</t>
        </is>
      </c>
      <c r="C13" s="3" t="inlineStr">
        <is>
          <t>Hommelet Sud</t>
        </is>
      </c>
      <c r="D13" s="135" t="n">
        <v>2261</v>
      </c>
      <c r="E13" s="135" t="n">
        <v>1168</v>
      </c>
      <c r="F13" s="135" t="n">
        <v>1082</v>
      </c>
      <c r="G13" s="135" t="n">
        <v>597</v>
      </c>
      <c r="H13" s="135" t="n">
        <v>274</v>
      </c>
      <c r="I13" s="135" t="n">
        <v>756</v>
      </c>
      <c r="J13" s="135" t="n">
        <v>259</v>
      </c>
      <c r="K13" s="135" t="n">
        <v>252</v>
      </c>
      <c r="L13" s="135" t="n">
        <v>111</v>
      </c>
      <c r="M13" s="135" t="n">
        <v>860</v>
      </c>
      <c r="N13" s="135" t="n">
        <v>426</v>
      </c>
      <c r="O13" s="135" t="n">
        <v>426</v>
      </c>
      <c r="P13" s="135" t="n">
        <v>313</v>
      </c>
      <c r="Q13" s="135" t="n">
        <v>111</v>
      </c>
      <c r="R13" s="135" t="n">
        <v>286</v>
      </c>
      <c r="S13" s="135" t="n">
        <v>93</v>
      </c>
      <c r="T13" s="135" t="n">
        <v>57</v>
      </c>
      <c r="U13" s="135" t="n">
        <v>187</v>
      </c>
      <c r="V13" s="135" t="n">
        <v>77</v>
      </c>
      <c r="W13" s="135" t="n">
        <v>101</v>
      </c>
      <c r="X13" s="135" t="n">
        <v>40</v>
      </c>
      <c r="Y13" s="135" t="n">
        <v>40</v>
      </c>
      <c r="Z13" s="135" t="n">
        <v>44</v>
      </c>
      <c r="AA13" s="135" t="n">
        <v>25</v>
      </c>
      <c r="AB13" s="135" t="n">
        <v>60</v>
      </c>
      <c r="AC13" s="136" t="n">
        <v>0.21</v>
      </c>
    </row>
    <row r="14" ht="30" customHeight="1">
      <c r="A14" s="3" t="inlineStr">
        <is>
          <t>OUEST</t>
        </is>
      </c>
      <c r="B14" s="3" t="inlineStr">
        <is>
          <t>EPEULE</t>
        </is>
      </c>
      <c r="C14" s="3" t="inlineStr">
        <is>
          <t>Épeule Nord</t>
        </is>
      </c>
      <c r="D14" s="135" t="n">
        <v>1542</v>
      </c>
      <c r="E14" s="135" t="n">
        <v>782</v>
      </c>
      <c r="F14" s="135" t="n">
        <v>769</v>
      </c>
      <c r="G14" s="135" t="n">
        <v>380</v>
      </c>
      <c r="H14" s="135" t="n">
        <v>176</v>
      </c>
      <c r="I14" s="135" t="n">
        <v>488</v>
      </c>
      <c r="J14" s="135" t="n">
        <v>179</v>
      </c>
      <c r="K14" s="135" t="n">
        <v>219</v>
      </c>
      <c r="L14" s="135" t="n">
        <v>111</v>
      </c>
      <c r="M14" s="135" t="n">
        <v>602</v>
      </c>
      <c r="N14" s="135" t="n">
        <v>302</v>
      </c>
      <c r="O14" s="135" t="n">
        <v>292</v>
      </c>
      <c r="P14" s="135" t="n">
        <v>226</v>
      </c>
      <c r="Q14" s="135" t="n">
        <v>62</v>
      </c>
      <c r="R14" s="135" t="n">
        <v>200</v>
      </c>
      <c r="S14" s="135" t="n">
        <v>38</v>
      </c>
      <c r="T14" s="135" t="n">
        <v>57</v>
      </c>
      <c r="U14" s="135" t="n">
        <v>165</v>
      </c>
      <c r="V14" s="135" t="n">
        <v>65</v>
      </c>
      <c r="W14" s="135" t="n">
        <v>112</v>
      </c>
      <c r="X14" s="135" t="n">
        <v>24</v>
      </c>
      <c r="Y14" s="135" t="n">
        <v>13</v>
      </c>
      <c r="Z14" s="135" t="n">
        <v>30</v>
      </c>
      <c r="AA14" s="135" t="n">
        <v>13</v>
      </c>
      <c r="AB14" s="135" t="n">
        <v>64</v>
      </c>
      <c r="AC14" s="136" t="n">
        <v>0.15</v>
      </c>
    </row>
    <row r="15" ht="30" customHeight="1">
      <c r="A15" s="3" t="inlineStr">
        <is>
          <t>OUEST</t>
        </is>
      </c>
      <c r="B15" s="3" t="inlineStr">
        <is>
          <t>EPEULE</t>
        </is>
      </c>
      <c r="C15" s="3" t="inlineStr">
        <is>
          <t>Épeule Centre</t>
        </is>
      </c>
      <c r="D15" s="135" t="n">
        <v>2680</v>
      </c>
      <c r="E15" s="135" t="n">
        <v>1392</v>
      </c>
      <c r="F15" s="135" t="n">
        <v>1296</v>
      </c>
      <c r="G15" s="135" t="n">
        <v>771</v>
      </c>
      <c r="H15" s="135" t="n">
        <v>328</v>
      </c>
      <c r="I15" s="135" t="n">
        <v>839</v>
      </c>
      <c r="J15" s="135" t="n">
        <v>307</v>
      </c>
      <c r="K15" s="135" t="n">
        <v>305</v>
      </c>
      <c r="L15" s="135" t="n">
        <v>142</v>
      </c>
      <c r="M15" s="135" t="n">
        <v>1017</v>
      </c>
      <c r="N15" s="135" t="n">
        <v>490</v>
      </c>
      <c r="O15" s="135" t="n">
        <v>535</v>
      </c>
      <c r="P15" s="135" t="n">
        <v>423</v>
      </c>
      <c r="Q15" s="135" t="n">
        <v>128</v>
      </c>
      <c r="R15" s="135" t="n">
        <v>315</v>
      </c>
      <c r="S15" s="135" t="n">
        <v>101</v>
      </c>
      <c r="T15" s="135" t="n">
        <v>65</v>
      </c>
      <c r="U15" s="135" t="n">
        <v>265</v>
      </c>
      <c r="V15" s="135" t="n">
        <v>121</v>
      </c>
      <c r="W15" s="135" t="n">
        <v>152</v>
      </c>
      <c r="X15" s="135" t="n">
        <v>77</v>
      </c>
      <c r="Y15" s="135" t="n">
        <v>15</v>
      </c>
      <c r="Z15" s="135" t="n">
        <v>44</v>
      </c>
      <c r="AA15" s="135" t="n">
        <v>33</v>
      </c>
      <c r="AB15" s="135" t="n">
        <v>94</v>
      </c>
      <c r="AC15" s="136" t="n">
        <v>0.2</v>
      </c>
    </row>
    <row r="16" ht="30" customHeight="1">
      <c r="A16" s="3" t="inlineStr">
        <is>
          <t>OUEST</t>
        </is>
      </c>
      <c r="B16" s="3" t="inlineStr">
        <is>
          <t>EPEULE</t>
        </is>
      </c>
      <c r="C16" s="3" t="inlineStr">
        <is>
          <t>Épeule Sud</t>
        </is>
      </c>
      <c r="D16" s="135" t="n">
        <v>1909</v>
      </c>
      <c r="E16" s="135" t="n">
        <v>964</v>
      </c>
      <c r="F16" s="135" t="n">
        <v>933</v>
      </c>
      <c r="G16" s="135" t="n">
        <v>357</v>
      </c>
      <c r="H16" s="135" t="n">
        <v>276</v>
      </c>
      <c r="I16" s="135" t="n">
        <v>664</v>
      </c>
      <c r="J16" s="135" t="n">
        <v>285</v>
      </c>
      <c r="K16" s="135" t="n">
        <v>237</v>
      </c>
      <c r="L16" s="135" t="n">
        <v>96</v>
      </c>
      <c r="M16" s="135" t="n">
        <v>499</v>
      </c>
      <c r="N16" s="135" t="n">
        <v>259</v>
      </c>
      <c r="O16" s="135" t="n">
        <v>229</v>
      </c>
      <c r="P16" s="135" t="n">
        <v>143</v>
      </c>
      <c r="Q16" s="135" t="n">
        <v>70</v>
      </c>
      <c r="R16" s="135" t="n">
        <v>167</v>
      </c>
      <c r="S16" s="135" t="n">
        <v>59</v>
      </c>
      <c r="T16" s="135" t="n">
        <v>63</v>
      </c>
      <c r="U16" s="135" t="n">
        <v>80</v>
      </c>
      <c r="V16" s="135" t="n">
        <v>41</v>
      </c>
      <c r="W16" s="135" t="n">
        <v>48</v>
      </c>
      <c r="X16" s="135" t="n">
        <v>23</v>
      </c>
      <c r="Y16" s="135" t="n">
        <v>20</v>
      </c>
      <c r="Z16" s="135" t="n">
        <v>12</v>
      </c>
      <c r="AA16" s="135" t="n">
        <v>13</v>
      </c>
      <c r="AB16" s="135" t="n">
        <v>32</v>
      </c>
      <c r="AC16" s="136" t="n">
        <v>0.15</v>
      </c>
    </row>
    <row r="17" ht="30" customHeight="1">
      <c r="A17" s="3" t="inlineStr">
        <is>
          <t>OUEST</t>
        </is>
      </c>
      <c r="B17" s="3" t="inlineStr">
        <is>
          <t>TRICHON</t>
        </is>
      </c>
      <c r="C17" s="3" t="inlineStr">
        <is>
          <t>Trichon</t>
        </is>
      </c>
      <c r="D17" s="135" t="n">
        <v>3042</v>
      </c>
      <c r="E17" s="135" t="n">
        <v>1600</v>
      </c>
      <c r="F17" s="135" t="n">
        <v>1450</v>
      </c>
      <c r="G17" s="135" t="n">
        <v>767</v>
      </c>
      <c r="H17" s="135" t="n">
        <v>396</v>
      </c>
      <c r="I17" s="135" t="n">
        <v>1118</v>
      </c>
      <c r="J17" s="135" t="n">
        <v>331</v>
      </c>
      <c r="K17" s="135" t="n">
        <v>323</v>
      </c>
      <c r="L17" s="135" t="n">
        <v>96</v>
      </c>
      <c r="M17" s="135" t="n">
        <v>1001</v>
      </c>
      <c r="N17" s="135" t="n">
        <v>523</v>
      </c>
      <c r="O17" s="135" t="n">
        <v>488</v>
      </c>
      <c r="P17" s="135" t="n">
        <v>372</v>
      </c>
      <c r="Q17" s="135" t="n">
        <v>141</v>
      </c>
      <c r="R17" s="135" t="n">
        <v>362</v>
      </c>
      <c r="S17" s="135" t="n">
        <v>73</v>
      </c>
      <c r="T17" s="135" t="n">
        <v>72</v>
      </c>
      <c r="U17" s="135" t="n">
        <v>173</v>
      </c>
      <c r="V17" s="135" t="n">
        <v>93</v>
      </c>
      <c r="W17" s="135" t="n">
        <v>87</v>
      </c>
      <c r="X17" s="135" t="n">
        <v>51</v>
      </c>
      <c r="Y17" s="135" t="n">
        <v>27</v>
      </c>
      <c r="Z17" s="135" t="n">
        <v>42</v>
      </c>
      <c r="AA17" s="135" t="n">
        <v>19</v>
      </c>
      <c r="AB17" s="135" t="n">
        <v>33</v>
      </c>
      <c r="AC17" s="136" t="n">
        <v>0.33</v>
      </c>
    </row>
    <row r="18" ht="30" customHeight="1">
      <c r="A18" s="3" t="inlineStr">
        <is>
          <t>CENTRE</t>
        </is>
      </c>
      <c r="B18" s="3" t="inlineStr">
        <is>
          <t>ESPERANCE/CROUY/CENTRE VILLE</t>
        </is>
      </c>
      <c r="C18" s="3" t="inlineStr">
        <is>
          <t>Espérance Centre</t>
        </is>
      </c>
      <c r="D18" s="135" t="n">
        <v>3105</v>
      </c>
      <c r="E18" s="135" t="n">
        <v>1610</v>
      </c>
      <c r="F18" s="135" t="n">
        <v>1504</v>
      </c>
      <c r="G18" s="135" t="n">
        <v>615</v>
      </c>
      <c r="H18" s="135" t="n">
        <v>430</v>
      </c>
      <c r="I18" s="135" t="n">
        <v>1331</v>
      </c>
      <c r="J18" s="135" t="n">
        <v>336</v>
      </c>
      <c r="K18" s="135" t="n">
        <v>283</v>
      </c>
      <c r="L18" s="135" t="n">
        <v>100</v>
      </c>
      <c r="M18" s="135" t="n">
        <v>870</v>
      </c>
      <c r="N18" s="135" t="n">
        <v>422</v>
      </c>
      <c r="O18" s="135" t="n">
        <v>458</v>
      </c>
      <c r="P18" s="135" t="n">
        <v>280</v>
      </c>
      <c r="Q18" s="135" t="n">
        <v>114</v>
      </c>
      <c r="R18" s="135" t="n">
        <v>347</v>
      </c>
      <c r="S18" s="135" t="n">
        <v>82</v>
      </c>
      <c r="T18" s="135" t="n">
        <v>49</v>
      </c>
      <c r="U18" s="135" t="n">
        <v>199</v>
      </c>
      <c r="V18" s="135" t="n">
        <v>68</v>
      </c>
      <c r="W18" s="135" t="n">
        <v>122</v>
      </c>
      <c r="X18" s="135" t="n">
        <v>60</v>
      </c>
      <c r="Y18" s="135" t="n">
        <v>18</v>
      </c>
      <c r="Z18" s="135" t="n">
        <v>50</v>
      </c>
      <c r="AA18" s="135" t="n">
        <v>14</v>
      </c>
      <c r="AB18" s="135" t="n">
        <v>38</v>
      </c>
      <c r="AC18" s="136" t="n">
        <v>0.45</v>
      </c>
    </row>
    <row r="19" ht="30" customHeight="1">
      <c r="A19" s="3" t="inlineStr">
        <is>
          <t>CENTRE</t>
        </is>
      </c>
      <c r="B19" s="3" t="inlineStr">
        <is>
          <t>NATIONS UNIES</t>
        </is>
      </c>
      <c r="C19" s="3" t="inlineStr">
        <is>
          <t>Nations Unies</t>
        </is>
      </c>
      <c r="D19" s="135" t="n">
        <v>3185</v>
      </c>
      <c r="E19" s="135" t="n">
        <v>1623</v>
      </c>
      <c r="F19" s="135" t="n">
        <v>1549</v>
      </c>
      <c r="G19" s="135" t="n">
        <v>749</v>
      </c>
      <c r="H19" s="135" t="n">
        <v>376</v>
      </c>
      <c r="I19" s="135" t="n">
        <v>1180</v>
      </c>
      <c r="J19" s="135" t="n">
        <v>391</v>
      </c>
      <c r="K19" s="135" t="n">
        <v>331</v>
      </c>
      <c r="L19" s="135" t="n">
        <v>144</v>
      </c>
      <c r="M19" s="135" t="n">
        <v>1178</v>
      </c>
      <c r="N19" s="135" t="n">
        <v>571</v>
      </c>
      <c r="O19" s="135" t="n">
        <v>599</v>
      </c>
      <c r="P19" s="135" t="n">
        <v>401</v>
      </c>
      <c r="Q19" s="135" t="n">
        <v>138</v>
      </c>
      <c r="R19" s="135" t="n">
        <v>394</v>
      </c>
      <c r="S19" s="135" t="n">
        <v>148</v>
      </c>
      <c r="T19" s="135" t="n">
        <v>96</v>
      </c>
      <c r="U19" s="135" t="n">
        <v>243</v>
      </c>
      <c r="V19" s="135" t="n">
        <v>112</v>
      </c>
      <c r="W19" s="135" t="n">
        <v>123</v>
      </c>
      <c r="X19" s="135" t="n">
        <v>62</v>
      </c>
      <c r="Y19" s="135" t="n">
        <v>13</v>
      </c>
      <c r="Z19" s="135" t="n">
        <v>66</v>
      </c>
      <c r="AA19" s="135" t="n">
        <v>29</v>
      </c>
      <c r="AB19" s="135" t="n">
        <v>75</v>
      </c>
      <c r="AC19" s="136" t="n">
        <v>0.32</v>
      </c>
    </row>
    <row r="20" ht="30" customHeight="1">
      <c r="A20" s="3" t="inlineStr">
        <is>
          <t>CENTRE</t>
        </is>
      </c>
      <c r="B20" s="3" t="inlineStr">
        <is>
          <t>ANSEELE MOTTE BOSSUT</t>
        </is>
      </c>
      <c r="C20" s="3" t="inlineStr">
        <is>
          <t>Anseele</t>
        </is>
      </c>
      <c r="D20" s="135" t="n">
        <v>3798</v>
      </c>
      <c r="E20" s="135" t="n">
        <v>1875</v>
      </c>
      <c r="F20" s="135" t="n">
        <v>1912</v>
      </c>
      <c r="G20" s="135" t="n">
        <v>1099</v>
      </c>
      <c r="H20" s="135" t="n">
        <v>399</v>
      </c>
      <c r="I20" s="135" t="n">
        <v>1311</v>
      </c>
      <c r="J20" s="135" t="n">
        <v>432</v>
      </c>
      <c r="K20" s="135" t="n">
        <v>380</v>
      </c>
      <c r="L20" s="135" t="n">
        <v>204</v>
      </c>
      <c r="M20" s="135" t="n">
        <v>1501</v>
      </c>
      <c r="N20" s="135" t="n">
        <v>748</v>
      </c>
      <c r="O20" s="135" t="n">
        <v>767</v>
      </c>
      <c r="P20" s="135" t="n">
        <v>621</v>
      </c>
      <c r="Q20" s="135" t="n">
        <v>129</v>
      </c>
      <c r="R20" s="135" t="n">
        <v>530</v>
      </c>
      <c r="S20" s="135" t="n">
        <v>159</v>
      </c>
      <c r="T20" s="135" t="n">
        <v>84</v>
      </c>
      <c r="U20" s="135" t="n">
        <v>423</v>
      </c>
      <c r="V20" s="135" t="n">
        <v>186</v>
      </c>
      <c r="W20" s="135" t="n">
        <v>230</v>
      </c>
      <c r="X20" s="135" t="n">
        <v>104</v>
      </c>
      <c r="Y20" s="135" t="n">
        <v>48</v>
      </c>
      <c r="Z20" s="135" t="n">
        <v>92</v>
      </c>
      <c r="AA20" s="135" t="n">
        <v>44</v>
      </c>
      <c r="AB20" s="135" t="n">
        <v>138</v>
      </c>
      <c r="AC20" s="136" t="n">
        <v>0.29</v>
      </c>
    </row>
    <row r="21" ht="30" customHeight="1">
      <c r="A21" s="3" t="inlineStr">
        <is>
          <t>CENTRE</t>
        </is>
      </c>
      <c r="B21" s="3" t="inlineStr">
        <is>
          <t>VAUBAN</t>
        </is>
      </c>
      <c r="C21" s="3" t="inlineStr">
        <is>
          <t>Barbieux-Vauban</t>
        </is>
      </c>
      <c r="D21" s="135" t="n">
        <v>3399</v>
      </c>
      <c r="E21" s="135" t="n">
        <v>1679</v>
      </c>
      <c r="F21" s="135" t="n">
        <v>1712</v>
      </c>
      <c r="G21" s="135" t="n">
        <v>523</v>
      </c>
      <c r="H21" s="135" t="n">
        <v>376</v>
      </c>
      <c r="I21" s="135" t="n">
        <v>1145</v>
      </c>
      <c r="J21" s="135" t="n">
        <v>441</v>
      </c>
      <c r="K21" s="135" t="n">
        <v>480</v>
      </c>
      <c r="L21" s="135" t="n">
        <v>424</v>
      </c>
      <c r="M21" s="135" t="n">
        <v>307</v>
      </c>
      <c r="N21" s="135" t="n">
        <v>158</v>
      </c>
      <c r="O21" s="135" t="n">
        <v>157</v>
      </c>
      <c r="P21" s="135" t="n">
        <v>75</v>
      </c>
      <c r="Q21" s="135" t="n">
        <v>42</v>
      </c>
      <c r="R21" s="135" t="n">
        <v>138</v>
      </c>
      <c r="S21" s="135" t="n">
        <v>35</v>
      </c>
      <c r="T21" s="135" t="n">
        <v>33</v>
      </c>
      <c r="U21" s="135" t="n">
        <v>50</v>
      </c>
      <c r="V21" s="135" t="n">
        <v>25</v>
      </c>
      <c r="W21" s="135" t="n">
        <v>33</v>
      </c>
      <c r="X21" s="135" t="n">
        <v>14</v>
      </c>
      <c r="Y21" s="135" t="n">
        <v>0</v>
      </c>
      <c r="Z21" s="135" t="n">
        <v>15</v>
      </c>
      <c r="AA21" s="135" t="n">
        <v>12</v>
      </c>
      <c r="AB21" s="135" t="n">
        <v>17</v>
      </c>
      <c r="AC21" s="136" t="n">
        <v>0.91</v>
      </c>
    </row>
    <row r="22" ht="30" customHeight="1">
      <c r="A22" s="3" t="inlineStr">
        <is>
          <t>SUD</t>
        </is>
      </c>
      <c r="B22" s="3" t="inlineStr">
        <is>
          <t>BARBIEUX</t>
        </is>
      </c>
      <c r="C22" s="3" t="inlineStr">
        <is>
          <t>Barbieux Sud</t>
        </is>
      </c>
      <c r="D22" s="135" t="n">
        <v>2199</v>
      </c>
      <c r="E22" s="135" t="n">
        <v>1047</v>
      </c>
      <c r="F22" s="135" t="n">
        <v>1161</v>
      </c>
      <c r="G22" s="135" t="n">
        <v>346</v>
      </c>
      <c r="H22" s="135" t="n">
        <v>193</v>
      </c>
      <c r="I22" s="135" t="n">
        <v>668</v>
      </c>
      <c r="J22" s="135" t="n">
        <v>234</v>
      </c>
      <c r="K22" s="135" t="n">
        <v>385</v>
      </c>
      <c r="L22" s="135" t="n">
        <v>361</v>
      </c>
      <c r="M22" s="135" t="n">
        <v>146</v>
      </c>
      <c r="N22" s="135" t="n">
        <v>58</v>
      </c>
      <c r="O22" s="135" t="n">
        <v>78</v>
      </c>
      <c r="P22" s="135" t="n">
        <v>34</v>
      </c>
      <c r="Q22" s="135" t="n">
        <v>16</v>
      </c>
      <c r="R22" s="135" t="n">
        <v>62</v>
      </c>
      <c r="S22" s="135" t="n">
        <v>26</v>
      </c>
      <c r="T22" s="135" t="n">
        <v>0</v>
      </c>
      <c r="U22" s="135" t="n">
        <v>22</v>
      </c>
      <c r="V22" s="135" t="n">
        <v>11</v>
      </c>
      <c r="W22" s="135" t="n">
        <v>0</v>
      </c>
      <c r="X22" s="135" t="n">
        <v>0</v>
      </c>
      <c r="Y22" s="135" t="n">
        <v>0</v>
      </c>
      <c r="Z22" s="135" t="n">
        <v>14</v>
      </c>
      <c r="AA22" s="135" t="n">
        <v>0</v>
      </c>
      <c r="AB22" s="135" t="n">
        <v>27</v>
      </c>
      <c r="AC22" s="136" t="n">
        <v>0.5600000000000001</v>
      </c>
    </row>
    <row r="23" ht="30" customHeight="1">
      <c r="A23" s="3" t="inlineStr">
        <is>
          <t>SUD</t>
        </is>
      </c>
      <c r="B23" s="3" t="inlineStr">
        <is>
          <t>EDOUARD VAILLANT</t>
        </is>
      </c>
      <c r="C23" s="3" t="inlineStr">
        <is>
          <t>Édouard Vaillant</t>
        </is>
      </c>
      <c r="D23" s="135" t="n">
        <v>3814</v>
      </c>
      <c r="E23" s="135" t="n">
        <v>1788</v>
      </c>
      <c r="F23" s="135" t="n">
        <v>2034</v>
      </c>
      <c r="G23" s="135" t="n">
        <v>802</v>
      </c>
      <c r="H23" s="135" t="n">
        <v>432</v>
      </c>
      <c r="I23" s="135" t="n">
        <v>1294</v>
      </c>
      <c r="J23" s="135" t="n">
        <v>438</v>
      </c>
      <c r="K23" s="135" t="n">
        <v>545</v>
      </c>
      <c r="L23" s="135" t="n">
        <v>311</v>
      </c>
      <c r="M23" s="135" t="n">
        <v>478</v>
      </c>
      <c r="N23" s="135" t="n">
        <v>247</v>
      </c>
      <c r="O23" s="135" t="n">
        <v>243</v>
      </c>
      <c r="P23" s="135" t="n">
        <v>175</v>
      </c>
      <c r="Q23" s="135" t="n">
        <v>44</v>
      </c>
      <c r="R23" s="135" t="n">
        <v>184</v>
      </c>
      <c r="S23" s="135" t="n">
        <v>29</v>
      </c>
      <c r="T23" s="135" t="n">
        <v>46</v>
      </c>
      <c r="U23" s="135" t="n">
        <v>115</v>
      </c>
      <c r="V23" s="135" t="n">
        <v>55</v>
      </c>
      <c r="W23" s="135" t="n">
        <v>73</v>
      </c>
      <c r="X23" s="135" t="n">
        <v>19</v>
      </c>
      <c r="Y23" s="135" t="n">
        <v>16</v>
      </c>
      <c r="Z23" s="135" t="n">
        <v>20</v>
      </c>
      <c r="AA23" s="135" t="n">
        <v>16</v>
      </c>
      <c r="AB23" s="135" t="n">
        <v>60</v>
      </c>
      <c r="AC23" s="136" t="n">
        <v>0.53</v>
      </c>
    </row>
    <row r="24" ht="30" customHeight="1">
      <c r="A24" s="3" t="inlineStr">
        <is>
          <t>SUD</t>
        </is>
      </c>
      <c r="B24" s="3" t="inlineStr">
        <is>
          <t>MOULIN</t>
        </is>
      </c>
      <c r="C24" s="3" t="inlineStr">
        <is>
          <t>Moulin Nord</t>
        </is>
      </c>
      <c r="D24" s="135" t="n">
        <v>2485</v>
      </c>
      <c r="E24" s="135" t="n">
        <v>1289</v>
      </c>
      <c r="F24" s="135" t="n">
        <v>1204</v>
      </c>
      <c r="G24" s="135" t="n">
        <v>663</v>
      </c>
      <c r="H24" s="135" t="n">
        <v>327</v>
      </c>
      <c r="I24" s="135" t="n">
        <v>816</v>
      </c>
      <c r="J24" s="135" t="n">
        <v>276</v>
      </c>
      <c r="K24" s="135" t="n">
        <v>283</v>
      </c>
      <c r="L24" s="135" t="n">
        <v>112</v>
      </c>
      <c r="M24" s="135" t="n">
        <v>823</v>
      </c>
      <c r="N24" s="135" t="n">
        <v>412</v>
      </c>
      <c r="O24" s="135" t="n">
        <v>403</v>
      </c>
      <c r="P24" s="135" t="n">
        <v>331</v>
      </c>
      <c r="Q24" s="135" t="n">
        <v>114</v>
      </c>
      <c r="R24" s="135" t="n">
        <v>266</v>
      </c>
      <c r="S24" s="135" t="n">
        <v>55</v>
      </c>
      <c r="T24" s="135" t="n">
        <v>52</v>
      </c>
      <c r="U24" s="135" t="n">
        <v>140</v>
      </c>
      <c r="V24" s="135" t="n">
        <v>80</v>
      </c>
      <c r="W24" s="135" t="n">
        <v>68</v>
      </c>
      <c r="X24" s="135" t="n">
        <v>38</v>
      </c>
      <c r="Y24" s="135" t="n">
        <v>14</v>
      </c>
      <c r="Z24" s="135" t="n">
        <v>36</v>
      </c>
      <c r="AA24" s="135" t="n">
        <v>14</v>
      </c>
      <c r="AB24" s="135" t="n">
        <v>32</v>
      </c>
      <c r="AC24" s="136" t="n">
        <v>0.16</v>
      </c>
    </row>
    <row r="25" ht="30" customHeight="1">
      <c r="A25" s="3" t="inlineStr">
        <is>
          <t>SUD</t>
        </is>
      </c>
      <c r="B25" s="3" t="inlineStr">
        <is>
          <t>MOULIN</t>
        </is>
      </c>
      <c r="C25" s="3" t="inlineStr">
        <is>
          <t>Moulin Sud</t>
        </is>
      </c>
      <c r="D25" s="135" t="n">
        <v>2380</v>
      </c>
      <c r="E25" s="135" t="n">
        <v>1218</v>
      </c>
      <c r="F25" s="135" t="n">
        <v>1154</v>
      </c>
      <c r="G25" s="135" t="n">
        <v>695</v>
      </c>
      <c r="H25" s="135" t="n">
        <v>309</v>
      </c>
      <c r="I25" s="135" t="n">
        <v>725</v>
      </c>
      <c r="J25" s="135" t="n">
        <v>258</v>
      </c>
      <c r="K25" s="135" t="n">
        <v>242</v>
      </c>
      <c r="L25" s="135" t="n">
        <v>151</v>
      </c>
      <c r="M25" s="135" t="n">
        <v>803</v>
      </c>
      <c r="N25" s="135" t="n">
        <v>402</v>
      </c>
      <c r="O25" s="135" t="n">
        <v>393</v>
      </c>
      <c r="P25" s="135" t="n">
        <v>350</v>
      </c>
      <c r="Q25" s="135" t="n">
        <v>92</v>
      </c>
      <c r="R25" s="135" t="n">
        <v>231</v>
      </c>
      <c r="S25" s="135" t="n">
        <v>66</v>
      </c>
      <c r="T25" s="135" t="n">
        <v>46</v>
      </c>
      <c r="U25" s="135" t="n">
        <v>123</v>
      </c>
      <c r="V25" s="135" t="n">
        <v>58</v>
      </c>
      <c r="W25" s="135" t="n">
        <v>74</v>
      </c>
      <c r="X25" s="135" t="n">
        <v>32</v>
      </c>
      <c r="Y25" s="135" t="n">
        <v>11</v>
      </c>
      <c r="Z25" s="135" t="n">
        <v>34</v>
      </c>
      <c r="AA25" s="135" t="n">
        <v>15</v>
      </c>
      <c r="AB25" s="135" t="n">
        <v>34</v>
      </c>
      <c r="AC25" s="136" t="n">
        <v>0.17</v>
      </c>
    </row>
    <row r="26" ht="30" customHeight="1">
      <c r="A26" s="3" t="inlineStr">
        <is>
          <t>SUD</t>
        </is>
      </c>
      <c r="B26" s="3" t="inlineStr">
        <is>
          <t>POTENNERIE</t>
        </is>
      </c>
      <c r="C26" s="3" t="inlineStr">
        <is>
          <t>Potennerie</t>
        </is>
      </c>
      <c r="D26" s="135" t="n">
        <v>2947</v>
      </c>
      <c r="E26" s="135" t="n">
        <v>1484</v>
      </c>
      <c r="F26" s="135" t="n">
        <v>1471</v>
      </c>
      <c r="G26" s="135" t="n">
        <v>683</v>
      </c>
      <c r="H26" s="135" t="n">
        <v>308</v>
      </c>
      <c r="I26" s="135" t="n">
        <v>1110</v>
      </c>
      <c r="J26" s="135" t="n">
        <v>349</v>
      </c>
      <c r="K26" s="135" t="n">
        <v>365</v>
      </c>
      <c r="L26" s="135" t="n">
        <v>166</v>
      </c>
      <c r="M26" s="135" t="n">
        <v>649</v>
      </c>
      <c r="N26" s="135" t="n">
        <v>333</v>
      </c>
      <c r="O26" s="135" t="n">
        <v>306</v>
      </c>
      <c r="P26" s="135" t="n">
        <v>240</v>
      </c>
      <c r="Q26" s="135" t="n">
        <v>55</v>
      </c>
      <c r="R26" s="135" t="n">
        <v>255</v>
      </c>
      <c r="S26" s="135" t="n">
        <v>73</v>
      </c>
      <c r="T26" s="135" t="n">
        <v>20</v>
      </c>
      <c r="U26" s="135" t="n">
        <v>157</v>
      </c>
      <c r="V26" s="135" t="n">
        <v>61</v>
      </c>
      <c r="W26" s="135" t="n">
        <v>88</v>
      </c>
      <c r="X26" s="135" t="n">
        <v>35</v>
      </c>
      <c r="Y26" s="135" t="n">
        <v>13</v>
      </c>
      <c r="Z26" s="135" t="n">
        <v>41</v>
      </c>
      <c r="AA26" s="135" t="n">
        <v>19</v>
      </c>
      <c r="AB26" s="135" t="n">
        <v>49</v>
      </c>
      <c r="AC26" s="136" t="n">
        <v>0.37</v>
      </c>
    </row>
    <row r="27" ht="30" customHeight="1">
      <c r="A27" s="3" t="inlineStr">
        <is>
          <t>EST</t>
        </is>
      </c>
      <c r="B27" s="3" t="inlineStr">
        <is>
          <t>STE ELISABETH</t>
        </is>
      </c>
      <c r="C27" s="3" t="inlineStr">
        <is>
          <t>Sainte-Élisabeth Centre</t>
        </is>
      </c>
      <c r="D27" s="135" t="n">
        <v>2447</v>
      </c>
      <c r="E27" s="135" t="n">
        <v>1222</v>
      </c>
      <c r="F27" s="135" t="n">
        <v>1216</v>
      </c>
      <c r="G27" s="135" t="n">
        <v>750</v>
      </c>
      <c r="H27" s="135" t="n">
        <v>337</v>
      </c>
      <c r="I27" s="135" t="n">
        <v>746</v>
      </c>
      <c r="J27" s="135" t="n">
        <v>253</v>
      </c>
      <c r="K27" s="135" t="n">
        <v>221</v>
      </c>
      <c r="L27" s="135" t="n">
        <v>115</v>
      </c>
      <c r="M27" s="135" t="n">
        <v>1002</v>
      </c>
      <c r="N27" s="135" t="n">
        <v>476</v>
      </c>
      <c r="O27" s="135" t="n">
        <v>533</v>
      </c>
      <c r="P27" s="135" t="n">
        <v>442</v>
      </c>
      <c r="Q27" s="135" t="n">
        <v>139</v>
      </c>
      <c r="R27" s="135" t="n">
        <v>302</v>
      </c>
      <c r="S27" s="135" t="n">
        <v>84</v>
      </c>
      <c r="T27" s="135" t="n">
        <v>53</v>
      </c>
      <c r="U27" s="135" t="n">
        <v>166</v>
      </c>
      <c r="V27" s="135" t="n">
        <v>85</v>
      </c>
      <c r="W27" s="135" t="n">
        <v>91</v>
      </c>
      <c r="X27" s="135" t="n">
        <v>51</v>
      </c>
      <c r="Y27" s="135" t="n">
        <v>12</v>
      </c>
      <c r="Z27" s="135" t="n">
        <v>32</v>
      </c>
      <c r="AA27" s="135" t="n">
        <v>31</v>
      </c>
      <c r="AB27" s="135" t="n">
        <v>43</v>
      </c>
      <c r="AC27" s="136" t="n">
        <v>0.16</v>
      </c>
    </row>
    <row r="28" ht="30" customHeight="1">
      <c r="A28" s="3" t="inlineStr">
        <is>
          <t>EST</t>
        </is>
      </c>
      <c r="B28" s="3" t="inlineStr">
        <is>
          <t>STE ELISABETH</t>
        </is>
      </c>
      <c r="C28" s="3" t="inlineStr">
        <is>
          <t>Sainte-Élisabeth Sud</t>
        </is>
      </c>
      <c r="D28" s="135" t="n">
        <v>2268</v>
      </c>
      <c r="E28" s="135" t="n">
        <v>1109</v>
      </c>
      <c r="F28" s="135" t="n">
        <v>1167</v>
      </c>
      <c r="G28" s="135" t="n">
        <v>717</v>
      </c>
      <c r="H28" s="135" t="n">
        <v>306</v>
      </c>
      <c r="I28" s="135" t="n">
        <v>718</v>
      </c>
      <c r="J28" s="135" t="n">
        <v>236</v>
      </c>
      <c r="K28" s="135" t="n">
        <v>210</v>
      </c>
      <c r="L28" s="135" t="n">
        <v>90</v>
      </c>
      <c r="M28" s="135" t="n">
        <v>931</v>
      </c>
      <c r="N28" s="135" t="n">
        <v>412</v>
      </c>
      <c r="O28" s="135" t="n">
        <v>510</v>
      </c>
      <c r="P28" s="135" t="n">
        <v>407</v>
      </c>
      <c r="Q28" s="135" t="n">
        <v>120</v>
      </c>
      <c r="R28" s="135" t="n">
        <v>284</v>
      </c>
      <c r="S28" s="135" t="n">
        <v>78</v>
      </c>
      <c r="T28" s="135" t="n">
        <v>42</v>
      </c>
      <c r="U28" s="135" t="n">
        <v>120</v>
      </c>
      <c r="V28" s="135" t="n">
        <v>70</v>
      </c>
      <c r="W28" s="135" t="n">
        <v>63</v>
      </c>
      <c r="X28" s="135" t="n">
        <v>37</v>
      </c>
      <c r="Y28" s="135" t="n">
        <v>12</v>
      </c>
      <c r="Z28" s="135" t="n">
        <v>32</v>
      </c>
      <c r="AA28" s="135" t="n">
        <v>0</v>
      </c>
      <c r="AB28" s="135" t="n">
        <v>37</v>
      </c>
      <c r="AC28" s="136" t="n">
        <v>0.14</v>
      </c>
    </row>
    <row r="29" ht="30" customHeight="1">
      <c r="A29" s="3" t="inlineStr">
        <is>
          <t>EST</t>
        </is>
      </c>
      <c r="B29" s="3" t="inlineStr">
        <is>
          <t>STE ELISABETH</t>
        </is>
      </c>
      <c r="C29" s="3" t="inlineStr">
        <is>
          <t>Sainte-Élisabeth Nord</t>
        </is>
      </c>
      <c r="D29" s="135" t="n">
        <v>3058</v>
      </c>
      <c r="E29" s="135" t="n">
        <v>1558</v>
      </c>
      <c r="F29" s="135" t="n">
        <v>1490</v>
      </c>
      <c r="G29" s="135" t="n">
        <v>783</v>
      </c>
      <c r="H29" s="135" t="n">
        <v>364</v>
      </c>
      <c r="I29" s="135" t="n">
        <v>1035</v>
      </c>
      <c r="J29" s="135" t="n">
        <v>361</v>
      </c>
      <c r="K29" s="135" t="n">
        <v>338</v>
      </c>
      <c r="L29" s="135" t="n">
        <v>184</v>
      </c>
      <c r="M29" s="135" t="n">
        <v>1060</v>
      </c>
      <c r="N29" s="135" t="n">
        <v>528</v>
      </c>
      <c r="O29" s="135" t="n">
        <v>524</v>
      </c>
      <c r="P29" s="135" t="n">
        <v>415</v>
      </c>
      <c r="Q29" s="135" t="n">
        <v>123</v>
      </c>
      <c r="R29" s="135" t="n">
        <v>365</v>
      </c>
      <c r="S29" s="135" t="n">
        <v>98</v>
      </c>
      <c r="T29" s="135" t="n">
        <v>62</v>
      </c>
      <c r="U29" s="135" t="n">
        <v>216</v>
      </c>
      <c r="V29" s="135" t="n">
        <v>93</v>
      </c>
      <c r="W29" s="135" t="n">
        <v>114</v>
      </c>
      <c r="X29" s="135" t="n">
        <v>47</v>
      </c>
      <c r="Y29" s="135" t="n">
        <v>12</v>
      </c>
      <c r="Z29" s="135" t="n">
        <v>47</v>
      </c>
      <c r="AA29" s="135" t="n">
        <v>16</v>
      </c>
      <c r="AB29" s="135" t="n">
        <v>81</v>
      </c>
      <c r="AC29" s="136" t="n">
        <v>0.22</v>
      </c>
    </row>
    <row r="30" ht="30" customHeight="1">
      <c r="A30" s="3" t="inlineStr">
        <is>
          <t>EST</t>
        </is>
      </c>
      <c r="B30" s="3" t="inlineStr">
        <is>
          <t>PILE</t>
        </is>
      </c>
      <c r="C30" s="3" t="inlineStr">
        <is>
          <t>Pile Est</t>
        </is>
      </c>
      <c r="D30" s="135" t="n">
        <v>2134</v>
      </c>
      <c r="E30" s="135" t="n">
        <v>1073</v>
      </c>
      <c r="F30" s="135" t="n">
        <v>1051</v>
      </c>
      <c r="G30" s="135" t="n">
        <v>612</v>
      </c>
      <c r="H30" s="135" t="n">
        <v>288</v>
      </c>
      <c r="I30" s="135" t="n">
        <v>640</v>
      </c>
      <c r="J30" s="135" t="n">
        <v>239</v>
      </c>
      <c r="K30" s="135" t="n">
        <v>264</v>
      </c>
      <c r="L30" s="135" t="n">
        <v>122</v>
      </c>
      <c r="M30" s="135" t="n">
        <v>824</v>
      </c>
      <c r="N30" s="135" t="n">
        <v>414</v>
      </c>
      <c r="O30" s="135" t="n">
        <v>401</v>
      </c>
      <c r="P30" s="135" t="n">
        <v>331</v>
      </c>
      <c r="Q30" s="135" t="n">
        <v>124</v>
      </c>
      <c r="R30" s="135" t="n">
        <v>254</v>
      </c>
      <c r="S30" s="135" t="n">
        <v>65</v>
      </c>
      <c r="T30" s="135" t="n">
        <v>50</v>
      </c>
      <c r="U30" s="135" t="n">
        <v>155</v>
      </c>
      <c r="V30" s="135" t="n">
        <v>83</v>
      </c>
      <c r="W30" s="135" t="n">
        <v>81</v>
      </c>
      <c r="X30" s="135" t="n">
        <v>65</v>
      </c>
      <c r="Y30" s="135" t="n">
        <v>12</v>
      </c>
      <c r="Z30" s="135" t="n">
        <v>38</v>
      </c>
      <c r="AA30" s="135" t="n">
        <v>12</v>
      </c>
      <c r="AB30" s="135" t="n">
        <v>32</v>
      </c>
      <c r="AC30" s="136" t="n">
        <v>0.2</v>
      </c>
    </row>
    <row r="31" ht="30" customHeight="1">
      <c r="A31" s="3" t="inlineStr">
        <is>
          <t>EST</t>
        </is>
      </c>
      <c r="B31" s="3" t="inlineStr">
        <is>
          <t>PILE</t>
        </is>
      </c>
      <c r="C31" s="3" t="inlineStr">
        <is>
          <t>Pile Centre</t>
        </is>
      </c>
      <c r="D31" s="135" t="n">
        <v>2684</v>
      </c>
      <c r="E31" s="135" t="n">
        <v>1366</v>
      </c>
      <c r="F31" s="135" t="n">
        <v>1306</v>
      </c>
      <c r="G31" s="135" t="n">
        <v>853</v>
      </c>
      <c r="H31" s="135" t="n">
        <v>328</v>
      </c>
      <c r="I31" s="135" t="n">
        <v>874</v>
      </c>
      <c r="J31" s="135" t="n">
        <v>275</v>
      </c>
      <c r="K31" s="135" t="n">
        <v>218</v>
      </c>
      <c r="L31" s="135" t="n">
        <v>98</v>
      </c>
      <c r="M31" s="135" t="n">
        <v>1143</v>
      </c>
      <c r="N31" s="135" t="n">
        <v>579</v>
      </c>
      <c r="O31" s="135" t="n">
        <v>557</v>
      </c>
      <c r="P31" s="135" t="n">
        <v>506</v>
      </c>
      <c r="Q31" s="135" t="n">
        <v>148</v>
      </c>
      <c r="R31" s="135" t="n">
        <v>366</v>
      </c>
      <c r="S31" s="135" t="n">
        <v>81</v>
      </c>
      <c r="T31" s="135" t="n">
        <v>42</v>
      </c>
      <c r="U31" s="135" t="n">
        <v>195</v>
      </c>
      <c r="V31" s="135" t="n">
        <v>77</v>
      </c>
      <c r="W31" s="135" t="n">
        <v>110</v>
      </c>
      <c r="X31" s="135" t="n">
        <v>57</v>
      </c>
      <c r="Y31" s="135" t="n">
        <v>27</v>
      </c>
      <c r="Z31" s="135" t="n">
        <v>25</v>
      </c>
      <c r="AA31" s="135" t="n">
        <v>19</v>
      </c>
      <c r="AB31" s="135" t="n">
        <v>50</v>
      </c>
      <c r="AC31" s="136" t="n">
        <v>0.17</v>
      </c>
    </row>
    <row r="32" ht="30" customHeight="1">
      <c r="A32" s="3" t="inlineStr">
        <is>
          <t>EST</t>
        </is>
      </c>
      <c r="B32" s="3" t="inlineStr">
        <is>
          <t>PILE</t>
        </is>
      </c>
      <c r="C32" s="3" t="inlineStr">
        <is>
          <t>Pile Nord</t>
        </is>
      </c>
      <c r="D32" s="135" t="n">
        <v>2068</v>
      </c>
      <c r="E32" s="135" t="n">
        <v>1093</v>
      </c>
      <c r="F32" s="135" t="n">
        <v>982</v>
      </c>
      <c r="G32" s="135" t="n">
        <v>565</v>
      </c>
      <c r="H32" s="135" t="n">
        <v>251</v>
      </c>
      <c r="I32" s="135" t="n">
        <v>669</v>
      </c>
      <c r="J32" s="135" t="n">
        <v>244</v>
      </c>
      <c r="K32" s="135" t="n">
        <v>217</v>
      </c>
      <c r="L32" s="135" t="n">
        <v>112</v>
      </c>
      <c r="M32" s="135" t="n">
        <v>818</v>
      </c>
      <c r="N32" s="135" t="n">
        <v>428</v>
      </c>
      <c r="O32" s="135" t="n">
        <v>400</v>
      </c>
      <c r="P32" s="135" t="n">
        <v>333</v>
      </c>
      <c r="Q32" s="135" t="n">
        <v>74</v>
      </c>
      <c r="R32" s="135" t="n">
        <v>283</v>
      </c>
      <c r="S32" s="135" t="n">
        <v>90</v>
      </c>
      <c r="T32" s="135" t="n">
        <v>37</v>
      </c>
      <c r="U32" s="135" t="n">
        <v>109</v>
      </c>
      <c r="V32" s="135" t="n">
        <v>53</v>
      </c>
      <c r="W32" s="135" t="n">
        <v>44</v>
      </c>
      <c r="X32" s="135" t="n">
        <v>17</v>
      </c>
      <c r="Y32" s="135" t="n">
        <v>20</v>
      </c>
      <c r="Z32" s="135" t="n">
        <v>21</v>
      </c>
      <c r="AA32" s="135" t="n">
        <v>14</v>
      </c>
      <c r="AB32" s="135" t="n">
        <v>36</v>
      </c>
      <c r="AC32" s="136" t="n">
        <v>0.33</v>
      </c>
    </row>
    <row r="33" ht="30" customHeight="1">
      <c r="A33" s="3" t="inlineStr">
        <is>
          <t>EST</t>
        </is>
      </c>
      <c r="B33" s="3" t="inlineStr">
        <is>
          <t>TROIS PONTS</t>
        </is>
      </c>
      <c r="C33" s="3" t="inlineStr">
        <is>
          <t>Trois Ponts Nord</t>
        </is>
      </c>
      <c r="D33" s="135" t="n">
        <v>584</v>
      </c>
      <c r="E33" s="135" t="n">
        <v>368</v>
      </c>
      <c r="F33" s="135" t="n">
        <v>227</v>
      </c>
      <c r="G33" s="135" t="n">
        <v>155</v>
      </c>
      <c r="H33" s="135" t="n">
        <v>56</v>
      </c>
      <c r="I33" s="135" t="n">
        <v>181</v>
      </c>
      <c r="J33" s="135" t="n">
        <v>91</v>
      </c>
      <c r="K33" s="135" t="n">
        <v>75</v>
      </c>
      <c r="L33" s="135" t="n">
        <v>35</v>
      </c>
      <c r="M33" s="135" t="n">
        <v>273</v>
      </c>
      <c r="N33" s="135" t="n">
        <v>166</v>
      </c>
      <c r="O33" s="135" t="n">
        <v>98</v>
      </c>
      <c r="P33" s="135" t="n">
        <v>81</v>
      </c>
      <c r="Q33" s="135" t="n">
        <v>13</v>
      </c>
      <c r="R33" s="135" t="n">
        <v>89</v>
      </c>
      <c r="S33" s="135" t="n">
        <v>41</v>
      </c>
      <c r="T33" s="135" t="n">
        <v>27</v>
      </c>
      <c r="U33" s="135" t="n">
        <v>59</v>
      </c>
      <c r="V33" s="135" t="n">
        <v>32</v>
      </c>
      <c r="W33" s="135" t="n">
        <v>17</v>
      </c>
      <c r="X33" s="135" t="n">
        <v>12</v>
      </c>
      <c r="Y33" s="135" t="n">
        <v>0</v>
      </c>
      <c r="Z33" s="135" t="n">
        <v>16</v>
      </c>
      <c r="AA33" s="135" t="n">
        <v>0</v>
      </c>
      <c r="AB33" s="135" t="n">
        <v>21</v>
      </c>
      <c r="AC33" s="136" t="n">
        <v>0.1</v>
      </c>
    </row>
    <row r="34" ht="30" customHeight="1">
      <c r="A34" s="3" t="inlineStr">
        <is>
          <t>EST</t>
        </is>
      </c>
      <c r="B34" s="3" t="inlineStr">
        <is>
          <t>TROIS PONTS</t>
        </is>
      </c>
      <c r="C34" s="3" t="inlineStr">
        <is>
          <t>Trois Ponts Sud</t>
        </is>
      </c>
      <c r="D34" s="135" t="n">
        <v>2358</v>
      </c>
      <c r="E34" s="135" t="n">
        <v>1142</v>
      </c>
      <c r="F34" s="135" t="n">
        <v>1207</v>
      </c>
      <c r="G34" s="135" t="n">
        <v>797</v>
      </c>
      <c r="H34" s="135" t="n">
        <v>267</v>
      </c>
      <c r="I34" s="135" t="n">
        <v>703</v>
      </c>
      <c r="J34" s="135" t="n">
        <v>262</v>
      </c>
      <c r="K34" s="135" t="n">
        <v>240</v>
      </c>
      <c r="L34" s="135" t="n">
        <v>82</v>
      </c>
      <c r="M34" s="135" t="n">
        <v>1026</v>
      </c>
      <c r="N34" s="135" t="n">
        <v>468</v>
      </c>
      <c r="O34" s="135" t="n">
        <v>550</v>
      </c>
      <c r="P34" s="135" t="n">
        <v>436</v>
      </c>
      <c r="Q34" s="135" t="n">
        <v>106</v>
      </c>
      <c r="R34" s="135" t="n">
        <v>316</v>
      </c>
      <c r="S34" s="135" t="n">
        <v>96</v>
      </c>
      <c r="T34" s="135" t="n">
        <v>56</v>
      </c>
      <c r="U34" s="135" t="n">
        <v>276</v>
      </c>
      <c r="V34" s="135" t="n">
        <v>135</v>
      </c>
      <c r="W34" s="135" t="n">
        <v>150</v>
      </c>
      <c r="X34" s="135" t="n">
        <v>96</v>
      </c>
      <c r="Y34" s="135" t="n">
        <v>18</v>
      </c>
      <c r="Z34" s="135" t="n">
        <v>62</v>
      </c>
      <c r="AA34" s="135" t="n">
        <v>27</v>
      </c>
      <c r="AB34" s="135" t="n">
        <v>71</v>
      </c>
      <c r="AC34" s="136" t="n">
        <v>0.18</v>
      </c>
    </row>
    <row r="35" ht="30" customHeight="1">
      <c r="A35" s="3" t="inlineStr">
        <is>
          <t>EST</t>
        </is>
      </c>
      <c r="B35" s="3" t="inlineStr">
        <is>
          <t>SARTEL CARIHEM</t>
        </is>
      </c>
      <c r="C35" s="3" t="inlineStr">
        <is>
          <t>Sartel</t>
        </is>
      </c>
      <c r="D35" s="135" t="n">
        <v>1754</v>
      </c>
      <c r="E35" s="135" t="n">
        <v>896</v>
      </c>
      <c r="F35" s="135" t="n">
        <v>873</v>
      </c>
      <c r="G35" s="135" t="n">
        <v>469</v>
      </c>
      <c r="H35" s="135" t="n">
        <v>163</v>
      </c>
      <c r="I35" s="135" t="n">
        <v>561</v>
      </c>
      <c r="J35" s="135" t="n">
        <v>200</v>
      </c>
      <c r="K35" s="135" t="n">
        <v>233</v>
      </c>
      <c r="L35" s="135" t="n">
        <v>121</v>
      </c>
      <c r="M35" s="135" t="n">
        <v>562</v>
      </c>
      <c r="N35" s="135" t="n">
        <v>294</v>
      </c>
      <c r="O35" s="135" t="n">
        <v>279</v>
      </c>
      <c r="P35" s="135" t="n">
        <v>215</v>
      </c>
      <c r="Q35" s="135" t="n">
        <v>39</v>
      </c>
      <c r="R35" s="135" t="n">
        <v>189</v>
      </c>
      <c r="S35" s="135" t="n">
        <v>52</v>
      </c>
      <c r="T35" s="135" t="n">
        <v>48</v>
      </c>
      <c r="U35" s="135" t="n">
        <v>121</v>
      </c>
      <c r="V35" s="135" t="n">
        <v>53</v>
      </c>
      <c r="W35" s="135" t="n">
        <v>54</v>
      </c>
      <c r="X35" s="135" t="n">
        <v>28</v>
      </c>
      <c r="Y35" s="135" t="n">
        <v>11</v>
      </c>
      <c r="Z35" s="135" t="n">
        <v>15</v>
      </c>
      <c r="AA35" s="135" t="n">
        <v>18</v>
      </c>
      <c r="AB35" s="135" t="n">
        <v>46</v>
      </c>
      <c r="AC35" s="136" t="n">
        <v>1</v>
      </c>
    </row>
    <row r="36" ht="30" customHeight="1">
      <c r="A36" s="3" t="inlineStr">
        <is>
          <t>SUD</t>
        </is>
      </c>
      <c r="B36" s="3" t="inlineStr">
        <is>
          <t>CHEMIN NEUF/LINNE</t>
        </is>
      </c>
      <c r="C36" s="3" t="inlineStr">
        <is>
          <t>Linné-Chemin Neuf</t>
        </is>
      </c>
      <c r="D36" s="135" t="n">
        <v>3398</v>
      </c>
      <c r="E36" s="135" t="n">
        <v>1608</v>
      </c>
      <c r="F36" s="135" t="n">
        <v>1781</v>
      </c>
      <c r="G36" s="135" t="n">
        <v>814</v>
      </c>
      <c r="H36" s="135" t="n">
        <v>331</v>
      </c>
      <c r="I36" s="135" t="n">
        <v>1106</v>
      </c>
      <c r="J36" s="135" t="n">
        <v>447</v>
      </c>
      <c r="K36" s="135" t="n">
        <v>418</v>
      </c>
      <c r="L36" s="135" t="n">
        <v>275</v>
      </c>
      <c r="M36" s="135" t="n">
        <v>605</v>
      </c>
      <c r="N36" s="135" t="n">
        <v>280</v>
      </c>
      <c r="O36" s="135" t="n">
        <v>332</v>
      </c>
      <c r="P36" s="135" t="n">
        <v>237</v>
      </c>
      <c r="Q36" s="135" t="n">
        <v>48</v>
      </c>
      <c r="R36" s="135" t="n">
        <v>242</v>
      </c>
      <c r="S36" s="135" t="n">
        <v>53</v>
      </c>
      <c r="T36" s="135" t="n">
        <v>41</v>
      </c>
      <c r="U36" s="135" t="n">
        <v>178</v>
      </c>
      <c r="V36" s="135" t="n">
        <v>74</v>
      </c>
      <c r="W36" s="135" t="n">
        <v>94</v>
      </c>
      <c r="X36" s="135" t="n">
        <v>40</v>
      </c>
      <c r="Y36" s="135" t="n">
        <v>0</v>
      </c>
      <c r="Z36" s="135" t="n">
        <v>32</v>
      </c>
      <c r="AA36" s="135" t="n">
        <v>17</v>
      </c>
      <c r="AB36" s="135" t="n">
        <v>64</v>
      </c>
      <c r="AC36" s="136" t="n">
        <v>0.46</v>
      </c>
    </row>
    <row r="37" ht="30" customHeight="1">
      <c r="A37" s="3" t="inlineStr">
        <is>
          <t>SUD</t>
        </is>
      </c>
      <c r="B37" s="3" t="inlineStr">
        <is>
          <t>JUSTICE</t>
        </is>
      </c>
      <c r="C37" s="3" t="inlineStr">
        <is>
          <t>Justice</t>
        </is>
      </c>
      <c r="D37" s="135" t="n">
        <v>2228</v>
      </c>
      <c r="E37" s="135" t="n">
        <v>1050</v>
      </c>
      <c r="F37" s="135" t="n">
        <v>1171</v>
      </c>
      <c r="G37" s="135" t="n">
        <v>486</v>
      </c>
      <c r="H37" s="135" t="n">
        <v>210</v>
      </c>
      <c r="I37" s="135" t="n">
        <v>699</v>
      </c>
      <c r="J37" s="135" t="n">
        <v>292</v>
      </c>
      <c r="K37" s="135" t="n">
        <v>363</v>
      </c>
      <c r="L37" s="135" t="n">
        <v>170</v>
      </c>
      <c r="M37" s="135" t="n">
        <v>358</v>
      </c>
      <c r="N37" s="135" t="n">
        <v>177</v>
      </c>
      <c r="O37" s="135" t="n">
        <v>189</v>
      </c>
      <c r="P37" s="135" t="n">
        <v>133</v>
      </c>
      <c r="Q37" s="135" t="n">
        <v>43</v>
      </c>
      <c r="R37" s="135" t="n">
        <v>137</v>
      </c>
      <c r="S37" s="135" t="n">
        <v>33</v>
      </c>
      <c r="T37" s="135" t="n">
        <v>13</v>
      </c>
      <c r="U37" s="135" t="n">
        <v>96</v>
      </c>
      <c r="V37" s="135" t="n">
        <v>48</v>
      </c>
      <c r="W37" s="135" t="n">
        <v>58</v>
      </c>
      <c r="X37" s="135" t="n">
        <v>24</v>
      </c>
      <c r="Y37" s="135" t="n">
        <v>11</v>
      </c>
      <c r="Z37" s="135" t="n">
        <v>13</v>
      </c>
      <c r="AA37" s="135" t="n">
        <v>12</v>
      </c>
      <c r="AB37" s="135" t="n">
        <v>42</v>
      </c>
      <c r="AC37" s="136" t="n">
        <v>0.52</v>
      </c>
    </row>
    <row r="38" ht="30" customHeight="1">
      <c r="A38" s="3" t="inlineStr">
        <is>
          <t>EST</t>
        </is>
      </c>
      <c r="B38" s="3" t="inlineStr">
        <is>
          <t>FRATERNITE</t>
        </is>
      </c>
      <c r="C38" s="3" t="inlineStr">
        <is>
          <t>Fraternité</t>
        </is>
      </c>
      <c r="D38" s="135" t="n">
        <v>2676</v>
      </c>
      <c r="E38" s="135" t="n">
        <v>1320</v>
      </c>
      <c r="F38" s="135" t="n">
        <v>1366</v>
      </c>
      <c r="G38" s="135" t="n">
        <v>679</v>
      </c>
      <c r="H38" s="135" t="n">
        <v>320</v>
      </c>
      <c r="I38" s="135" t="n">
        <v>872</v>
      </c>
      <c r="J38" s="135" t="n">
        <v>298</v>
      </c>
      <c r="K38" s="135" t="n">
        <v>305</v>
      </c>
      <c r="L38" s="135" t="n">
        <v>171</v>
      </c>
      <c r="M38" s="135" t="n">
        <v>666</v>
      </c>
      <c r="N38" s="135" t="n">
        <v>329</v>
      </c>
      <c r="O38" s="135" t="n">
        <v>347</v>
      </c>
      <c r="P38" s="135" t="n">
        <v>261</v>
      </c>
      <c r="Q38" s="135" t="n">
        <v>87</v>
      </c>
      <c r="R38" s="135" t="n">
        <v>223</v>
      </c>
      <c r="S38" s="135" t="n">
        <v>59</v>
      </c>
      <c r="T38" s="135" t="n">
        <v>38</v>
      </c>
      <c r="U38" s="135" t="n">
        <v>94</v>
      </c>
      <c r="V38" s="135" t="n">
        <v>38</v>
      </c>
      <c r="W38" s="135" t="n">
        <v>48</v>
      </c>
      <c r="X38" s="135" t="n">
        <v>19</v>
      </c>
      <c r="Y38" s="135" t="n">
        <v>12</v>
      </c>
      <c r="Z38" s="135" t="n">
        <v>13</v>
      </c>
      <c r="AA38" s="135" t="n">
        <v>11</v>
      </c>
      <c r="AB38" s="135" t="n">
        <v>21</v>
      </c>
      <c r="AC38" s="136" t="n">
        <v>0.41</v>
      </c>
    </row>
    <row r="39" ht="30" customHeight="1">
      <c r="A39" s="3" t="inlineStr">
        <is>
          <t>SUD</t>
        </is>
      </c>
      <c r="B39" s="3" t="inlineStr">
        <is>
          <t>NOUVEAU ROUBAIX</t>
        </is>
      </c>
      <c r="C39" s="3" t="inlineStr">
        <is>
          <t>Nouveau Roubaix</t>
        </is>
      </c>
      <c r="D39" s="135" t="n">
        <v>2386</v>
      </c>
      <c r="E39" s="135" t="n">
        <v>1178</v>
      </c>
      <c r="F39" s="135" t="n">
        <v>1201</v>
      </c>
      <c r="G39" s="135" t="n">
        <v>647</v>
      </c>
      <c r="H39" s="135" t="n">
        <v>243</v>
      </c>
      <c r="I39" s="135" t="n">
        <v>724</v>
      </c>
      <c r="J39" s="135" t="n">
        <v>339</v>
      </c>
      <c r="K39" s="135" t="n">
        <v>304</v>
      </c>
      <c r="L39" s="135" t="n">
        <v>121</v>
      </c>
      <c r="M39" s="135" t="n">
        <v>909</v>
      </c>
      <c r="N39" s="135" t="n">
        <v>437</v>
      </c>
      <c r="O39" s="135" t="n">
        <v>480</v>
      </c>
      <c r="P39" s="135" t="n">
        <v>370</v>
      </c>
      <c r="Q39" s="135" t="n">
        <v>82</v>
      </c>
      <c r="R39" s="135" t="n">
        <v>311</v>
      </c>
      <c r="S39" s="135" t="n">
        <v>96</v>
      </c>
      <c r="T39" s="135" t="n">
        <v>66</v>
      </c>
      <c r="U39" s="135" t="n">
        <v>208</v>
      </c>
      <c r="V39" s="135" t="n">
        <v>90</v>
      </c>
      <c r="W39" s="135" t="n">
        <v>125</v>
      </c>
      <c r="X39" s="135" t="n">
        <v>60</v>
      </c>
      <c r="Y39" s="135" t="n">
        <v>18</v>
      </c>
      <c r="Z39" s="135" t="n">
        <v>43</v>
      </c>
      <c r="AA39" s="135" t="n">
        <v>20</v>
      </c>
      <c r="AB39" s="135" t="n">
        <v>65</v>
      </c>
      <c r="AC39" s="136" t="n">
        <v>0.17</v>
      </c>
    </row>
    <row r="40" ht="30" customHeight="1">
      <c r="A40" s="50" t="inlineStr">
        <is>
          <t>SUD</t>
        </is>
      </c>
      <c r="B40" s="50" t="inlineStr">
        <is>
          <t>HAUTS CHAMPS/PETITES HAIES</t>
        </is>
      </c>
      <c r="C40" s="50" t="inlineStr">
        <is>
          <t>Hauts Champs</t>
        </is>
      </c>
      <c r="D40" s="139" t="n">
        <v>2259</v>
      </c>
      <c r="E40" s="139" t="n">
        <v>1152</v>
      </c>
      <c r="F40" s="139" t="n">
        <v>1116</v>
      </c>
      <c r="G40" s="139" t="n">
        <v>609</v>
      </c>
      <c r="H40" s="139" t="n">
        <v>228</v>
      </c>
      <c r="I40" s="139" t="n">
        <v>771</v>
      </c>
      <c r="J40" s="139" t="n">
        <v>276</v>
      </c>
      <c r="K40" s="139" t="n">
        <v>232</v>
      </c>
      <c r="L40" s="139" t="n">
        <v>124</v>
      </c>
      <c r="M40" s="139" t="n">
        <v>838</v>
      </c>
      <c r="N40" s="139" t="n">
        <v>407</v>
      </c>
      <c r="O40" s="139" t="n">
        <v>439</v>
      </c>
      <c r="P40" s="139" t="n">
        <v>338</v>
      </c>
      <c r="Q40" s="139" t="n">
        <v>83</v>
      </c>
      <c r="R40" s="139" t="n">
        <v>311</v>
      </c>
      <c r="S40" s="139" t="n">
        <v>79</v>
      </c>
      <c r="T40" s="139" t="n">
        <v>23</v>
      </c>
      <c r="U40" s="139" t="n">
        <v>228</v>
      </c>
      <c r="V40" s="139" t="n">
        <v>109</v>
      </c>
      <c r="W40" s="139" t="n">
        <v>126</v>
      </c>
      <c r="X40" s="139" t="n">
        <v>77</v>
      </c>
      <c r="Y40" s="139" t="n">
        <v>25</v>
      </c>
      <c r="Z40" s="139" t="n">
        <v>63</v>
      </c>
      <c r="AA40" s="139" t="n">
        <v>22</v>
      </c>
      <c r="AB40" s="139" t="n">
        <v>58</v>
      </c>
      <c r="AC40" s="140" t="n">
        <v>0.31</v>
      </c>
    </row>
  </sheetData>
  <mergeCells count="1">
    <mergeCell ref="A1:C1"/>
  </mergeCell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O40"/>
  <sheetViews>
    <sheetView topLeftCell="A1" workbookViewId="0">
      <pane xSplit="3" ySplit="2" topLeftCell="D3" activePane="bottomRight" state="frozen"/>
      <selection pane="topRight"/>
      <selection pane="bottomLeft"/>
      <selection pane="bottomRight" activeCell="H1" sqref="H1"/>
      <selection pane="bottomLeft" activeCell="A3" sqref="A3"/>
      <selection pane="bottomRight" activeCell="A1" sqref="A1"/>
    </sheetView>
  </sheetViews>
  <sheetFormatPr baseColWidth="10" defaultColWidth="9.140625" defaultRowHeight="15"/>
  <cols>
    <col width="13" customWidth="1" min="1" max="1"/>
    <col width="31" customWidth="1" min="2" max="2"/>
    <col width="26"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5" customWidth="1" min="13" max="13"/>
    <col width="15" customWidth="1" min="14" max="14"/>
    <col width="19" customWidth="1" min="15" max="15"/>
    <col width="19" customWidth="1" min="16" max="16"/>
    <col width="19" customWidth="1" min="17" max="17"/>
    <col width="15" customWidth="1" min="18" max="18"/>
    <col width="15" customWidth="1" min="19" max="19"/>
    <col width="15" customWidth="1" min="20" max="20"/>
    <col width="18" customWidth="1" min="21" max="21"/>
    <col width="18" customWidth="1" min="22" max="22"/>
    <col width="23" customWidth="1" min="23" max="23"/>
    <col width="24" customWidth="1" min="24" max="24"/>
    <col width="24" customWidth="1" min="25" max="25"/>
    <col width="19" customWidth="1" min="26" max="26"/>
    <col width="21" customWidth="1" min="27" max="27"/>
    <col width="21" customWidth="1" min="28" max="28"/>
    <col width="18" customWidth="1" min="29" max="29"/>
    <col width="18" customWidth="1" min="30" max="30"/>
    <col width="18" customWidth="1" min="31" max="31"/>
    <col width="20" customWidth="1" min="32" max="32"/>
    <col width="23" customWidth="1" min="33" max="33"/>
    <col width="23" customWidth="1" min="34" max="34"/>
    <col width="20" customWidth="1" min="35" max="35"/>
    <col width="27" customWidth="1" min="36" max="36"/>
    <col width="27" customWidth="1" min="37" max="37"/>
    <col width="23" customWidth="1" min="38" max="38"/>
    <col width="27" customWidth="1" min="39" max="39"/>
    <col width="27" customWidth="1" min="40" max="40"/>
    <col width="22" customWidth="1" min="41" max="41"/>
    <col width="27" customWidth="1" min="42" max="42"/>
    <col width="27" customWidth="1" min="43" max="43"/>
    <col width="20" customWidth="1" min="44" max="45"/>
    <col width="27" customWidth="1" min="45" max="45"/>
    <col width="27" customWidth="1" min="46" max="46"/>
    <col width="29" customWidth="1" min="47" max="48"/>
    <col width="21" customWidth="1" min="48" max="48"/>
    <col width="21" customWidth="1" min="49" max="49"/>
    <col width="29" customWidth="1" min="50" max="50"/>
    <col width="21" customWidth="1" min="51" max="51"/>
    <col width="18" customWidth="1" min="52" max="52"/>
    <col width="18" customWidth="1" min="53" max="53"/>
    <col width="18" customWidth="1" min="54" max="54"/>
    <col width="18" customWidth="1" min="55" max="55"/>
    <col width="14" customWidth="1" min="56" max="56"/>
    <col width="14" customWidth="1" min="57" max="57"/>
    <col width="16" customWidth="1" min="58" max="58"/>
    <col width="14" customWidth="1" min="59" max="59"/>
    <col width="14" customWidth="1" min="60" max="60"/>
    <col width="27" customWidth="1" min="61" max="61"/>
    <col width="15" customWidth="1" min="62" max="62"/>
    <col width="19" customWidth="1" min="63" max="63"/>
    <col width="23" customWidth="1" min="64" max="64"/>
    <col width="31" customWidth="1" min="65" max="65"/>
    <col width="21" customWidth="1" min="66" max="66"/>
    <col width="24" customWidth="1" min="67" max="67"/>
    <col width="70.5703125" customWidth="1" min="68" max="68"/>
    <col width="73.42578125" customWidth="1" min="69" max="69"/>
    <col width="60" customWidth="1" min="70" max="70"/>
    <col width="72.140625" customWidth="1" min="71" max="71"/>
  </cols>
  <sheetData>
    <row r="1" ht="21" customHeight="1">
      <c r="A1" s="124" t="inlineStr">
        <is>
          <t>Demandeurs d'emploi au 31 décembre (données annuelles)</t>
        </is>
      </c>
      <c r="B1" s="125" t="n"/>
      <c r="C1" s="126" t="n"/>
      <c r="D1" s="127">
        <f>SUBTOTAL(9,D3:D40)</f>
        <v/>
      </c>
      <c r="E1" s="127">
        <f>SUBTOTAL(9,E3:E40)</f>
        <v/>
      </c>
      <c r="F1" s="127">
        <f>SUBTOTAL(9,F3:F40)</f>
        <v/>
      </c>
      <c r="G1" s="127">
        <f>SUBTOTAL(9,G3:G40)</f>
        <v/>
      </c>
      <c r="H1" s="127">
        <f>SUBTOTAL(9,H3:H40)</f>
        <v/>
      </c>
      <c r="I1" s="127">
        <f>SUBTOTAL(9,I3:I40)</f>
        <v/>
      </c>
      <c r="J1" s="127">
        <f>SUBTOTAL(9,J3:J40)</f>
        <v/>
      </c>
      <c r="K1" s="127">
        <f>SUBTOTAL(9,K3:K40)</f>
        <v/>
      </c>
      <c r="L1" s="127">
        <f>SUBTOTAL(9,L3:L40)</f>
        <v/>
      </c>
      <c r="M1" s="127">
        <f>SUBTOTAL(9,M3:M40)</f>
        <v/>
      </c>
      <c r="N1" s="127">
        <f>SUBTOTAL(9,N3:N40)</f>
        <v/>
      </c>
      <c r="O1" s="127">
        <f>SUBTOTAL(9,O3:O40)</f>
        <v/>
      </c>
      <c r="P1" s="127">
        <f>SUBTOTAL(9,P3:P40)</f>
        <v/>
      </c>
      <c r="Q1" s="127">
        <f>SUBTOTAL(9,Q3:Q40)</f>
        <v/>
      </c>
      <c r="R1" s="127">
        <f>SUBTOTAL(9,R3:R40)</f>
        <v/>
      </c>
      <c r="S1" s="127">
        <f>SUBTOTAL(9,S3:S40)</f>
        <v/>
      </c>
      <c r="T1" s="127">
        <f>SUBTOTAL(9,T3:T40)</f>
        <v/>
      </c>
      <c r="U1" s="127">
        <f>SUBTOTAL(9,U3:U40)</f>
        <v/>
      </c>
      <c r="V1" s="127">
        <f>SUBTOTAL(9,V3:V40)</f>
        <v/>
      </c>
      <c r="W1" s="127">
        <f>SUBTOTAL(9,W3:W40)</f>
        <v/>
      </c>
      <c r="X1" s="127">
        <f>SUBTOTAL(9,X3:X40)</f>
        <v/>
      </c>
      <c r="Y1" s="127">
        <f>SUBTOTAL(9,Y3:Y40)</f>
        <v/>
      </c>
      <c r="Z1" s="127">
        <f>SUBTOTAL(9,Z3:Z40)</f>
        <v/>
      </c>
      <c r="AA1" s="127">
        <f>SUBTOTAL(9,AA3:AA40)</f>
        <v/>
      </c>
      <c r="AB1" s="127">
        <f>SUBTOTAL(9,AB3:AB40)</f>
        <v/>
      </c>
      <c r="AC1" s="127">
        <f>SUBTOTAL(9,AC3:AC40)</f>
        <v/>
      </c>
      <c r="AD1" s="127">
        <f>SUBTOTAL(9,AD3:AD40)</f>
        <v/>
      </c>
      <c r="AE1" s="127">
        <f>SUBTOTAL(9,AE3:AE40)</f>
        <v/>
      </c>
      <c r="AF1" s="127">
        <f>SUBTOTAL(9,AF3:AF40)</f>
        <v/>
      </c>
      <c r="AG1" s="127">
        <f>SUBTOTAL(9,AG3:AG40)</f>
        <v/>
      </c>
      <c r="AH1" s="127">
        <f>SUBTOTAL(9,AH3:AH40)</f>
        <v/>
      </c>
      <c r="AI1" s="127">
        <f>SUBTOTAL(9,AI3:AI40)</f>
        <v/>
      </c>
      <c r="AJ1" s="127">
        <f>SUBTOTAL(9,AJ3:AJ40)</f>
        <v/>
      </c>
      <c r="AK1" s="127">
        <f>SUBTOTAL(9,AK3:AK40)</f>
        <v/>
      </c>
      <c r="AL1" s="127">
        <f>SUBTOTAL(9,AL3:AL40)</f>
        <v/>
      </c>
      <c r="AM1" s="127">
        <f>SUBTOTAL(9,AM3:AM40)</f>
        <v/>
      </c>
      <c r="AN1" s="127">
        <f>SUBTOTAL(9,AN3:AN40)</f>
        <v/>
      </c>
      <c r="AO1" s="127">
        <f>SUBTOTAL(9,AO3:AO40)</f>
        <v/>
      </c>
      <c r="AP1" s="127">
        <f>SUBTOTAL(9,AP3:AP40)</f>
        <v/>
      </c>
      <c r="AQ1" s="127">
        <f>SUBTOTAL(9,AQ3:AQ40)</f>
        <v/>
      </c>
      <c r="AR1" s="127">
        <f>SUBTOTAL(9,AR3:AR40)</f>
        <v/>
      </c>
      <c r="AS1" s="127">
        <f>SUBTOTAL(9,AS3:AS40)</f>
        <v/>
      </c>
      <c r="AT1" s="127">
        <f>SUBTOTAL(9,AT3:AT40)</f>
        <v/>
      </c>
      <c r="AU1" s="127">
        <f>SUBTOTAL(9,AU3:AU40)</f>
        <v/>
      </c>
      <c r="AV1" s="127">
        <f>SUBTOTAL(9,AV3:AV40)</f>
        <v/>
      </c>
      <c r="AW1" s="127">
        <f>SUBTOTAL(9,AW3:AW40)</f>
        <v/>
      </c>
      <c r="AX1" s="127">
        <f>SUBTOTAL(9,AX3:AX40)</f>
        <v/>
      </c>
      <c r="AY1" s="127">
        <f>SUBTOTAL(9,AY3:AY40)</f>
        <v/>
      </c>
      <c r="AZ1" s="127">
        <f>SUBTOTAL(9,AZ3:AZ40)</f>
        <v/>
      </c>
      <c r="BA1" s="127">
        <f>SUBTOTAL(9,BA3:BA40)</f>
        <v/>
      </c>
      <c r="BB1" s="127">
        <f>SUBTOTAL(9,BB3:BB40)</f>
        <v/>
      </c>
      <c r="BC1" s="127">
        <f>SUBTOTAL(9,BC3:BC40)</f>
        <v/>
      </c>
      <c r="BD1" s="128">
        <f>SUBTOTAL(9,BD3:BD40)</f>
        <v/>
      </c>
      <c r="BE1" s="127">
        <f>SUBTOTAL(9,BE3:BE40)</f>
        <v/>
      </c>
      <c r="BF1" s="129" t="n"/>
      <c r="BG1" s="129" t="n"/>
      <c r="BH1" s="129" t="n"/>
      <c r="BI1" s="129" t="n"/>
      <c r="BJ1" s="129" t="n"/>
      <c r="BK1" s="129" t="n"/>
      <c r="BL1" s="129" t="n"/>
      <c r="BM1" s="129" t="n"/>
      <c r="BN1" s="129" t="n"/>
      <c r="BO1" s="129" t="n"/>
    </row>
    <row r="2" ht="70" customHeight="1">
      <c r="A2" s="45" t="inlineStr">
        <is>
          <t>Mairies de quartiers</t>
        </is>
      </c>
      <c r="B2" s="45" t="inlineStr">
        <is>
          <t>Grands quartiers</t>
        </is>
      </c>
      <c r="C2" s="45" t="inlineStr">
        <is>
          <t>Libellé de l'Iris</t>
        </is>
      </c>
      <c r="D2" s="46" t="inlineStr">
        <is>
          <t>DEFM</t>
        </is>
      </c>
      <c r="E2" s="46" t="inlineStr">
        <is>
          <t>DEFM hommes</t>
        </is>
      </c>
      <c r="F2" s="46" t="inlineStr">
        <is>
          <t>DEFM femmes</t>
        </is>
      </c>
      <c r="G2" s="46" t="inlineStr">
        <is>
          <t>DEFM catégories ABC</t>
        </is>
      </c>
      <c r="H2" s="46" t="inlineStr">
        <is>
          <t>DEFM hommes catégories ABC</t>
        </is>
      </c>
      <c r="I2" s="46" t="inlineStr">
        <is>
          <t>DEFM femmes catégories ABC</t>
        </is>
      </c>
      <c r="J2" s="46" t="inlineStr">
        <is>
          <t>DEFM hommes catégorie A</t>
        </is>
      </c>
      <c r="K2" s="46" t="inlineStr">
        <is>
          <t>DEFM femmes catégorie A</t>
        </is>
      </c>
      <c r="L2" s="46" t="inlineStr">
        <is>
          <t>DEFM catégories ABC moins de 26 ans</t>
        </is>
      </c>
      <c r="M2" s="46" t="inlineStr">
        <is>
          <t>DEFM hommes catégories ABC moins de 26 ans</t>
        </is>
      </c>
      <c r="N2" s="46" t="inlineStr">
        <is>
          <t>DEFM femmes catégories ABC moins de 26 ans</t>
        </is>
      </c>
      <c r="O2" s="46" t="inlineStr">
        <is>
          <t>DEFM catégories ABC de 26 ans à moins de 50 ans</t>
        </is>
      </c>
      <c r="P2" s="46" t="inlineStr">
        <is>
          <t>DEFM hommes catégories ABC de 26 ans à moins de 50 ans</t>
        </is>
      </c>
      <c r="Q2" s="46" t="inlineStr">
        <is>
          <t>DEFM femmes catégories ABC de 26 ans à moins de 50 ans</t>
        </is>
      </c>
      <c r="R2" s="46" t="inlineStr">
        <is>
          <t>DEFM catégories ABC de 50 ans et plus</t>
        </is>
      </c>
      <c r="S2" s="46" t="inlineStr">
        <is>
          <t>DEFM hommes catégories ABC de 50 ans et plus</t>
        </is>
      </c>
      <c r="T2" s="46" t="inlineStr">
        <is>
          <t>DEFM femmes catégories ABC de 50 ans et plus</t>
        </is>
      </c>
      <c r="U2" s="46" t="inlineStr">
        <is>
          <t>DEFM catégories ABC nationalité française</t>
        </is>
      </c>
      <c r="V2" s="46" t="inlineStr">
        <is>
          <t>DEFM catégories ABC nationalité étrangère</t>
        </is>
      </c>
      <c r="W2" s="46" t="inlineStr">
        <is>
          <t>DEFM catégories ABC de niveau de formation inférieur au CAP-BEP</t>
        </is>
      </c>
      <c r="X2" s="46" t="inlineStr">
        <is>
          <t>DEFM hommes catégories ABC de niveau de formation inférieur au CAP-BEP</t>
        </is>
      </c>
      <c r="Y2" s="46" t="inlineStr">
        <is>
          <t>DEFM femmes catégories ABC de niveau de formation inférieur au CAP-BEP</t>
        </is>
      </c>
      <c r="Z2" s="46" t="inlineStr">
        <is>
          <t>DEFM catégories ABC de niveau de formation CAP-BEP</t>
        </is>
      </c>
      <c r="AA2" s="46" t="inlineStr">
        <is>
          <t>DEFM hommes catégories ABC de niveau de formation CAP-BEP</t>
        </is>
      </c>
      <c r="AB2" s="46" t="inlineStr">
        <is>
          <t>DEFM femmes catégories ABC de niveau de formation CAP-BEP</t>
        </is>
      </c>
      <c r="AC2" s="46" t="inlineStr">
        <is>
          <t>DEFM catégories ABC de niveau de formation BAC</t>
        </is>
      </c>
      <c r="AD2" s="46" t="inlineStr">
        <is>
          <t>DEFM hommes catégories ABC de niveau de formation BAC</t>
        </is>
      </c>
      <c r="AE2" s="46" t="inlineStr">
        <is>
          <t>DEFM femmes catégories ABC de niveau de formation BAC</t>
        </is>
      </c>
      <c r="AF2" s="46" t="inlineStr">
        <is>
          <t>DEFM catégories ABC de niveau de formation supérieur au BAC</t>
        </is>
      </c>
      <c r="AG2" s="46" t="inlineStr">
        <is>
          <t>DEFM hommes catégories ABC de niveau de formation supérieur au BAC</t>
        </is>
      </c>
      <c r="AH2" s="46" t="inlineStr">
        <is>
          <t>DEFM femmes catégories ABC de niveau de formation supérieur au BAC</t>
        </is>
      </c>
      <c r="AI2" s="46" t="inlineStr">
        <is>
          <t>DEFM catégories ABC d'ancienneté au chômage de moins de 6 mois</t>
        </is>
      </c>
      <c r="AJ2" s="46" t="inlineStr">
        <is>
          <t>DEFM hommes catégories ABC d'ancienneté au chômage de moins de 6 mois</t>
        </is>
      </c>
      <c r="AK2" s="46" t="inlineStr">
        <is>
          <t>DEFM femmes catégories ABC d'ancienneté au chômage de moins de 6 mois</t>
        </is>
      </c>
      <c r="AL2" s="46" t="inlineStr">
        <is>
          <t>DEFM catégories ABC d'ancienneté au chômage de 6 mois à moins d'1 an</t>
        </is>
      </c>
      <c r="AM2" s="46" t="inlineStr">
        <is>
          <t>DEFM hommes catégories ABC d'ancienneté au chômage de 6 mois à moins d'1 an</t>
        </is>
      </c>
      <c r="AN2" s="46" t="inlineStr">
        <is>
          <t>DEFM femmes catégories ABC d'ancienneté au chômage de 6 mois à moins d'1 an</t>
        </is>
      </c>
      <c r="AO2" s="46" t="inlineStr">
        <is>
          <t>DEFM catégories ABC d'ancienneté au chômage de 1 an à moins de 2 ans</t>
        </is>
      </c>
      <c r="AP2" s="46" t="inlineStr">
        <is>
          <t>DEFM hommes catégories ABC d'ancienneté au chômage de 1 an à moins de 2 ans</t>
        </is>
      </c>
      <c r="AQ2" s="46" t="inlineStr">
        <is>
          <t>DEFM femmes catégories ABC d'ancienneté au chômage de 1 an à moins de 2 ans</t>
        </is>
      </c>
      <c r="AR2" s="46" t="inlineStr">
        <is>
          <t>DEFM catégories ABC d'ancienneté au chômage d'au moins 2 ans</t>
        </is>
      </c>
      <c r="AS2" s="46" t="inlineStr">
        <is>
          <t>DEFM hommes catégories ABC d'ancienneté au chômage d'au moins 2 ans</t>
        </is>
      </c>
      <c r="AT2" s="46" t="inlineStr">
        <is>
          <t>DEFM femmes catégories ABC d'ancienneté au chômage d'au moins 2 ans</t>
        </is>
      </c>
      <c r="AU2" s="46" t="inlineStr">
        <is>
          <t>DEFM catégories ABC dont le motif d'inscription est une 1ère entrée sur le marché du travail</t>
        </is>
      </c>
      <c r="AV2" s="46" t="inlineStr">
        <is>
          <t>DEFM catégories ABC dont le motif d'inscription est un licenciement</t>
        </is>
      </c>
      <c r="AW2" s="46" t="inlineStr">
        <is>
          <t>DEFM catégories ABC dont le motif d'inscription est une fin de CDD</t>
        </is>
      </c>
      <c r="AX2" s="46" t="inlineStr">
        <is>
          <t>DEFM catégories ABC dont le motif d'inscription est une fin de mission d'intérim</t>
        </is>
      </c>
      <c r="AY2" s="46" t="inlineStr">
        <is>
          <t>DEFM catégories ABC dont le motif d'inscription est autre</t>
        </is>
      </c>
      <c r="AZ2" s="46" t="inlineStr">
        <is>
          <t>DEFM catégories ABC bénéficiaires du RSA</t>
        </is>
      </c>
      <c r="BA2" s="46" t="inlineStr">
        <is>
          <t>DEFM hommes catégories ABC bénéficiaires du RSA</t>
        </is>
      </c>
      <c r="BB2" s="46" t="inlineStr">
        <is>
          <t>DEFM femmes catégories ABC bénéficiaires du RSA</t>
        </is>
      </c>
      <c r="BC2" s="46" t="inlineStr">
        <is>
          <t>Nombre total d'allocataires</t>
        </is>
      </c>
      <c r="BD2" s="47" t="inlineStr">
        <is>
          <t>Superficie en km²</t>
        </is>
      </c>
      <c r="BE2" s="47" t="inlineStr">
        <is>
          <t>Population (DEFM)</t>
        </is>
      </c>
      <c r="BF2" s="130" t="inlineStr">
        <is>
          <t>Part des DEFM dans la population totale (%)</t>
        </is>
      </c>
      <c r="BG2" s="130" t="inlineStr">
        <is>
          <t>Part des DEFM hommes (%)</t>
        </is>
      </c>
      <c r="BH2" s="130" t="inlineStr">
        <is>
          <t>Part des DEFM femmes (%)</t>
        </is>
      </c>
      <c r="BI2" s="130" t="inlineStr">
        <is>
          <t>Part des DEFM catégorie ABC (tenus de faire une recherche d'emploi active)</t>
        </is>
      </c>
      <c r="BJ2" s="130" t="inlineStr">
        <is>
          <t>Part des DEFM ABC de moins de 26 ans (%)</t>
        </is>
      </c>
      <c r="BK2" s="130" t="inlineStr">
        <is>
          <t>Part des DEFM ABC de niveau ≤ au BAC dans les DEFM ABC (%)</t>
        </is>
      </c>
      <c r="BL2" s="130" t="inlineStr">
        <is>
          <t>Part des DEFM ABC au chômage depuis plus de 2 ans parmi les DEFM ABC (%)</t>
        </is>
      </c>
      <c r="BM2" s="130" t="inlineStr">
        <is>
          <t>Part des DEFM ABC au chômage depuis plus de 2 ans dans l'ensemble des chômeurs inscrits à PE (%)</t>
        </is>
      </c>
      <c r="BN2" s="130" t="inlineStr">
        <is>
          <t>Part des DEFM ABC bénéficiaires du RSA parmi les DEFM ABC (%)</t>
        </is>
      </c>
      <c r="BO2" s="131" t="inlineStr">
        <is>
          <t>Part des DEFM ABC bénéficiaires du RSA parmi l'ensemble des inscrits à PE (%)</t>
        </is>
      </c>
    </row>
    <row r="3" ht="30" customHeight="1">
      <c r="A3" s="3" t="inlineStr">
        <is>
          <t>OUEST</t>
        </is>
      </c>
      <c r="B3" s="3" t="inlineStr">
        <is>
          <t>FRESNOY MACKELLERIE</t>
        </is>
      </c>
      <c r="C3" s="3" t="inlineStr">
        <is>
          <t>Mackellerie</t>
        </is>
      </c>
      <c r="D3" s="135" t="n">
        <v>425</v>
      </c>
      <c r="E3" s="135" t="n">
        <v>236</v>
      </c>
      <c r="F3" s="135" t="n">
        <v>193</v>
      </c>
      <c r="G3" s="135" t="n">
        <v>394</v>
      </c>
      <c r="H3" s="135" t="n">
        <v>219</v>
      </c>
      <c r="I3" s="135" t="n">
        <v>170</v>
      </c>
      <c r="J3" s="135" t="n">
        <v>150</v>
      </c>
      <c r="K3" s="135" t="n">
        <v>123</v>
      </c>
      <c r="L3" s="135" t="n">
        <v>70</v>
      </c>
      <c r="M3" s="135" t="n">
        <v>40</v>
      </c>
      <c r="N3" s="135" t="n">
        <v>38</v>
      </c>
      <c r="O3" s="135" t="n">
        <v>227</v>
      </c>
      <c r="P3" s="135" t="n">
        <v>129</v>
      </c>
      <c r="Q3" s="135" t="n">
        <v>101</v>
      </c>
      <c r="R3" s="135" t="n">
        <v>97</v>
      </c>
      <c r="S3" s="135" t="n">
        <v>53</v>
      </c>
      <c r="T3" s="135" t="n">
        <v>39</v>
      </c>
      <c r="U3" s="135" t="n">
        <v>268</v>
      </c>
      <c r="V3" s="135" t="n">
        <v>122</v>
      </c>
      <c r="W3" s="135" t="n">
        <v>109</v>
      </c>
      <c r="X3" s="135" t="n">
        <v>55</v>
      </c>
      <c r="Y3" s="135" t="n">
        <v>58</v>
      </c>
      <c r="Z3" s="135" t="n">
        <v>131</v>
      </c>
      <c r="AA3" s="135" t="n">
        <v>80</v>
      </c>
      <c r="AB3" s="135" t="n">
        <v>47</v>
      </c>
      <c r="AC3" s="135" t="n">
        <v>75</v>
      </c>
      <c r="AD3" s="135" t="n">
        <v>39</v>
      </c>
      <c r="AE3" s="135" t="n">
        <v>39</v>
      </c>
      <c r="AF3" s="135" t="n">
        <v>74</v>
      </c>
      <c r="AG3" s="135" t="n">
        <v>48</v>
      </c>
      <c r="AH3" s="135" t="n">
        <v>30</v>
      </c>
      <c r="AI3" s="135" t="n">
        <v>184</v>
      </c>
      <c r="AJ3" s="135" t="n">
        <v>94</v>
      </c>
      <c r="AK3" s="135" t="n">
        <v>87</v>
      </c>
      <c r="AL3" s="135" t="n">
        <v>68</v>
      </c>
      <c r="AM3" s="135" t="n">
        <v>33</v>
      </c>
      <c r="AN3" s="135" t="n">
        <v>32</v>
      </c>
      <c r="AO3" s="135" t="n">
        <v>76</v>
      </c>
      <c r="AP3" s="135" t="n">
        <v>40</v>
      </c>
      <c r="AQ3" s="135" t="n">
        <v>31</v>
      </c>
      <c r="AR3" s="135" t="n">
        <v>70</v>
      </c>
      <c r="AS3" s="135" t="n">
        <v>48</v>
      </c>
      <c r="AT3" s="135" t="n">
        <v>25</v>
      </c>
      <c r="AU3" s="135" t="n">
        <v>32</v>
      </c>
      <c r="AV3" s="135" t="n">
        <v>28</v>
      </c>
      <c r="AW3" s="135" t="n">
        <v>60</v>
      </c>
      <c r="AX3" s="135" t="n">
        <v>19</v>
      </c>
      <c r="AY3" s="135" t="n">
        <v>255</v>
      </c>
      <c r="AZ3" s="135" t="n">
        <v>196</v>
      </c>
      <c r="BA3" s="135" t="n">
        <v>108</v>
      </c>
      <c r="BB3" s="135" t="n">
        <v>84</v>
      </c>
      <c r="BC3" s="135" t="n">
        <v>276</v>
      </c>
      <c r="BD3" s="136" t="n">
        <v>0.32</v>
      </c>
      <c r="BE3" s="135" t="n">
        <v>2501</v>
      </c>
      <c r="BF3" s="137" t="n">
        <v>17</v>
      </c>
      <c r="BG3" s="137" t="n">
        <v>9.4</v>
      </c>
      <c r="BH3" s="137" t="n">
        <v>7.7</v>
      </c>
      <c r="BI3" s="137" t="n">
        <v>92.7</v>
      </c>
      <c r="BJ3" s="137" t="n">
        <v>17.8</v>
      </c>
      <c r="BK3" s="137" t="n">
        <v>79.90000000000001</v>
      </c>
      <c r="BL3" s="137" t="n">
        <v>17.8</v>
      </c>
      <c r="BM3" s="137" t="n">
        <v>16.5</v>
      </c>
      <c r="BN3" s="137" t="n">
        <v>49.7</v>
      </c>
      <c r="BO3" s="138" t="n">
        <v>46.1</v>
      </c>
    </row>
    <row r="4" ht="30" customHeight="1">
      <c r="A4" s="3" t="inlineStr">
        <is>
          <t>OUEST</t>
        </is>
      </c>
      <c r="B4" s="3" t="inlineStr">
        <is>
          <t>ARMENTIERES</t>
        </is>
      </c>
      <c r="C4" s="3" t="inlineStr">
        <is>
          <t>Fresnoy</t>
        </is>
      </c>
      <c r="D4" s="135" t="n">
        <v>612</v>
      </c>
      <c r="E4" s="135" t="n">
        <v>344</v>
      </c>
      <c r="F4" s="135" t="n">
        <v>272</v>
      </c>
      <c r="G4" s="135" t="n">
        <v>551</v>
      </c>
      <c r="H4" s="135" t="n">
        <v>307</v>
      </c>
      <c r="I4" s="135" t="n">
        <v>240</v>
      </c>
      <c r="J4" s="135" t="n">
        <v>194</v>
      </c>
      <c r="K4" s="135" t="n">
        <v>145</v>
      </c>
      <c r="L4" s="135" t="n">
        <v>82</v>
      </c>
      <c r="M4" s="135" t="n">
        <v>38</v>
      </c>
      <c r="N4" s="135" t="n">
        <v>51</v>
      </c>
      <c r="O4" s="135" t="n">
        <v>325</v>
      </c>
      <c r="P4" s="135" t="n">
        <v>190</v>
      </c>
      <c r="Q4" s="135" t="n">
        <v>140</v>
      </c>
      <c r="R4" s="135" t="n">
        <v>133</v>
      </c>
      <c r="S4" s="135" t="n">
        <v>79</v>
      </c>
      <c r="T4" s="135" t="n">
        <v>57</v>
      </c>
      <c r="U4" s="135" t="n">
        <v>436</v>
      </c>
      <c r="V4" s="135" t="n">
        <v>119</v>
      </c>
      <c r="W4" s="135" t="n">
        <v>115</v>
      </c>
      <c r="X4" s="135" t="n">
        <v>62</v>
      </c>
      <c r="Y4" s="135" t="n">
        <v>57</v>
      </c>
      <c r="Z4" s="135" t="n">
        <v>178</v>
      </c>
      <c r="AA4" s="135" t="n">
        <v>103</v>
      </c>
      <c r="AB4" s="135" t="n">
        <v>71</v>
      </c>
      <c r="AC4" s="135" t="n">
        <v>108</v>
      </c>
      <c r="AD4" s="135" t="n">
        <v>58</v>
      </c>
      <c r="AE4" s="135" t="n">
        <v>54</v>
      </c>
      <c r="AF4" s="135" t="n">
        <v>153</v>
      </c>
      <c r="AG4" s="135" t="n">
        <v>88</v>
      </c>
      <c r="AH4" s="135" t="n">
        <v>62</v>
      </c>
      <c r="AI4" s="135" t="n">
        <v>211</v>
      </c>
      <c r="AJ4" s="135" t="n">
        <v>116</v>
      </c>
      <c r="AK4" s="135" t="n">
        <v>91</v>
      </c>
      <c r="AL4" s="135" t="n">
        <v>117</v>
      </c>
      <c r="AM4" s="135" t="n">
        <v>69</v>
      </c>
      <c r="AN4" s="135" t="n">
        <v>52</v>
      </c>
      <c r="AO4" s="135" t="n">
        <v>116</v>
      </c>
      <c r="AP4" s="135" t="n">
        <v>67</v>
      </c>
      <c r="AQ4" s="135" t="n">
        <v>52</v>
      </c>
      <c r="AR4" s="135" t="n">
        <v>104</v>
      </c>
      <c r="AS4" s="135" t="n">
        <v>59</v>
      </c>
      <c r="AT4" s="135" t="n">
        <v>49</v>
      </c>
      <c r="AU4" s="135" t="n">
        <v>29</v>
      </c>
      <c r="AV4" s="135" t="n">
        <v>37</v>
      </c>
      <c r="AW4" s="135" t="n">
        <v>81</v>
      </c>
      <c r="AX4" s="135" t="n">
        <v>33</v>
      </c>
      <c r="AY4" s="135" t="n">
        <v>372</v>
      </c>
      <c r="AZ4" s="135" t="n">
        <v>231</v>
      </c>
      <c r="BA4" s="135" t="n">
        <v>118</v>
      </c>
      <c r="BB4" s="135" t="n">
        <v>109</v>
      </c>
      <c r="BC4" s="135" t="n">
        <v>343</v>
      </c>
      <c r="BD4" s="136" t="n">
        <v>0.53</v>
      </c>
      <c r="BE4" s="135" t="n">
        <v>4280</v>
      </c>
      <c r="BF4" s="137" t="n">
        <v>14.3</v>
      </c>
      <c r="BG4" s="137" t="n">
        <v>8</v>
      </c>
      <c r="BH4" s="137" t="n">
        <v>6.4</v>
      </c>
      <c r="BI4" s="137" t="n">
        <v>90</v>
      </c>
      <c r="BJ4" s="137" t="n">
        <v>14.9</v>
      </c>
      <c r="BK4" s="137" t="n">
        <v>72.8</v>
      </c>
      <c r="BL4" s="137" t="n">
        <v>18.9</v>
      </c>
      <c r="BM4" s="137" t="n">
        <v>17</v>
      </c>
      <c r="BN4" s="137" t="n">
        <v>41.9</v>
      </c>
      <c r="BO4" s="138" t="n">
        <v>37.7</v>
      </c>
    </row>
    <row r="5" ht="30" customHeight="1">
      <c r="A5" s="3" t="inlineStr">
        <is>
          <t>NORD</t>
        </is>
      </c>
      <c r="B5" s="3" t="inlineStr">
        <is>
          <t>FOSSE AUX CHENES</t>
        </is>
      </c>
      <c r="C5" s="3" t="inlineStr">
        <is>
          <t>Fosse aux Chênes</t>
        </is>
      </c>
      <c r="D5" s="135" t="n">
        <v>556</v>
      </c>
      <c r="E5" s="135" t="n">
        <v>309</v>
      </c>
      <c r="F5" s="135" t="n">
        <v>252</v>
      </c>
      <c r="G5" s="135" t="n">
        <v>516</v>
      </c>
      <c r="H5" s="135" t="n">
        <v>281</v>
      </c>
      <c r="I5" s="135" t="n">
        <v>238</v>
      </c>
      <c r="J5" s="135" t="n">
        <v>190</v>
      </c>
      <c r="K5" s="135" t="n">
        <v>169</v>
      </c>
      <c r="L5" s="135" t="n">
        <v>67</v>
      </c>
      <c r="M5" s="135" t="n">
        <v>35</v>
      </c>
      <c r="N5" s="135" t="n">
        <v>36</v>
      </c>
      <c r="O5" s="135" t="n">
        <v>309</v>
      </c>
      <c r="P5" s="135" t="n">
        <v>164</v>
      </c>
      <c r="Q5" s="135" t="n">
        <v>141</v>
      </c>
      <c r="R5" s="135" t="n">
        <v>139</v>
      </c>
      <c r="S5" s="135" t="n">
        <v>82</v>
      </c>
      <c r="T5" s="135" t="n">
        <v>53</v>
      </c>
      <c r="U5" s="135" t="n">
        <v>362</v>
      </c>
      <c r="V5" s="135" t="n">
        <v>158</v>
      </c>
      <c r="W5" s="135" t="n">
        <v>140</v>
      </c>
      <c r="X5" s="135" t="n">
        <v>69</v>
      </c>
      <c r="Y5" s="135" t="n">
        <v>67</v>
      </c>
      <c r="Z5" s="135" t="n">
        <v>172</v>
      </c>
      <c r="AA5" s="135" t="n">
        <v>112</v>
      </c>
      <c r="AB5" s="135" t="n">
        <v>57</v>
      </c>
      <c r="AC5" s="135" t="n">
        <v>115</v>
      </c>
      <c r="AD5" s="135" t="n">
        <v>58</v>
      </c>
      <c r="AE5" s="135" t="n">
        <v>60</v>
      </c>
      <c r="AF5" s="135" t="n">
        <v>86</v>
      </c>
      <c r="AG5" s="135" t="n">
        <v>38</v>
      </c>
      <c r="AH5" s="135" t="n">
        <v>51</v>
      </c>
      <c r="AI5" s="135" t="n">
        <v>237</v>
      </c>
      <c r="AJ5" s="135" t="n">
        <v>127</v>
      </c>
      <c r="AK5" s="135" t="n">
        <v>105</v>
      </c>
      <c r="AL5" s="135" t="n">
        <v>87</v>
      </c>
      <c r="AM5" s="135" t="n">
        <v>51</v>
      </c>
      <c r="AN5" s="135" t="n">
        <v>41</v>
      </c>
      <c r="AO5" s="135" t="n">
        <v>85</v>
      </c>
      <c r="AP5" s="135" t="n">
        <v>43</v>
      </c>
      <c r="AQ5" s="135" t="n">
        <v>46</v>
      </c>
      <c r="AR5" s="135" t="n">
        <v>102</v>
      </c>
      <c r="AS5" s="135" t="n">
        <v>65</v>
      </c>
      <c r="AT5" s="135" t="n">
        <v>42</v>
      </c>
      <c r="AU5" s="135" t="n">
        <v>23</v>
      </c>
      <c r="AV5" s="135" t="n">
        <v>30</v>
      </c>
      <c r="AW5" s="135" t="n">
        <v>71</v>
      </c>
      <c r="AX5" s="135" t="n">
        <v>21</v>
      </c>
      <c r="AY5" s="135" t="n">
        <v>370</v>
      </c>
      <c r="AZ5" s="135" t="n">
        <v>271</v>
      </c>
      <c r="BA5" s="135" t="n">
        <v>142</v>
      </c>
      <c r="BB5" s="135" t="n">
        <v>125</v>
      </c>
      <c r="BC5" s="135" t="n">
        <v>354</v>
      </c>
      <c r="BD5" s="136" t="n">
        <v>0.41</v>
      </c>
      <c r="BE5" s="135" t="n">
        <v>2843</v>
      </c>
      <c r="BF5" s="137" t="n">
        <v>19.6</v>
      </c>
      <c r="BG5" s="137" t="n">
        <v>10.9</v>
      </c>
      <c r="BH5" s="137" t="n">
        <v>8.9</v>
      </c>
      <c r="BI5" s="137" t="n">
        <v>92.8</v>
      </c>
      <c r="BJ5" s="137" t="n">
        <v>13</v>
      </c>
      <c r="BK5" s="137" t="n">
        <v>82.8</v>
      </c>
      <c r="BL5" s="137" t="n">
        <v>19.8</v>
      </c>
      <c r="BM5" s="137" t="n">
        <v>18.3</v>
      </c>
      <c r="BN5" s="137" t="n">
        <v>52.5</v>
      </c>
      <c r="BO5" s="138" t="n">
        <v>48.7</v>
      </c>
    </row>
    <row r="6" ht="30" customHeight="1">
      <c r="A6" s="3" t="inlineStr">
        <is>
          <t>NORD</t>
        </is>
      </c>
      <c r="B6" s="3" t="inlineStr">
        <is>
          <t>ALMA GARE</t>
        </is>
      </c>
      <c r="C6" s="3" t="inlineStr">
        <is>
          <t>Alma Sud</t>
        </is>
      </c>
      <c r="D6" s="135" t="n">
        <v>205</v>
      </c>
      <c r="E6" s="135" t="n">
        <v>122</v>
      </c>
      <c r="F6" s="135" t="n">
        <v>78</v>
      </c>
      <c r="G6" s="135" t="n">
        <v>183</v>
      </c>
      <c r="H6" s="135" t="n">
        <v>112</v>
      </c>
      <c r="I6" s="135" t="n">
        <v>74</v>
      </c>
      <c r="J6" s="135" t="n">
        <v>80</v>
      </c>
      <c r="K6" s="135" t="n">
        <v>49</v>
      </c>
      <c r="L6" s="135" t="n">
        <v>19</v>
      </c>
      <c r="M6" s="135" t="n">
        <v>16</v>
      </c>
      <c r="N6" s="135" t="n">
        <v>6</v>
      </c>
      <c r="O6" s="135" t="n">
        <v>105</v>
      </c>
      <c r="P6" s="135" t="n">
        <v>69</v>
      </c>
      <c r="Q6" s="135" t="n">
        <v>42</v>
      </c>
      <c r="R6" s="135" t="n">
        <v>56</v>
      </c>
      <c r="S6" s="135" t="n">
        <v>29</v>
      </c>
      <c r="T6" s="135" t="n">
        <v>34</v>
      </c>
      <c r="U6" s="135" t="n">
        <v>117</v>
      </c>
      <c r="V6" s="135" t="n">
        <v>69</v>
      </c>
      <c r="W6" s="135" t="n">
        <v>51</v>
      </c>
      <c r="X6" s="135" t="n">
        <v>26</v>
      </c>
      <c r="Y6" s="135" t="n">
        <v>30</v>
      </c>
      <c r="Z6" s="135" t="n">
        <v>72</v>
      </c>
      <c r="AA6" s="135" t="n">
        <v>45</v>
      </c>
      <c r="AB6" s="135" t="n">
        <v>24</v>
      </c>
      <c r="AC6" s="135" t="n">
        <v>54</v>
      </c>
      <c r="AD6" s="135" t="n">
        <v>33</v>
      </c>
      <c r="AE6" s="135" t="n">
        <v>17</v>
      </c>
      <c r="AF6" s="135" t="n">
        <v>17</v>
      </c>
      <c r="AG6" s="135" t="n">
        <v>6</v>
      </c>
      <c r="AH6" s="135" t="n">
        <v>7</v>
      </c>
      <c r="AI6" s="135" t="n">
        <v>65</v>
      </c>
      <c r="AJ6" s="135" t="n">
        <v>39</v>
      </c>
      <c r="AK6" s="135" t="n">
        <v>30</v>
      </c>
      <c r="AL6" s="135" t="n">
        <v>36</v>
      </c>
      <c r="AM6" s="135" t="n">
        <v>22</v>
      </c>
      <c r="AN6" s="135" t="n">
        <v>11</v>
      </c>
      <c r="AO6" s="135" t="n">
        <v>42</v>
      </c>
      <c r="AP6" s="135" t="n">
        <v>28</v>
      </c>
      <c r="AQ6" s="135" t="n">
        <v>19</v>
      </c>
      <c r="AR6" s="135" t="n">
        <v>43</v>
      </c>
      <c r="AS6" s="135" t="n">
        <v>20</v>
      </c>
      <c r="AT6" s="135" t="n">
        <v>19</v>
      </c>
      <c r="AU6" s="135" t="n">
        <v>13</v>
      </c>
      <c r="AV6" s="135" t="n">
        <v>5</v>
      </c>
      <c r="AW6" s="135" t="n">
        <v>28</v>
      </c>
      <c r="AX6" s="135" t="n">
        <v>11</v>
      </c>
      <c r="AY6" s="135" t="n">
        <v>125</v>
      </c>
      <c r="AZ6" s="135" t="n">
        <v>90</v>
      </c>
      <c r="BA6" s="135" t="n">
        <v>51</v>
      </c>
      <c r="BB6" s="135" t="n">
        <v>44</v>
      </c>
      <c r="BC6" s="135" t="n">
        <v>126</v>
      </c>
      <c r="BD6" s="136" t="n">
        <v>0.09</v>
      </c>
      <c r="BE6" s="135" t="n">
        <v>1529</v>
      </c>
      <c r="BF6" s="137" t="n">
        <v>13.4</v>
      </c>
      <c r="BG6" s="137" t="n">
        <v>8</v>
      </c>
      <c r="BH6" s="137" t="n">
        <v>5.1</v>
      </c>
      <c r="BI6" s="137" t="n">
        <v>89.3</v>
      </c>
      <c r="BJ6" s="137" t="n">
        <v>10.4</v>
      </c>
      <c r="BK6" s="137" t="n">
        <v>96.7</v>
      </c>
      <c r="BL6" s="137" t="n">
        <v>23.5</v>
      </c>
      <c r="BM6" s="137" t="n">
        <v>21</v>
      </c>
      <c r="BN6" s="137" t="n">
        <v>49.2</v>
      </c>
      <c r="BO6" s="138" t="n">
        <v>43.9</v>
      </c>
    </row>
    <row r="7" ht="30" customHeight="1">
      <c r="A7" s="3" t="inlineStr">
        <is>
          <t>NORD</t>
        </is>
      </c>
      <c r="B7" s="3" t="inlineStr">
        <is>
          <t>ALMA GARE</t>
        </is>
      </c>
      <c r="C7" s="3" t="inlineStr">
        <is>
          <t>Alma Nord</t>
        </is>
      </c>
      <c r="D7" s="135" t="n">
        <v>265</v>
      </c>
      <c r="E7" s="135" t="n">
        <v>160</v>
      </c>
      <c r="F7" s="135" t="n">
        <v>110</v>
      </c>
      <c r="G7" s="135" t="n">
        <v>241</v>
      </c>
      <c r="H7" s="135" t="n">
        <v>138</v>
      </c>
      <c r="I7" s="135" t="n">
        <v>99</v>
      </c>
      <c r="J7" s="135" t="n">
        <v>107</v>
      </c>
      <c r="K7" s="135" t="n">
        <v>65</v>
      </c>
      <c r="L7" s="135" t="n">
        <v>41</v>
      </c>
      <c r="M7" s="135" t="n">
        <v>27</v>
      </c>
      <c r="N7" s="135" t="n">
        <v>17</v>
      </c>
      <c r="O7" s="135" t="n">
        <v>139</v>
      </c>
      <c r="P7" s="135" t="n">
        <v>81</v>
      </c>
      <c r="Q7" s="135" t="n">
        <v>62</v>
      </c>
      <c r="R7" s="135" t="n">
        <v>62</v>
      </c>
      <c r="S7" s="135" t="n">
        <v>36</v>
      </c>
      <c r="T7" s="135" t="n">
        <v>21</v>
      </c>
      <c r="U7" s="135" t="n">
        <v>166</v>
      </c>
      <c r="V7" s="135" t="n">
        <v>70</v>
      </c>
      <c r="W7" s="135" t="n">
        <v>51</v>
      </c>
      <c r="X7" s="135" t="n">
        <v>27</v>
      </c>
      <c r="Y7" s="135" t="n">
        <v>29</v>
      </c>
      <c r="Z7" s="135" t="n">
        <v>90</v>
      </c>
      <c r="AA7" s="135" t="n">
        <v>64</v>
      </c>
      <c r="AB7" s="135" t="n">
        <v>22</v>
      </c>
      <c r="AC7" s="135" t="n">
        <v>58</v>
      </c>
      <c r="AD7" s="135" t="n">
        <v>33</v>
      </c>
      <c r="AE7" s="135" t="n">
        <v>19</v>
      </c>
      <c r="AF7" s="135" t="n">
        <v>39</v>
      </c>
      <c r="AG7" s="135" t="n">
        <v>21</v>
      </c>
      <c r="AH7" s="135" t="n">
        <v>23</v>
      </c>
      <c r="AI7" s="135" t="n">
        <v>100</v>
      </c>
      <c r="AJ7" s="135" t="n">
        <v>64</v>
      </c>
      <c r="AK7" s="135" t="n">
        <v>41</v>
      </c>
      <c r="AL7" s="135" t="n">
        <v>45</v>
      </c>
      <c r="AM7" s="135" t="n">
        <v>28</v>
      </c>
      <c r="AN7" s="135" t="n">
        <v>13</v>
      </c>
      <c r="AO7" s="135" t="n">
        <v>45</v>
      </c>
      <c r="AP7" s="135" t="n">
        <v>25</v>
      </c>
      <c r="AQ7" s="135" t="n">
        <v>16</v>
      </c>
      <c r="AR7" s="135" t="n">
        <v>47</v>
      </c>
      <c r="AS7" s="135" t="n">
        <v>25</v>
      </c>
      <c r="AT7" s="135" t="n">
        <v>25</v>
      </c>
      <c r="AU7" s="135" t="n">
        <v>14</v>
      </c>
      <c r="AV7" s="135" t="n">
        <v>17</v>
      </c>
      <c r="AW7" s="135" t="n">
        <v>29</v>
      </c>
      <c r="AX7" s="135" t="n">
        <v>9</v>
      </c>
      <c r="AY7" s="135" t="n">
        <v>162</v>
      </c>
      <c r="AZ7" s="135" t="n">
        <v>123</v>
      </c>
      <c r="BA7" s="135" t="n">
        <v>72</v>
      </c>
      <c r="BB7" s="135" t="n">
        <v>56</v>
      </c>
      <c r="BC7" s="135" t="n">
        <v>176</v>
      </c>
      <c r="BD7" s="136" t="n">
        <v>0.42</v>
      </c>
      <c r="BE7" s="135" t="n">
        <v>1613</v>
      </c>
      <c r="BF7" s="137" t="n">
        <v>16.4</v>
      </c>
      <c r="BG7" s="137" t="n">
        <v>9.9</v>
      </c>
      <c r="BH7" s="137" t="n">
        <v>6.8</v>
      </c>
      <c r="BI7" s="137" t="n">
        <v>90.90000000000001</v>
      </c>
      <c r="BJ7" s="137" t="n">
        <v>17</v>
      </c>
      <c r="BK7" s="137" t="n">
        <v>82.59999999999999</v>
      </c>
      <c r="BL7" s="137" t="n">
        <v>19.5</v>
      </c>
      <c r="BM7" s="137" t="n">
        <v>17.7</v>
      </c>
      <c r="BN7" s="137" t="n">
        <v>51</v>
      </c>
      <c r="BO7" s="138" t="n">
        <v>46.4</v>
      </c>
    </row>
    <row r="8" ht="30" customHeight="1">
      <c r="A8" s="3" t="inlineStr">
        <is>
          <t>NORD</t>
        </is>
      </c>
      <c r="B8" s="3" t="inlineStr">
        <is>
          <t>ENTREPONT</t>
        </is>
      </c>
      <c r="C8" s="3" t="inlineStr">
        <is>
          <t>Entrepont-Cartigny</t>
        </is>
      </c>
      <c r="D8" s="135" t="n">
        <v>421</v>
      </c>
      <c r="E8" s="135" t="n">
        <v>238</v>
      </c>
      <c r="F8" s="135" t="n">
        <v>186</v>
      </c>
      <c r="G8" s="135" t="n">
        <v>366</v>
      </c>
      <c r="H8" s="135" t="n">
        <v>217</v>
      </c>
      <c r="I8" s="135" t="n">
        <v>155</v>
      </c>
      <c r="J8" s="135" t="n">
        <v>150</v>
      </c>
      <c r="K8" s="135" t="n">
        <v>115</v>
      </c>
      <c r="L8" s="135" t="n">
        <v>69</v>
      </c>
      <c r="M8" s="135" t="n">
        <v>41</v>
      </c>
      <c r="N8" s="135" t="n">
        <v>32</v>
      </c>
      <c r="O8" s="135" t="n">
        <v>209</v>
      </c>
      <c r="P8" s="135" t="n">
        <v>121</v>
      </c>
      <c r="Q8" s="135" t="n">
        <v>91</v>
      </c>
      <c r="R8" s="135" t="n">
        <v>90</v>
      </c>
      <c r="S8" s="135" t="n">
        <v>53</v>
      </c>
      <c r="T8" s="135" t="n">
        <v>33</v>
      </c>
      <c r="U8" s="135" t="n">
        <v>273</v>
      </c>
      <c r="V8" s="135" t="n">
        <v>98</v>
      </c>
      <c r="W8" s="135" t="n">
        <v>95</v>
      </c>
      <c r="X8" s="135" t="n">
        <v>49</v>
      </c>
      <c r="Y8" s="135" t="n">
        <v>49</v>
      </c>
      <c r="Z8" s="135" t="n">
        <v>131</v>
      </c>
      <c r="AA8" s="135" t="n">
        <v>90</v>
      </c>
      <c r="AB8" s="135" t="n">
        <v>37</v>
      </c>
      <c r="AC8" s="135" t="n">
        <v>90</v>
      </c>
      <c r="AD8" s="135" t="n">
        <v>45</v>
      </c>
      <c r="AE8" s="135" t="n">
        <v>49</v>
      </c>
      <c r="AF8" s="135" t="n">
        <v>56</v>
      </c>
      <c r="AG8" s="135" t="n">
        <v>34</v>
      </c>
      <c r="AH8" s="135" t="n">
        <v>26</v>
      </c>
      <c r="AI8" s="135" t="n">
        <v>180</v>
      </c>
      <c r="AJ8" s="135" t="n">
        <v>100</v>
      </c>
      <c r="AK8" s="135" t="n">
        <v>76</v>
      </c>
      <c r="AL8" s="135" t="n">
        <v>73</v>
      </c>
      <c r="AM8" s="135" t="n">
        <v>42</v>
      </c>
      <c r="AN8" s="135" t="n">
        <v>26</v>
      </c>
      <c r="AO8" s="135" t="n">
        <v>61</v>
      </c>
      <c r="AP8" s="135" t="n">
        <v>30</v>
      </c>
      <c r="AQ8" s="135" t="n">
        <v>27</v>
      </c>
      <c r="AR8" s="135" t="n">
        <v>58</v>
      </c>
      <c r="AS8" s="135" t="n">
        <v>38</v>
      </c>
      <c r="AT8" s="135" t="n">
        <v>24</v>
      </c>
      <c r="AU8" s="135" t="n">
        <v>24</v>
      </c>
      <c r="AV8" s="135" t="n">
        <v>27</v>
      </c>
      <c r="AW8" s="135" t="n">
        <v>53</v>
      </c>
      <c r="AX8" s="135" t="n">
        <v>24</v>
      </c>
      <c r="AY8" s="135" t="n">
        <v>241</v>
      </c>
      <c r="AZ8" s="135" t="n">
        <v>179</v>
      </c>
      <c r="BA8" s="135" t="n">
        <v>105</v>
      </c>
      <c r="BB8" s="135" t="n">
        <v>77</v>
      </c>
      <c r="BC8" s="135" t="n">
        <v>269</v>
      </c>
      <c r="BD8" s="136" t="n">
        <v>0.85</v>
      </c>
      <c r="BE8" s="135" t="n">
        <v>2372</v>
      </c>
      <c r="BF8" s="137" t="n">
        <v>17.8</v>
      </c>
      <c r="BG8" s="137" t="n">
        <v>10</v>
      </c>
      <c r="BH8" s="137" t="n">
        <v>7.8</v>
      </c>
      <c r="BI8" s="137" t="n">
        <v>86.90000000000001</v>
      </c>
      <c r="BJ8" s="137" t="n">
        <v>18.9</v>
      </c>
      <c r="BK8" s="137" t="n">
        <v>86.3</v>
      </c>
      <c r="BL8" s="137" t="n">
        <v>15.8</v>
      </c>
      <c r="BM8" s="137" t="n">
        <v>13.8</v>
      </c>
      <c r="BN8" s="137" t="n">
        <v>48.9</v>
      </c>
      <c r="BO8" s="138" t="n">
        <v>42.5</v>
      </c>
    </row>
    <row r="9" ht="30" customHeight="1">
      <c r="A9" s="3" t="inlineStr">
        <is>
          <t>NORD</t>
        </is>
      </c>
      <c r="B9" s="3" t="inlineStr">
        <is>
          <t>HUTIN - ORAN - CARTIGNY</t>
        </is>
      </c>
      <c r="C9" s="3" t="inlineStr">
        <is>
          <t>Hutin-Oran</t>
        </is>
      </c>
      <c r="D9" s="135" t="n">
        <v>391</v>
      </c>
      <c r="E9" s="135" t="n">
        <v>213</v>
      </c>
      <c r="F9" s="135" t="n">
        <v>174</v>
      </c>
      <c r="G9" s="135" t="n">
        <v>360</v>
      </c>
      <c r="H9" s="135" t="n">
        <v>195</v>
      </c>
      <c r="I9" s="135" t="n">
        <v>168</v>
      </c>
      <c r="J9" s="135" t="n">
        <v>125</v>
      </c>
      <c r="K9" s="135" t="n">
        <v>120</v>
      </c>
      <c r="L9" s="135" t="n">
        <v>56</v>
      </c>
      <c r="M9" s="135" t="n">
        <v>19</v>
      </c>
      <c r="N9" s="135" t="n">
        <v>33</v>
      </c>
      <c r="O9" s="135" t="n">
        <v>206</v>
      </c>
      <c r="P9" s="135" t="n">
        <v>116</v>
      </c>
      <c r="Q9" s="135" t="n">
        <v>94</v>
      </c>
      <c r="R9" s="135" t="n">
        <v>107</v>
      </c>
      <c r="S9" s="135" t="n">
        <v>61</v>
      </c>
      <c r="T9" s="135" t="n">
        <v>41</v>
      </c>
      <c r="U9" s="135" t="n">
        <v>282</v>
      </c>
      <c r="V9" s="135" t="n">
        <v>82</v>
      </c>
      <c r="W9" s="135" t="n">
        <v>80</v>
      </c>
      <c r="X9" s="135" t="n">
        <v>45</v>
      </c>
      <c r="Y9" s="135" t="n">
        <v>40</v>
      </c>
      <c r="Z9" s="135" t="n">
        <v>128</v>
      </c>
      <c r="AA9" s="135" t="n">
        <v>77</v>
      </c>
      <c r="AB9" s="135" t="n">
        <v>46</v>
      </c>
      <c r="AC9" s="135" t="n">
        <v>82</v>
      </c>
      <c r="AD9" s="135" t="n">
        <v>43</v>
      </c>
      <c r="AE9" s="135" t="n">
        <v>44</v>
      </c>
      <c r="AF9" s="135" t="n">
        <v>57</v>
      </c>
      <c r="AG9" s="135" t="n">
        <v>28</v>
      </c>
      <c r="AH9" s="135" t="n">
        <v>33</v>
      </c>
      <c r="AI9" s="135" t="n">
        <v>138</v>
      </c>
      <c r="AJ9" s="135" t="n">
        <v>83</v>
      </c>
      <c r="AK9" s="135" t="n">
        <v>58</v>
      </c>
      <c r="AL9" s="135" t="n">
        <v>68</v>
      </c>
      <c r="AM9" s="135" t="n">
        <v>32</v>
      </c>
      <c r="AN9" s="135" t="n">
        <v>32</v>
      </c>
      <c r="AO9" s="135" t="n">
        <v>75</v>
      </c>
      <c r="AP9" s="135" t="n">
        <v>42</v>
      </c>
      <c r="AQ9" s="135" t="n">
        <v>37</v>
      </c>
      <c r="AR9" s="135" t="n">
        <v>83</v>
      </c>
      <c r="AS9" s="135" t="n">
        <v>42</v>
      </c>
      <c r="AT9" s="135" t="n">
        <v>44</v>
      </c>
      <c r="AU9" s="135" t="n">
        <v>22</v>
      </c>
      <c r="AV9" s="135" t="n">
        <v>37</v>
      </c>
      <c r="AW9" s="135" t="n">
        <v>37</v>
      </c>
      <c r="AX9" s="135" t="n">
        <v>32</v>
      </c>
      <c r="AY9" s="135" t="n">
        <v>240</v>
      </c>
      <c r="AZ9" s="135" t="n">
        <v>154</v>
      </c>
      <c r="BA9" s="135" t="n">
        <v>79</v>
      </c>
      <c r="BB9" s="135" t="n">
        <v>71</v>
      </c>
      <c r="BC9" s="135" t="n">
        <v>238</v>
      </c>
      <c r="BD9" s="136" t="n">
        <v>0.42</v>
      </c>
      <c r="BE9" s="135" t="n">
        <v>2166</v>
      </c>
      <c r="BF9" s="137" t="n">
        <v>18</v>
      </c>
      <c r="BG9" s="137" t="n">
        <v>9.800000000000001</v>
      </c>
      <c r="BH9" s="137" t="n">
        <v>8</v>
      </c>
      <c r="BI9" s="137" t="n">
        <v>92.09999999999999</v>
      </c>
      <c r="BJ9" s="137" t="n">
        <v>15.6</v>
      </c>
      <c r="BK9" s="137" t="n">
        <v>80.59999999999999</v>
      </c>
      <c r="BL9" s="137" t="n">
        <v>23.1</v>
      </c>
      <c r="BM9" s="137" t="n">
        <v>21.2</v>
      </c>
      <c r="BN9" s="137" t="n">
        <v>42.8</v>
      </c>
      <c r="BO9" s="138" t="n">
        <v>39.4</v>
      </c>
    </row>
    <row r="10" ht="30" customHeight="1">
      <c r="A10" s="3" t="inlineStr">
        <is>
          <t>NORD</t>
        </is>
      </c>
      <c r="B10" s="3" t="inlineStr">
        <is>
          <t>CUL DE FOUR</t>
        </is>
      </c>
      <c r="C10" s="3" t="inlineStr">
        <is>
          <t>Cul de Four</t>
        </is>
      </c>
      <c r="D10" s="135" t="n">
        <v>534</v>
      </c>
      <c r="E10" s="135" t="n">
        <v>304</v>
      </c>
      <c r="F10" s="135" t="n">
        <v>233</v>
      </c>
      <c r="G10" s="135" t="n">
        <v>483</v>
      </c>
      <c r="H10" s="135" t="n">
        <v>272</v>
      </c>
      <c r="I10" s="135" t="n">
        <v>216</v>
      </c>
      <c r="J10" s="135" t="n">
        <v>189</v>
      </c>
      <c r="K10" s="135" t="n">
        <v>153</v>
      </c>
      <c r="L10" s="135" t="n">
        <v>77</v>
      </c>
      <c r="M10" s="135" t="n">
        <v>38</v>
      </c>
      <c r="N10" s="135" t="n">
        <v>36</v>
      </c>
      <c r="O10" s="135" t="n">
        <v>266</v>
      </c>
      <c r="P10" s="135" t="n">
        <v>144</v>
      </c>
      <c r="Q10" s="135" t="n">
        <v>118</v>
      </c>
      <c r="R10" s="135" t="n">
        <v>140</v>
      </c>
      <c r="S10" s="135" t="n">
        <v>90</v>
      </c>
      <c r="T10" s="135" t="n">
        <v>53</v>
      </c>
      <c r="U10" s="135" t="n">
        <v>336</v>
      </c>
      <c r="V10" s="135" t="n">
        <v>152</v>
      </c>
      <c r="W10" s="135" t="n">
        <v>144</v>
      </c>
      <c r="X10" s="135" t="n">
        <v>73</v>
      </c>
      <c r="Y10" s="135" t="n">
        <v>65</v>
      </c>
      <c r="Z10" s="135" t="n">
        <v>177</v>
      </c>
      <c r="AA10" s="135" t="n">
        <v>113</v>
      </c>
      <c r="AB10" s="135" t="n">
        <v>67</v>
      </c>
      <c r="AC10" s="135" t="n">
        <v>91</v>
      </c>
      <c r="AD10" s="135" t="n">
        <v>45</v>
      </c>
      <c r="AE10" s="135" t="n">
        <v>42</v>
      </c>
      <c r="AF10" s="135" t="n">
        <v>67</v>
      </c>
      <c r="AG10" s="135" t="n">
        <v>37</v>
      </c>
      <c r="AH10" s="135" t="n">
        <v>26</v>
      </c>
      <c r="AI10" s="135" t="n">
        <v>186</v>
      </c>
      <c r="AJ10" s="135" t="n">
        <v>102</v>
      </c>
      <c r="AK10" s="135" t="n">
        <v>79</v>
      </c>
      <c r="AL10" s="135" t="n">
        <v>105</v>
      </c>
      <c r="AM10" s="135" t="n">
        <v>73</v>
      </c>
      <c r="AN10" s="135" t="n">
        <v>39</v>
      </c>
      <c r="AO10" s="135" t="n">
        <v>100</v>
      </c>
      <c r="AP10" s="135" t="n">
        <v>41</v>
      </c>
      <c r="AQ10" s="135" t="n">
        <v>54</v>
      </c>
      <c r="AR10" s="135" t="n">
        <v>95</v>
      </c>
      <c r="AS10" s="135" t="n">
        <v>61</v>
      </c>
      <c r="AT10" s="135" t="n">
        <v>39</v>
      </c>
      <c r="AU10" s="135" t="n">
        <v>36</v>
      </c>
      <c r="AV10" s="135" t="n">
        <v>26</v>
      </c>
      <c r="AW10" s="135" t="n">
        <v>56</v>
      </c>
      <c r="AX10" s="135" t="n">
        <v>21</v>
      </c>
      <c r="AY10" s="135" t="n">
        <v>343</v>
      </c>
      <c r="AZ10" s="135" t="n">
        <v>266</v>
      </c>
      <c r="BA10" s="135" t="n">
        <v>139</v>
      </c>
      <c r="BB10" s="135" t="n">
        <v>131</v>
      </c>
      <c r="BC10" s="135" t="n">
        <v>346</v>
      </c>
      <c r="BD10" s="136" t="n">
        <v>0.5600000000000001</v>
      </c>
      <c r="BE10" s="135" t="n">
        <v>3471</v>
      </c>
      <c r="BF10" s="137" t="n">
        <v>15.4</v>
      </c>
      <c r="BG10" s="137" t="n">
        <v>8.800000000000001</v>
      </c>
      <c r="BH10" s="137" t="n">
        <v>6.7</v>
      </c>
      <c r="BI10" s="137" t="n">
        <v>90.40000000000001</v>
      </c>
      <c r="BJ10" s="137" t="n">
        <v>15.9</v>
      </c>
      <c r="BK10" s="137" t="n">
        <v>85.3</v>
      </c>
      <c r="BL10" s="137" t="n">
        <v>19.7</v>
      </c>
      <c r="BM10" s="137" t="n">
        <v>17.8</v>
      </c>
      <c r="BN10" s="137" t="n">
        <v>55.1</v>
      </c>
      <c r="BO10" s="138" t="n">
        <v>49.8</v>
      </c>
    </row>
    <row r="11" ht="30" customHeight="1">
      <c r="A11" s="3" t="inlineStr">
        <is>
          <t>NORD</t>
        </is>
      </c>
      <c r="B11" s="3" t="inlineStr">
        <is>
          <t>HOMMELET</t>
        </is>
      </c>
      <c r="C11" s="3" t="inlineStr">
        <is>
          <t>Hommelet Nord</t>
        </is>
      </c>
      <c r="D11" s="135" t="n">
        <v>392</v>
      </c>
      <c r="E11" s="135" t="n">
        <v>219</v>
      </c>
      <c r="F11" s="135" t="n">
        <v>177</v>
      </c>
      <c r="G11" s="135" t="n">
        <v>360</v>
      </c>
      <c r="H11" s="135" t="n">
        <v>204</v>
      </c>
      <c r="I11" s="135" t="n">
        <v>161</v>
      </c>
      <c r="J11" s="135" t="n">
        <v>134</v>
      </c>
      <c r="K11" s="135" t="n">
        <v>123</v>
      </c>
      <c r="L11" s="135" t="n">
        <v>65</v>
      </c>
      <c r="M11" s="135" t="n">
        <v>40</v>
      </c>
      <c r="N11" s="135" t="n">
        <v>29</v>
      </c>
      <c r="O11" s="135" t="n">
        <v>217</v>
      </c>
      <c r="P11" s="135" t="n">
        <v>116</v>
      </c>
      <c r="Q11" s="135" t="n">
        <v>98</v>
      </c>
      <c r="R11" s="135" t="n">
        <v>85</v>
      </c>
      <c r="S11" s="135" t="n">
        <v>47</v>
      </c>
      <c r="T11" s="135" t="n">
        <v>34</v>
      </c>
      <c r="U11" s="135" t="n">
        <v>267</v>
      </c>
      <c r="V11" s="135" t="n">
        <v>98</v>
      </c>
      <c r="W11" s="135" t="n">
        <v>81</v>
      </c>
      <c r="X11" s="135" t="n">
        <v>50</v>
      </c>
      <c r="Y11" s="135" t="n">
        <v>35</v>
      </c>
      <c r="Z11" s="135" t="n">
        <v>137</v>
      </c>
      <c r="AA11" s="135" t="n">
        <v>79</v>
      </c>
      <c r="AB11" s="135" t="n">
        <v>55</v>
      </c>
      <c r="AC11" s="135" t="n">
        <v>94</v>
      </c>
      <c r="AD11" s="135" t="n">
        <v>54</v>
      </c>
      <c r="AE11" s="135" t="n">
        <v>45</v>
      </c>
      <c r="AF11" s="135" t="n">
        <v>46</v>
      </c>
      <c r="AG11" s="135" t="n">
        <v>28</v>
      </c>
      <c r="AH11" s="135" t="n">
        <v>24</v>
      </c>
      <c r="AI11" s="135" t="n">
        <v>173</v>
      </c>
      <c r="AJ11" s="135" t="n">
        <v>105</v>
      </c>
      <c r="AK11" s="135" t="n">
        <v>72</v>
      </c>
      <c r="AL11" s="135" t="n">
        <v>62</v>
      </c>
      <c r="AM11" s="135" t="n">
        <v>38</v>
      </c>
      <c r="AN11" s="135" t="n">
        <v>28</v>
      </c>
      <c r="AO11" s="135" t="n">
        <v>71</v>
      </c>
      <c r="AP11" s="135" t="n">
        <v>38</v>
      </c>
      <c r="AQ11" s="135" t="n">
        <v>37</v>
      </c>
      <c r="AR11" s="135" t="n">
        <v>51</v>
      </c>
      <c r="AS11" s="135" t="n">
        <v>27</v>
      </c>
      <c r="AT11" s="135" t="n">
        <v>27</v>
      </c>
      <c r="AU11" s="135" t="n">
        <v>23</v>
      </c>
      <c r="AV11" s="135" t="n">
        <v>20</v>
      </c>
      <c r="AW11" s="135" t="n">
        <v>46</v>
      </c>
      <c r="AX11" s="135" t="n">
        <v>23</v>
      </c>
      <c r="AY11" s="135" t="n">
        <v>247</v>
      </c>
      <c r="AZ11" s="135" t="n">
        <v>192</v>
      </c>
      <c r="BA11" s="135" t="n">
        <v>102</v>
      </c>
      <c r="BB11" s="135" t="n">
        <v>87</v>
      </c>
      <c r="BC11" s="135" t="n">
        <v>252</v>
      </c>
      <c r="BD11" s="136" t="n">
        <v>0.18</v>
      </c>
      <c r="BE11" s="135" t="n">
        <v>2308</v>
      </c>
      <c r="BF11" s="137" t="n">
        <v>17</v>
      </c>
      <c r="BG11" s="137" t="n">
        <v>9.5</v>
      </c>
      <c r="BH11" s="137" t="n">
        <v>7.7</v>
      </c>
      <c r="BI11" s="137" t="n">
        <v>91.8</v>
      </c>
      <c r="BJ11" s="137" t="n">
        <v>18.1</v>
      </c>
      <c r="BK11" s="137" t="n">
        <v>86.7</v>
      </c>
      <c r="BL11" s="137" t="n">
        <v>14.2</v>
      </c>
      <c r="BM11" s="137" t="n">
        <v>13</v>
      </c>
      <c r="BN11" s="137" t="n">
        <v>53.3</v>
      </c>
      <c r="BO11" s="138" t="n">
        <v>49</v>
      </c>
    </row>
    <row r="12" ht="30" customHeight="1">
      <c r="A12" s="3" t="inlineStr">
        <is>
          <t>NORD</t>
        </is>
      </c>
      <c r="B12" s="3" t="inlineStr">
        <is>
          <t>HOMMELET</t>
        </is>
      </c>
      <c r="C12" s="3" t="inlineStr">
        <is>
          <t>Hommelet Centre</t>
        </is>
      </c>
      <c r="D12" s="135" t="n">
        <v>738</v>
      </c>
      <c r="E12" s="135" t="n">
        <v>464</v>
      </c>
      <c r="F12" s="135" t="n">
        <v>277</v>
      </c>
      <c r="G12" s="135" t="n">
        <v>666</v>
      </c>
      <c r="H12" s="135" t="n">
        <v>421</v>
      </c>
      <c r="I12" s="135" t="n">
        <v>249</v>
      </c>
      <c r="J12" s="135" t="n">
        <v>298</v>
      </c>
      <c r="K12" s="135" t="n">
        <v>170</v>
      </c>
      <c r="L12" s="135" t="n">
        <v>87</v>
      </c>
      <c r="M12" s="135" t="n">
        <v>39</v>
      </c>
      <c r="N12" s="135" t="n">
        <v>52</v>
      </c>
      <c r="O12" s="135" t="n">
        <v>398</v>
      </c>
      <c r="P12" s="135" t="n">
        <v>261</v>
      </c>
      <c r="Q12" s="135" t="n">
        <v>140</v>
      </c>
      <c r="R12" s="135" t="n">
        <v>182</v>
      </c>
      <c r="S12" s="135" t="n">
        <v>131</v>
      </c>
      <c r="T12" s="135" t="n">
        <v>57</v>
      </c>
      <c r="U12" s="135" t="n">
        <v>482</v>
      </c>
      <c r="V12" s="135" t="n">
        <v>176</v>
      </c>
      <c r="W12" s="135" t="n">
        <v>175</v>
      </c>
      <c r="X12" s="135" t="n">
        <v>106</v>
      </c>
      <c r="Y12" s="135" t="n">
        <v>73</v>
      </c>
      <c r="Z12" s="135" t="n">
        <v>278</v>
      </c>
      <c r="AA12" s="135" t="n">
        <v>196</v>
      </c>
      <c r="AB12" s="135" t="n">
        <v>78</v>
      </c>
      <c r="AC12" s="135" t="n">
        <v>141</v>
      </c>
      <c r="AD12" s="135" t="n">
        <v>86</v>
      </c>
      <c r="AE12" s="135" t="n">
        <v>58</v>
      </c>
      <c r="AF12" s="135" t="n">
        <v>73</v>
      </c>
      <c r="AG12" s="135" t="n">
        <v>30</v>
      </c>
      <c r="AH12" s="135" t="n">
        <v>39</v>
      </c>
      <c r="AI12" s="135" t="n">
        <v>297</v>
      </c>
      <c r="AJ12" s="135" t="n">
        <v>187</v>
      </c>
      <c r="AK12" s="135" t="n">
        <v>114</v>
      </c>
      <c r="AL12" s="135" t="n">
        <v>125</v>
      </c>
      <c r="AM12" s="135" t="n">
        <v>73</v>
      </c>
      <c r="AN12" s="135" t="n">
        <v>48</v>
      </c>
      <c r="AO12" s="135" t="n">
        <v>118</v>
      </c>
      <c r="AP12" s="135" t="n">
        <v>69</v>
      </c>
      <c r="AQ12" s="135" t="n">
        <v>46</v>
      </c>
      <c r="AR12" s="135" t="n">
        <v>129</v>
      </c>
      <c r="AS12" s="135" t="n">
        <v>88</v>
      </c>
      <c r="AT12" s="135" t="n">
        <v>47</v>
      </c>
      <c r="AU12" s="135" t="n">
        <v>42</v>
      </c>
      <c r="AV12" s="135" t="n">
        <v>44</v>
      </c>
      <c r="AW12" s="135" t="n">
        <v>59</v>
      </c>
      <c r="AX12" s="135" t="n">
        <v>57</v>
      </c>
      <c r="AY12" s="135" t="n">
        <v>465</v>
      </c>
      <c r="AZ12" s="135" t="n">
        <v>381</v>
      </c>
      <c r="BA12" s="135" t="n">
        <v>250</v>
      </c>
      <c r="BB12" s="135" t="n">
        <v>135</v>
      </c>
      <c r="BC12" s="135" t="n">
        <v>473</v>
      </c>
      <c r="BD12" s="136" t="n">
        <v>0.28</v>
      </c>
      <c r="BE12" s="135" t="n">
        <v>2774</v>
      </c>
      <c r="BF12" s="137" t="n">
        <v>26.6</v>
      </c>
      <c r="BG12" s="137" t="n">
        <v>16.7</v>
      </c>
      <c r="BH12" s="137" t="n">
        <v>10</v>
      </c>
      <c r="BI12" s="137" t="n">
        <v>90.2</v>
      </c>
      <c r="BJ12" s="137" t="n">
        <v>13.1</v>
      </c>
      <c r="BK12" s="137" t="n">
        <v>89.2</v>
      </c>
      <c r="BL12" s="137" t="n">
        <v>19.4</v>
      </c>
      <c r="BM12" s="137" t="n">
        <v>17.5</v>
      </c>
      <c r="BN12" s="137" t="n">
        <v>57.2</v>
      </c>
      <c r="BO12" s="138" t="n">
        <v>51.6</v>
      </c>
    </row>
    <row r="13" ht="30" customHeight="1">
      <c r="A13" s="3" t="inlineStr">
        <is>
          <t>NORD</t>
        </is>
      </c>
      <c r="B13" s="3" t="inlineStr">
        <is>
          <t>HOMMELET</t>
        </is>
      </c>
      <c r="C13" s="3" t="inlineStr">
        <is>
          <t>Hommelet Sud</t>
        </is>
      </c>
      <c r="D13" s="135" t="n">
        <v>406</v>
      </c>
      <c r="E13" s="135" t="n">
        <v>235</v>
      </c>
      <c r="F13" s="135" t="n">
        <v>175</v>
      </c>
      <c r="G13" s="135" t="n">
        <v>374</v>
      </c>
      <c r="H13" s="135" t="n">
        <v>212</v>
      </c>
      <c r="I13" s="135" t="n">
        <v>158</v>
      </c>
      <c r="J13" s="135" t="n">
        <v>159</v>
      </c>
      <c r="K13" s="135" t="n">
        <v>106</v>
      </c>
      <c r="L13" s="135" t="n">
        <v>50</v>
      </c>
      <c r="M13" s="135" t="n">
        <v>26</v>
      </c>
      <c r="N13" s="135" t="n">
        <v>20</v>
      </c>
      <c r="O13" s="135" t="n">
        <v>210</v>
      </c>
      <c r="P13" s="135" t="n">
        <v>126</v>
      </c>
      <c r="Q13" s="135" t="n">
        <v>80</v>
      </c>
      <c r="R13" s="135" t="n">
        <v>122</v>
      </c>
      <c r="S13" s="135" t="n">
        <v>60</v>
      </c>
      <c r="T13" s="135" t="n">
        <v>58</v>
      </c>
      <c r="U13" s="135" t="n">
        <v>252</v>
      </c>
      <c r="V13" s="135" t="n">
        <v>125</v>
      </c>
      <c r="W13" s="135" t="n">
        <v>104</v>
      </c>
      <c r="X13" s="135" t="n">
        <v>57</v>
      </c>
      <c r="Y13" s="135" t="n">
        <v>51</v>
      </c>
      <c r="Z13" s="135" t="n">
        <v>128</v>
      </c>
      <c r="AA13" s="135" t="n">
        <v>82</v>
      </c>
      <c r="AB13" s="135" t="n">
        <v>52</v>
      </c>
      <c r="AC13" s="135" t="n">
        <v>71</v>
      </c>
      <c r="AD13" s="135" t="n">
        <v>42</v>
      </c>
      <c r="AE13" s="135" t="n">
        <v>34</v>
      </c>
      <c r="AF13" s="135" t="n">
        <v>65</v>
      </c>
      <c r="AG13" s="135" t="n">
        <v>28</v>
      </c>
      <c r="AH13" s="135" t="n">
        <v>32</v>
      </c>
      <c r="AI13" s="135" t="n">
        <v>168</v>
      </c>
      <c r="AJ13" s="135" t="n">
        <v>99</v>
      </c>
      <c r="AK13" s="135" t="n">
        <v>72</v>
      </c>
      <c r="AL13" s="135" t="n">
        <v>61</v>
      </c>
      <c r="AM13" s="135" t="n">
        <v>39</v>
      </c>
      <c r="AN13" s="135" t="n">
        <v>26</v>
      </c>
      <c r="AO13" s="135" t="n">
        <v>80</v>
      </c>
      <c r="AP13" s="135" t="n">
        <v>53</v>
      </c>
      <c r="AQ13" s="135" t="n">
        <v>30</v>
      </c>
      <c r="AR13" s="135" t="n">
        <v>70</v>
      </c>
      <c r="AS13" s="135" t="n">
        <v>32</v>
      </c>
      <c r="AT13" s="135" t="n">
        <v>33</v>
      </c>
      <c r="AU13" s="135" t="n">
        <v>18</v>
      </c>
      <c r="AV13" s="135" t="n">
        <v>28</v>
      </c>
      <c r="AW13" s="135" t="n">
        <v>40</v>
      </c>
      <c r="AX13" s="135" t="n">
        <v>22</v>
      </c>
      <c r="AY13" s="135" t="n">
        <v>264</v>
      </c>
      <c r="AZ13" s="135" t="n">
        <v>176</v>
      </c>
      <c r="BA13" s="135" t="n">
        <v>109</v>
      </c>
      <c r="BB13" s="135" t="n">
        <v>64</v>
      </c>
      <c r="BC13" s="135" t="n">
        <v>269</v>
      </c>
      <c r="BD13" s="136" t="n">
        <v>0.21</v>
      </c>
      <c r="BE13" s="135" t="n">
        <v>2353</v>
      </c>
      <c r="BF13" s="137" t="n">
        <v>17.3</v>
      </c>
      <c r="BG13" s="137" t="n">
        <v>10</v>
      </c>
      <c r="BH13" s="137" t="n">
        <v>7.4</v>
      </c>
      <c r="BI13" s="137" t="n">
        <v>92.09999999999999</v>
      </c>
      <c r="BJ13" s="137" t="n">
        <v>13.4</v>
      </c>
      <c r="BK13" s="137" t="n">
        <v>81</v>
      </c>
      <c r="BL13" s="137" t="n">
        <v>18.7</v>
      </c>
      <c r="BM13" s="137" t="n">
        <v>17.2</v>
      </c>
      <c r="BN13" s="137" t="n">
        <v>47.1</v>
      </c>
      <c r="BO13" s="138" t="n">
        <v>43.3</v>
      </c>
    </row>
    <row r="14" ht="30" customHeight="1">
      <c r="A14" s="3" t="inlineStr">
        <is>
          <t>OUEST</t>
        </is>
      </c>
      <c r="B14" s="3" t="inlineStr">
        <is>
          <t>EPEULE</t>
        </is>
      </c>
      <c r="C14" s="3" t="inlineStr">
        <is>
          <t>Épeule Nord</t>
        </is>
      </c>
      <c r="D14" s="135" t="n">
        <v>271</v>
      </c>
      <c r="E14" s="135" t="n">
        <v>142</v>
      </c>
      <c r="F14" s="135" t="n">
        <v>125</v>
      </c>
      <c r="G14" s="135" t="n">
        <v>248</v>
      </c>
      <c r="H14" s="135" t="n">
        <v>133</v>
      </c>
      <c r="I14" s="135" t="n">
        <v>119</v>
      </c>
      <c r="J14" s="135" t="n">
        <v>93</v>
      </c>
      <c r="K14" s="135" t="n">
        <v>81</v>
      </c>
      <c r="L14" s="135" t="n">
        <v>28</v>
      </c>
      <c r="M14" s="135" t="n">
        <v>11</v>
      </c>
      <c r="N14" s="135" t="n">
        <v>13</v>
      </c>
      <c r="O14" s="135" t="n">
        <v>151</v>
      </c>
      <c r="P14" s="135" t="n">
        <v>85</v>
      </c>
      <c r="Q14" s="135" t="n">
        <v>60</v>
      </c>
      <c r="R14" s="135" t="n">
        <v>70</v>
      </c>
      <c r="S14" s="135" t="n">
        <v>37</v>
      </c>
      <c r="T14" s="135" t="n">
        <v>36</v>
      </c>
      <c r="U14" s="135" t="n">
        <v>149</v>
      </c>
      <c r="V14" s="135" t="n">
        <v>95</v>
      </c>
      <c r="W14" s="135" t="n">
        <v>71</v>
      </c>
      <c r="X14" s="135" t="n">
        <v>40</v>
      </c>
      <c r="Y14" s="135" t="n">
        <v>34</v>
      </c>
      <c r="Z14" s="135" t="n">
        <v>82</v>
      </c>
      <c r="AA14" s="135" t="n">
        <v>52</v>
      </c>
      <c r="AB14" s="135" t="n">
        <v>33</v>
      </c>
      <c r="AC14" s="135" t="n">
        <v>39</v>
      </c>
      <c r="AD14" s="135" t="n">
        <v>24</v>
      </c>
      <c r="AE14" s="135" t="n">
        <v>19</v>
      </c>
      <c r="AF14" s="135" t="n">
        <v>51</v>
      </c>
      <c r="AG14" s="135" t="n">
        <v>20</v>
      </c>
      <c r="AH14" s="135" t="n">
        <v>26</v>
      </c>
      <c r="AI14" s="135" t="n">
        <v>101</v>
      </c>
      <c r="AJ14" s="135" t="n">
        <v>58</v>
      </c>
      <c r="AK14" s="135" t="n">
        <v>47</v>
      </c>
      <c r="AL14" s="135" t="n">
        <v>38</v>
      </c>
      <c r="AM14" s="135" t="n">
        <v>18</v>
      </c>
      <c r="AN14" s="135" t="n">
        <v>23</v>
      </c>
      <c r="AO14" s="135" t="n">
        <v>48</v>
      </c>
      <c r="AP14" s="135" t="n">
        <v>26</v>
      </c>
      <c r="AQ14" s="135" t="n">
        <v>27</v>
      </c>
      <c r="AR14" s="135" t="n">
        <v>50</v>
      </c>
      <c r="AS14" s="135" t="n">
        <v>27</v>
      </c>
      <c r="AT14" s="135" t="n">
        <v>27</v>
      </c>
      <c r="AU14" s="135" t="n">
        <v>12</v>
      </c>
      <c r="AV14" s="135" t="n">
        <v>22</v>
      </c>
      <c r="AW14" s="135" t="n">
        <v>33</v>
      </c>
      <c r="AX14" s="135" t="n">
        <v>12</v>
      </c>
      <c r="AY14" s="135" t="n">
        <v>169</v>
      </c>
      <c r="AZ14" s="135" t="n">
        <v>126</v>
      </c>
      <c r="BA14" s="135" t="n">
        <v>68</v>
      </c>
      <c r="BB14" s="135" t="n">
        <v>54</v>
      </c>
      <c r="BC14" s="135" t="n">
        <v>171</v>
      </c>
      <c r="BD14" s="136" t="n">
        <v>0.15</v>
      </c>
      <c r="BE14" s="135" t="n">
        <v>1947</v>
      </c>
      <c r="BF14" s="137" t="n">
        <v>13.9</v>
      </c>
      <c r="BG14" s="137" t="n">
        <v>7.3</v>
      </c>
      <c r="BH14" s="137" t="n">
        <v>6.4</v>
      </c>
      <c r="BI14" s="137" t="n">
        <v>91.5</v>
      </c>
      <c r="BJ14" s="137" t="n">
        <v>11.3</v>
      </c>
      <c r="BK14" s="137" t="n">
        <v>77.40000000000001</v>
      </c>
      <c r="BL14" s="137" t="n">
        <v>20.2</v>
      </c>
      <c r="BM14" s="137" t="n">
        <v>18.5</v>
      </c>
      <c r="BN14" s="137" t="n">
        <v>50.8</v>
      </c>
      <c r="BO14" s="138" t="n">
        <v>46.5</v>
      </c>
    </row>
    <row r="15" ht="30" customHeight="1">
      <c r="A15" s="3" t="inlineStr">
        <is>
          <t>OUEST</t>
        </is>
      </c>
      <c r="B15" s="3" t="inlineStr">
        <is>
          <t>EPEULE</t>
        </is>
      </c>
      <c r="C15" s="3" t="inlineStr">
        <is>
          <t>Épeule Centre</t>
        </is>
      </c>
      <c r="D15" s="135" t="n">
        <v>627</v>
      </c>
      <c r="E15" s="135" t="n">
        <v>385</v>
      </c>
      <c r="F15" s="135" t="n">
        <v>245</v>
      </c>
      <c r="G15" s="135" t="n">
        <v>570</v>
      </c>
      <c r="H15" s="135" t="n">
        <v>347</v>
      </c>
      <c r="I15" s="135" t="n">
        <v>219</v>
      </c>
      <c r="J15" s="135" t="n">
        <v>261</v>
      </c>
      <c r="K15" s="135" t="n">
        <v>143</v>
      </c>
      <c r="L15" s="135" t="n">
        <v>84</v>
      </c>
      <c r="M15" s="135" t="n">
        <v>47</v>
      </c>
      <c r="N15" s="135" t="n">
        <v>34</v>
      </c>
      <c r="O15" s="135" t="n">
        <v>335</v>
      </c>
      <c r="P15" s="135" t="n">
        <v>209</v>
      </c>
      <c r="Q15" s="135" t="n">
        <v>122</v>
      </c>
      <c r="R15" s="135" t="n">
        <v>151</v>
      </c>
      <c r="S15" s="135" t="n">
        <v>91</v>
      </c>
      <c r="T15" s="135" t="n">
        <v>63</v>
      </c>
      <c r="U15" s="135" t="n">
        <v>387</v>
      </c>
      <c r="V15" s="135" t="n">
        <v>179</v>
      </c>
      <c r="W15" s="135" t="n">
        <v>182</v>
      </c>
      <c r="X15" s="135" t="n">
        <v>103</v>
      </c>
      <c r="Y15" s="135" t="n">
        <v>75</v>
      </c>
      <c r="Z15" s="135" t="n">
        <v>170</v>
      </c>
      <c r="AA15" s="135" t="n">
        <v>119</v>
      </c>
      <c r="AB15" s="135" t="n">
        <v>48</v>
      </c>
      <c r="AC15" s="135" t="n">
        <v>125</v>
      </c>
      <c r="AD15" s="135" t="n">
        <v>77</v>
      </c>
      <c r="AE15" s="135" t="n">
        <v>43</v>
      </c>
      <c r="AF15" s="135" t="n">
        <v>94</v>
      </c>
      <c r="AG15" s="135" t="n">
        <v>48</v>
      </c>
      <c r="AH15" s="135" t="n">
        <v>43</v>
      </c>
      <c r="AI15" s="135" t="n">
        <v>248</v>
      </c>
      <c r="AJ15" s="135" t="n">
        <v>157</v>
      </c>
      <c r="AK15" s="135" t="n">
        <v>94</v>
      </c>
      <c r="AL15" s="135" t="n">
        <v>102</v>
      </c>
      <c r="AM15" s="135" t="n">
        <v>64</v>
      </c>
      <c r="AN15" s="135" t="n">
        <v>42</v>
      </c>
      <c r="AO15" s="135" t="n">
        <v>118</v>
      </c>
      <c r="AP15" s="135" t="n">
        <v>69</v>
      </c>
      <c r="AQ15" s="135" t="n">
        <v>45</v>
      </c>
      <c r="AR15" s="135" t="n">
        <v>99</v>
      </c>
      <c r="AS15" s="135" t="n">
        <v>61</v>
      </c>
      <c r="AT15" s="135" t="n">
        <v>34</v>
      </c>
      <c r="AU15" s="135" t="n">
        <v>41</v>
      </c>
      <c r="AV15" s="135" t="n">
        <v>41</v>
      </c>
      <c r="AW15" s="135" t="n">
        <v>59</v>
      </c>
      <c r="AX15" s="135" t="n">
        <v>38</v>
      </c>
      <c r="AY15" s="135" t="n">
        <v>391</v>
      </c>
      <c r="AZ15" s="135" t="n">
        <v>272</v>
      </c>
      <c r="BA15" s="135" t="n">
        <v>160</v>
      </c>
      <c r="BB15" s="135" t="n">
        <v>117</v>
      </c>
      <c r="BC15" s="135" t="n">
        <v>396</v>
      </c>
      <c r="BD15" s="136" t="n">
        <v>0.2</v>
      </c>
      <c r="BE15" s="135" t="n">
        <v>2457</v>
      </c>
      <c r="BF15" s="137" t="n">
        <v>25.5</v>
      </c>
      <c r="BG15" s="137" t="n">
        <v>15.7</v>
      </c>
      <c r="BH15" s="137" t="n">
        <v>10</v>
      </c>
      <c r="BI15" s="137" t="n">
        <v>90.90000000000001</v>
      </c>
      <c r="BJ15" s="137" t="n">
        <v>14.7</v>
      </c>
      <c r="BK15" s="137" t="n">
        <v>83.7</v>
      </c>
      <c r="BL15" s="137" t="n">
        <v>17.4</v>
      </c>
      <c r="BM15" s="137" t="n">
        <v>15.8</v>
      </c>
      <c r="BN15" s="137" t="n">
        <v>47.7</v>
      </c>
      <c r="BO15" s="138" t="n">
        <v>43.4</v>
      </c>
    </row>
    <row r="16" ht="30" customHeight="1">
      <c r="A16" s="3" t="inlineStr">
        <is>
          <t>OUEST</t>
        </is>
      </c>
      <c r="B16" s="3" t="inlineStr">
        <is>
          <t>EPEULE</t>
        </is>
      </c>
      <c r="C16" s="3" t="inlineStr">
        <is>
          <t>Épeule Sud</t>
        </is>
      </c>
      <c r="D16" s="135" t="n">
        <v>339</v>
      </c>
      <c r="E16" s="135" t="n">
        <v>197</v>
      </c>
      <c r="F16" s="135" t="n">
        <v>145</v>
      </c>
      <c r="G16" s="135" t="n">
        <v>316</v>
      </c>
      <c r="H16" s="135" t="n">
        <v>180</v>
      </c>
      <c r="I16" s="135" t="n">
        <v>132</v>
      </c>
      <c r="J16" s="135" t="n">
        <v>121</v>
      </c>
      <c r="K16" s="135" t="n">
        <v>91</v>
      </c>
      <c r="L16" s="135" t="n">
        <v>49</v>
      </c>
      <c r="M16" s="135" t="n">
        <v>30</v>
      </c>
      <c r="N16" s="135" t="n">
        <v>24</v>
      </c>
      <c r="O16" s="135" t="n">
        <v>170</v>
      </c>
      <c r="P16" s="135" t="n">
        <v>96</v>
      </c>
      <c r="Q16" s="135" t="n">
        <v>70</v>
      </c>
      <c r="R16" s="135" t="n">
        <v>98</v>
      </c>
      <c r="S16" s="135" t="n">
        <v>55</v>
      </c>
      <c r="T16" s="135" t="n">
        <v>39</v>
      </c>
      <c r="U16" s="135" t="n">
        <v>256</v>
      </c>
      <c r="V16" s="135" t="n">
        <v>57</v>
      </c>
      <c r="W16" s="135" t="n">
        <v>74</v>
      </c>
      <c r="X16" s="135" t="n">
        <v>41</v>
      </c>
      <c r="Y16" s="135" t="n">
        <v>29</v>
      </c>
      <c r="Z16" s="135" t="n">
        <v>96</v>
      </c>
      <c r="AA16" s="135" t="n">
        <v>57</v>
      </c>
      <c r="AB16" s="135" t="n">
        <v>35</v>
      </c>
      <c r="AC16" s="135" t="n">
        <v>69</v>
      </c>
      <c r="AD16" s="135" t="n">
        <v>39</v>
      </c>
      <c r="AE16" s="135" t="n">
        <v>34</v>
      </c>
      <c r="AF16" s="135" t="n">
        <v>74</v>
      </c>
      <c r="AG16" s="135" t="n">
        <v>39</v>
      </c>
      <c r="AH16" s="135" t="n">
        <v>39</v>
      </c>
      <c r="AI16" s="135" t="n">
        <v>130</v>
      </c>
      <c r="AJ16" s="135" t="n">
        <v>73</v>
      </c>
      <c r="AK16" s="135" t="n">
        <v>61</v>
      </c>
      <c r="AL16" s="135" t="n">
        <v>59</v>
      </c>
      <c r="AM16" s="135" t="n">
        <v>35</v>
      </c>
      <c r="AN16" s="135" t="n">
        <v>20</v>
      </c>
      <c r="AO16" s="135" t="n">
        <v>59</v>
      </c>
      <c r="AP16" s="135" t="n">
        <v>30</v>
      </c>
      <c r="AQ16" s="135" t="n">
        <v>33</v>
      </c>
      <c r="AR16" s="135" t="n">
        <v>64</v>
      </c>
      <c r="AS16" s="135" t="n">
        <v>46</v>
      </c>
      <c r="AT16" s="135" t="n">
        <v>23</v>
      </c>
      <c r="AU16" s="135" t="n">
        <v>17</v>
      </c>
      <c r="AV16" s="135" t="n">
        <v>28</v>
      </c>
      <c r="AW16" s="135" t="n">
        <v>50</v>
      </c>
      <c r="AX16" s="135" t="n">
        <v>21</v>
      </c>
      <c r="AY16" s="135" t="n">
        <v>200</v>
      </c>
      <c r="AZ16" s="135" t="n">
        <v>135</v>
      </c>
      <c r="BA16" s="135" t="n">
        <v>75</v>
      </c>
      <c r="BB16" s="135" t="n">
        <v>55</v>
      </c>
      <c r="BC16" s="135" t="n">
        <v>209</v>
      </c>
      <c r="BD16" s="136" t="n">
        <v>0.15</v>
      </c>
      <c r="BE16" s="135" t="n">
        <v>2009</v>
      </c>
      <c r="BF16" s="137" t="n">
        <v>16.9</v>
      </c>
      <c r="BG16" s="137" t="n">
        <v>9.800000000000001</v>
      </c>
      <c r="BH16" s="137" t="n">
        <v>7.2</v>
      </c>
      <c r="BI16" s="137" t="n">
        <v>93.2</v>
      </c>
      <c r="BJ16" s="137" t="n">
        <v>15.5</v>
      </c>
      <c r="BK16" s="137" t="n">
        <v>75.59999999999999</v>
      </c>
      <c r="BL16" s="137" t="n">
        <v>20.3</v>
      </c>
      <c r="BM16" s="137" t="n">
        <v>18.9</v>
      </c>
      <c r="BN16" s="137" t="n">
        <v>42.7</v>
      </c>
      <c r="BO16" s="138" t="n">
        <v>39.8</v>
      </c>
    </row>
    <row r="17" ht="30" customHeight="1">
      <c r="A17" s="3" t="inlineStr">
        <is>
          <t>OUEST</t>
        </is>
      </c>
      <c r="B17" s="3" t="inlineStr">
        <is>
          <t>TRICHON</t>
        </is>
      </c>
      <c r="C17" s="3" t="inlineStr">
        <is>
          <t>Trichon</t>
        </is>
      </c>
      <c r="D17" s="135" t="n">
        <v>549</v>
      </c>
      <c r="E17" s="135" t="n">
        <v>306</v>
      </c>
      <c r="F17" s="135" t="n">
        <v>248</v>
      </c>
      <c r="G17" s="135" t="n">
        <v>496</v>
      </c>
      <c r="H17" s="135" t="n">
        <v>268</v>
      </c>
      <c r="I17" s="135" t="n">
        <v>223</v>
      </c>
      <c r="J17" s="135" t="n">
        <v>178</v>
      </c>
      <c r="K17" s="135" t="n">
        <v>142</v>
      </c>
      <c r="L17" s="135" t="n">
        <v>75</v>
      </c>
      <c r="M17" s="135" t="n">
        <v>36</v>
      </c>
      <c r="N17" s="135" t="n">
        <v>36</v>
      </c>
      <c r="O17" s="135" t="n">
        <v>305</v>
      </c>
      <c r="P17" s="135" t="n">
        <v>163</v>
      </c>
      <c r="Q17" s="135" t="n">
        <v>147</v>
      </c>
      <c r="R17" s="135" t="n">
        <v>115</v>
      </c>
      <c r="S17" s="135" t="n">
        <v>69</v>
      </c>
      <c r="T17" s="135" t="n">
        <v>42</v>
      </c>
      <c r="U17" s="135" t="n">
        <v>374</v>
      </c>
      <c r="V17" s="135" t="n">
        <v>123</v>
      </c>
      <c r="W17" s="135" t="n">
        <v>109</v>
      </c>
      <c r="X17" s="135" t="n">
        <v>55</v>
      </c>
      <c r="Y17" s="135" t="n">
        <v>51</v>
      </c>
      <c r="Z17" s="135" t="n">
        <v>164</v>
      </c>
      <c r="AA17" s="135" t="n">
        <v>103</v>
      </c>
      <c r="AB17" s="135" t="n">
        <v>58</v>
      </c>
      <c r="AC17" s="135" t="n">
        <v>103</v>
      </c>
      <c r="AD17" s="135" t="n">
        <v>56</v>
      </c>
      <c r="AE17" s="135" t="n">
        <v>52</v>
      </c>
      <c r="AF17" s="135" t="n">
        <v>116</v>
      </c>
      <c r="AG17" s="135" t="n">
        <v>52</v>
      </c>
      <c r="AH17" s="135" t="n">
        <v>61</v>
      </c>
      <c r="AI17" s="135" t="n">
        <v>214</v>
      </c>
      <c r="AJ17" s="135" t="n">
        <v>126</v>
      </c>
      <c r="AK17" s="135" t="n">
        <v>94</v>
      </c>
      <c r="AL17" s="135" t="n">
        <v>107</v>
      </c>
      <c r="AM17" s="135" t="n">
        <v>61</v>
      </c>
      <c r="AN17" s="135" t="n">
        <v>51</v>
      </c>
      <c r="AO17" s="135" t="n">
        <v>79</v>
      </c>
      <c r="AP17" s="135" t="n">
        <v>34</v>
      </c>
      <c r="AQ17" s="135" t="n">
        <v>48</v>
      </c>
      <c r="AR17" s="135" t="n">
        <v>99</v>
      </c>
      <c r="AS17" s="135" t="n">
        <v>52</v>
      </c>
      <c r="AT17" s="135" t="n">
        <v>43</v>
      </c>
      <c r="AU17" s="135" t="n">
        <v>21</v>
      </c>
      <c r="AV17" s="135" t="n">
        <v>31</v>
      </c>
      <c r="AW17" s="135" t="n">
        <v>77</v>
      </c>
      <c r="AX17" s="135" t="n">
        <v>37</v>
      </c>
      <c r="AY17" s="135" t="n">
        <v>330</v>
      </c>
      <c r="AZ17" s="135" t="n">
        <v>220</v>
      </c>
      <c r="BA17" s="135" t="n">
        <v>115</v>
      </c>
      <c r="BB17" s="135" t="n">
        <v>109</v>
      </c>
      <c r="BC17" s="135" t="n">
        <v>316</v>
      </c>
      <c r="BD17" s="136" t="n">
        <v>0.33</v>
      </c>
      <c r="BE17" s="135" t="n">
        <v>2886</v>
      </c>
      <c r="BF17" s="137" t="n">
        <v>19</v>
      </c>
      <c r="BG17" s="137" t="n">
        <v>10.6</v>
      </c>
      <c r="BH17" s="137" t="n">
        <v>8.6</v>
      </c>
      <c r="BI17" s="137" t="n">
        <v>90.3</v>
      </c>
      <c r="BJ17" s="137" t="n">
        <v>15.1</v>
      </c>
      <c r="BK17" s="137" t="n">
        <v>75.8</v>
      </c>
      <c r="BL17" s="137" t="n">
        <v>20</v>
      </c>
      <c r="BM17" s="137" t="n">
        <v>18</v>
      </c>
      <c r="BN17" s="137" t="n">
        <v>44.4</v>
      </c>
      <c r="BO17" s="138" t="n">
        <v>40.1</v>
      </c>
    </row>
    <row r="18" ht="30" customHeight="1">
      <c r="A18" s="3" t="inlineStr">
        <is>
          <t>CENTRE</t>
        </is>
      </c>
      <c r="B18" s="3" t="inlineStr">
        <is>
          <t>ESPERANCE/CROUY/CENTRE VILLE</t>
        </is>
      </c>
      <c r="C18" s="3" t="inlineStr">
        <is>
          <t>Espérance Centre</t>
        </is>
      </c>
      <c r="D18" s="135" t="n">
        <v>580</v>
      </c>
      <c r="E18" s="135" t="n">
        <v>306</v>
      </c>
      <c r="F18" s="135" t="n">
        <v>277</v>
      </c>
      <c r="G18" s="135" t="n">
        <v>527</v>
      </c>
      <c r="H18" s="135" t="n">
        <v>279</v>
      </c>
      <c r="I18" s="135" t="n">
        <v>251</v>
      </c>
      <c r="J18" s="135" t="n">
        <v>194</v>
      </c>
      <c r="K18" s="135" t="n">
        <v>162</v>
      </c>
      <c r="L18" s="135" t="n">
        <v>104</v>
      </c>
      <c r="M18" s="135" t="n">
        <v>41</v>
      </c>
      <c r="N18" s="135" t="n">
        <v>59</v>
      </c>
      <c r="O18" s="135" t="n">
        <v>317</v>
      </c>
      <c r="P18" s="135" t="n">
        <v>172</v>
      </c>
      <c r="Q18" s="135" t="n">
        <v>148</v>
      </c>
      <c r="R18" s="135" t="n">
        <v>106</v>
      </c>
      <c r="S18" s="135" t="n">
        <v>58</v>
      </c>
      <c r="T18" s="135" t="n">
        <v>44</v>
      </c>
      <c r="U18" s="135" t="n">
        <v>391</v>
      </c>
      <c r="V18" s="135" t="n">
        <v>138</v>
      </c>
      <c r="W18" s="135" t="n">
        <v>102</v>
      </c>
      <c r="X18" s="135" t="n">
        <v>67</v>
      </c>
      <c r="Y18" s="135" t="n">
        <v>38</v>
      </c>
      <c r="Z18" s="135" t="n">
        <v>139</v>
      </c>
      <c r="AA18" s="135" t="n">
        <v>79</v>
      </c>
      <c r="AB18" s="135" t="n">
        <v>55</v>
      </c>
      <c r="AC18" s="135" t="n">
        <v>127</v>
      </c>
      <c r="AD18" s="135" t="n">
        <v>59</v>
      </c>
      <c r="AE18" s="135" t="n">
        <v>64</v>
      </c>
      <c r="AF18" s="135" t="n">
        <v>155</v>
      </c>
      <c r="AG18" s="135" t="n">
        <v>72</v>
      </c>
      <c r="AH18" s="135" t="n">
        <v>87</v>
      </c>
      <c r="AI18" s="135" t="n">
        <v>240</v>
      </c>
      <c r="AJ18" s="135" t="n">
        <v>133</v>
      </c>
      <c r="AK18" s="135" t="n">
        <v>111</v>
      </c>
      <c r="AL18" s="135" t="n">
        <v>96</v>
      </c>
      <c r="AM18" s="135" t="n">
        <v>56</v>
      </c>
      <c r="AN18" s="135" t="n">
        <v>43</v>
      </c>
      <c r="AO18" s="135" t="n">
        <v>98</v>
      </c>
      <c r="AP18" s="135" t="n">
        <v>47</v>
      </c>
      <c r="AQ18" s="135" t="n">
        <v>54</v>
      </c>
      <c r="AR18" s="135" t="n">
        <v>89</v>
      </c>
      <c r="AS18" s="135" t="n">
        <v>46</v>
      </c>
      <c r="AT18" s="135" t="n">
        <v>39</v>
      </c>
      <c r="AU18" s="135" t="n">
        <v>34</v>
      </c>
      <c r="AV18" s="135" t="n">
        <v>53</v>
      </c>
      <c r="AW18" s="135" t="n">
        <v>73</v>
      </c>
      <c r="AX18" s="135" t="n">
        <v>38</v>
      </c>
      <c r="AY18" s="135" t="n">
        <v>337</v>
      </c>
      <c r="AZ18" s="135" t="n">
        <v>221</v>
      </c>
      <c r="BA18" s="135" t="n">
        <v>112</v>
      </c>
      <c r="BB18" s="135" t="n">
        <v>104</v>
      </c>
      <c r="BC18" s="135" t="n">
        <v>353</v>
      </c>
      <c r="BD18" s="136" t="n">
        <v>0.45</v>
      </c>
      <c r="BE18" s="135" t="n">
        <v>3519</v>
      </c>
      <c r="BF18" s="137" t="n">
        <v>16.5</v>
      </c>
      <c r="BG18" s="137" t="n">
        <v>8.699999999999999</v>
      </c>
      <c r="BH18" s="137" t="n">
        <v>7.9</v>
      </c>
      <c r="BI18" s="137" t="n">
        <v>90.90000000000001</v>
      </c>
      <c r="BJ18" s="137" t="n">
        <v>19.7</v>
      </c>
      <c r="BK18" s="137" t="n">
        <v>69.8</v>
      </c>
      <c r="BL18" s="137" t="n">
        <v>16.9</v>
      </c>
      <c r="BM18" s="137" t="n">
        <v>15.3</v>
      </c>
      <c r="BN18" s="137" t="n">
        <v>41.9</v>
      </c>
      <c r="BO18" s="138" t="n">
        <v>38.1</v>
      </c>
    </row>
    <row r="19" ht="30" customHeight="1">
      <c r="A19" s="3" t="inlineStr">
        <is>
          <t>CENTRE</t>
        </is>
      </c>
      <c r="B19" s="3" t="inlineStr">
        <is>
          <t>NATIONS UNIES</t>
        </is>
      </c>
      <c r="C19" s="3" t="inlineStr">
        <is>
          <t>Nations Unies</t>
        </is>
      </c>
      <c r="D19" s="135" t="n">
        <v>669</v>
      </c>
      <c r="E19" s="135" t="n">
        <v>372</v>
      </c>
      <c r="F19" s="135" t="n">
        <v>294</v>
      </c>
      <c r="G19" s="135" t="n">
        <v>601</v>
      </c>
      <c r="H19" s="135" t="n">
        <v>333</v>
      </c>
      <c r="I19" s="135" t="n">
        <v>271</v>
      </c>
      <c r="J19" s="135" t="n">
        <v>232</v>
      </c>
      <c r="K19" s="135" t="n">
        <v>190</v>
      </c>
      <c r="L19" s="135" t="n">
        <v>97</v>
      </c>
      <c r="M19" s="135" t="n">
        <v>50</v>
      </c>
      <c r="N19" s="135" t="n">
        <v>42</v>
      </c>
      <c r="O19" s="135" t="n">
        <v>345</v>
      </c>
      <c r="P19" s="135" t="n">
        <v>186</v>
      </c>
      <c r="Q19" s="135" t="n">
        <v>156</v>
      </c>
      <c r="R19" s="135" t="n">
        <v>167</v>
      </c>
      <c r="S19" s="135" t="n">
        <v>97</v>
      </c>
      <c r="T19" s="135" t="n">
        <v>75</v>
      </c>
      <c r="U19" s="135" t="n">
        <v>418</v>
      </c>
      <c r="V19" s="135" t="n">
        <v>187</v>
      </c>
      <c r="W19" s="135" t="n">
        <v>141</v>
      </c>
      <c r="X19" s="135" t="n">
        <v>66</v>
      </c>
      <c r="Y19" s="135" t="n">
        <v>71</v>
      </c>
      <c r="Z19" s="135" t="n">
        <v>188</v>
      </c>
      <c r="AA19" s="135" t="n">
        <v>126</v>
      </c>
      <c r="AB19" s="135" t="n">
        <v>67</v>
      </c>
      <c r="AC19" s="135" t="n">
        <v>122</v>
      </c>
      <c r="AD19" s="135" t="n">
        <v>70</v>
      </c>
      <c r="AE19" s="135" t="n">
        <v>57</v>
      </c>
      <c r="AF19" s="135" t="n">
        <v>147</v>
      </c>
      <c r="AG19" s="135" t="n">
        <v>66</v>
      </c>
      <c r="AH19" s="135" t="n">
        <v>77</v>
      </c>
      <c r="AI19" s="135" t="n">
        <v>295</v>
      </c>
      <c r="AJ19" s="135" t="n">
        <v>167</v>
      </c>
      <c r="AK19" s="135" t="n">
        <v>122</v>
      </c>
      <c r="AL19" s="135" t="n">
        <v>112</v>
      </c>
      <c r="AM19" s="135" t="n">
        <v>56</v>
      </c>
      <c r="AN19" s="135" t="n">
        <v>49</v>
      </c>
      <c r="AO19" s="135" t="n">
        <v>101</v>
      </c>
      <c r="AP19" s="135" t="n">
        <v>53</v>
      </c>
      <c r="AQ19" s="135" t="n">
        <v>45</v>
      </c>
      <c r="AR19" s="135" t="n">
        <v>100</v>
      </c>
      <c r="AS19" s="135" t="n">
        <v>61</v>
      </c>
      <c r="AT19" s="135" t="n">
        <v>43</v>
      </c>
      <c r="AU19" s="135" t="n">
        <v>34</v>
      </c>
      <c r="AV19" s="135" t="n">
        <v>41</v>
      </c>
      <c r="AW19" s="135" t="n">
        <v>94</v>
      </c>
      <c r="AX19" s="135" t="n">
        <v>23</v>
      </c>
      <c r="AY19" s="135" t="n">
        <v>409</v>
      </c>
      <c r="AZ19" s="135" t="n">
        <v>277</v>
      </c>
      <c r="BA19" s="135" t="n">
        <v>137</v>
      </c>
      <c r="BB19" s="135" t="n">
        <v>137</v>
      </c>
      <c r="BC19" s="135" t="n">
        <v>417</v>
      </c>
      <c r="BD19" s="136" t="n">
        <v>0.32</v>
      </c>
      <c r="BE19" s="135" t="n">
        <v>2916</v>
      </c>
      <c r="BF19" s="137" t="n">
        <v>22.9</v>
      </c>
      <c r="BG19" s="137" t="n">
        <v>12.8</v>
      </c>
      <c r="BH19" s="137" t="n">
        <v>10.1</v>
      </c>
      <c r="BI19" s="137" t="n">
        <v>89.8</v>
      </c>
      <c r="BJ19" s="137" t="n">
        <v>16.1</v>
      </c>
      <c r="BK19" s="137" t="n">
        <v>75</v>
      </c>
      <c r="BL19" s="137" t="n">
        <v>16.6</v>
      </c>
      <c r="BM19" s="137" t="n">
        <v>14.9</v>
      </c>
      <c r="BN19" s="137" t="n">
        <v>46.1</v>
      </c>
      <c r="BO19" s="138" t="n">
        <v>41.4</v>
      </c>
    </row>
    <row r="20" ht="30" customHeight="1">
      <c r="A20" s="3" t="inlineStr">
        <is>
          <t>CENTRE</t>
        </is>
      </c>
      <c r="B20" s="3" t="inlineStr">
        <is>
          <t>ANSEELE MOTTE BOSSUT</t>
        </is>
      </c>
      <c r="C20" s="3" t="inlineStr">
        <is>
          <t>Anseele</t>
        </is>
      </c>
      <c r="D20" s="135" t="n">
        <v>753</v>
      </c>
      <c r="E20" s="135" t="n">
        <v>410</v>
      </c>
      <c r="F20" s="135" t="n">
        <v>346</v>
      </c>
      <c r="G20" s="135" t="n">
        <v>693</v>
      </c>
      <c r="H20" s="135" t="n">
        <v>381</v>
      </c>
      <c r="I20" s="135" t="n">
        <v>309</v>
      </c>
      <c r="J20" s="135" t="n">
        <v>250</v>
      </c>
      <c r="K20" s="135" t="n">
        <v>213</v>
      </c>
      <c r="L20" s="135" t="n">
        <v>89</v>
      </c>
      <c r="M20" s="135" t="n">
        <v>41</v>
      </c>
      <c r="N20" s="135" t="n">
        <v>39</v>
      </c>
      <c r="O20" s="135" t="n">
        <v>437</v>
      </c>
      <c r="P20" s="135" t="n">
        <v>242</v>
      </c>
      <c r="Q20" s="135" t="n">
        <v>192</v>
      </c>
      <c r="R20" s="135" t="n">
        <v>172</v>
      </c>
      <c r="S20" s="135" t="n">
        <v>100</v>
      </c>
      <c r="T20" s="135" t="n">
        <v>78</v>
      </c>
      <c r="U20" s="135" t="n">
        <v>439</v>
      </c>
      <c r="V20" s="135" t="n">
        <v>251</v>
      </c>
      <c r="W20" s="135" t="n">
        <v>179</v>
      </c>
      <c r="X20" s="135" t="n">
        <v>95</v>
      </c>
      <c r="Y20" s="135" t="n">
        <v>90</v>
      </c>
      <c r="Z20" s="135" t="n">
        <v>236</v>
      </c>
      <c r="AA20" s="135" t="n">
        <v>141</v>
      </c>
      <c r="AB20" s="135" t="n">
        <v>100</v>
      </c>
      <c r="AC20" s="135" t="n">
        <v>165</v>
      </c>
      <c r="AD20" s="135" t="n">
        <v>90</v>
      </c>
      <c r="AE20" s="135" t="n">
        <v>72</v>
      </c>
      <c r="AF20" s="135" t="n">
        <v>97</v>
      </c>
      <c r="AG20" s="135" t="n">
        <v>53</v>
      </c>
      <c r="AH20" s="135" t="n">
        <v>50</v>
      </c>
      <c r="AI20" s="135" t="n">
        <v>285</v>
      </c>
      <c r="AJ20" s="135" t="n">
        <v>142</v>
      </c>
      <c r="AK20" s="135" t="n">
        <v>138</v>
      </c>
      <c r="AL20" s="135" t="n">
        <v>130</v>
      </c>
      <c r="AM20" s="135" t="n">
        <v>79</v>
      </c>
      <c r="AN20" s="135" t="n">
        <v>48</v>
      </c>
      <c r="AO20" s="135" t="n">
        <v>150</v>
      </c>
      <c r="AP20" s="135" t="n">
        <v>78</v>
      </c>
      <c r="AQ20" s="135" t="n">
        <v>68</v>
      </c>
      <c r="AR20" s="135" t="n">
        <v>132</v>
      </c>
      <c r="AS20" s="135" t="n">
        <v>77</v>
      </c>
      <c r="AT20" s="135" t="n">
        <v>51</v>
      </c>
      <c r="AU20" s="135" t="n">
        <v>36</v>
      </c>
      <c r="AV20" s="135" t="n">
        <v>49</v>
      </c>
      <c r="AW20" s="135" t="n">
        <v>78</v>
      </c>
      <c r="AX20" s="135" t="n">
        <v>42</v>
      </c>
      <c r="AY20" s="135" t="n">
        <v>488</v>
      </c>
      <c r="AZ20" s="135" t="n">
        <v>378</v>
      </c>
      <c r="BA20" s="135" t="n">
        <v>182</v>
      </c>
      <c r="BB20" s="135" t="n">
        <v>190</v>
      </c>
      <c r="BC20" s="135" t="n">
        <v>459</v>
      </c>
      <c r="BD20" s="136" t="n">
        <v>0.29</v>
      </c>
      <c r="BE20" s="135" t="n">
        <v>3982</v>
      </c>
      <c r="BF20" s="137" t="n">
        <v>18.9</v>
      </c>
      <c r="BG20" s="137" t="n">
        <v>10.3</v>
      </c>
      <c r="BH20" s="137" t="n">
        <v>8.699999999999999</v>
      </c>
      <c r="BI20" s="137" t="n">
        <v>92</v>
      </c>
      <c r="BJ20" s="137" t="n">
        <v>12.8</v>
      </c>
      <c r="BK20" s="137" t="n">
        <v>83.7</v>
      </c>
      <c r="BL20" s="137" t="n">
        <v>19</v>
      </c>
      <c r="BM20" s="137" t="n">
        <v>17.5</v>
      </c>
      <c r="BN20" s="137" t="n">
        <v>54.5</v>
      </c>
      <c r="BO20" s="138" t="n">
        <v>50.2</v>
      </c>
    </row>
    <row r="21" ht="30" customHeight="1">
      <c r="A21" s="3" t="inlineStr">
        <is>
          <t>CENTRE</t>
        </is>
      </c>
      <c r="B21" s="3" t="inlineStr">
        <is>
          <t>VAUBAN</t>
        </is>
      </c>
      <c r="C21" s="3" t="inlineStr">
        <is>
          <t>Barbieux-Vauban</t>
        </is>
      </c>
      <c r="D21" s="135" t="n">
        <v>387</v>
      </c>
      <c r="E21" s="135" t="n">
        <v>185</v>
      </c>
      <c r="F21" s="135" t="n">
        <v>198</v>
      </c>
      <c r="G21" s="135" t="n">
        <v>319</v>
      </c>
      <c r="H21" s="135" t="n">
        <v>148</v>
      </c>
      <c r="I21" s="135" t="n">
        <v>166</v>
      </c>
      <c r="J21" s="135" t="n">
        <v>100</v>
      </c>
      <c r="K21" s="135" t="n">
        <v>99</v>
      </c>
      <c r="L21" s="135" t="n">
        <v>69</v>
      </c>
      <c r="M21" s="135" t="n">
        <v>34</v>
      </c>
      <c r="N21" s="135" t="n">
        <v>32</v>
      </c>
      <c r="O21" s="135" t="n">
        <v>175</v>
      </c>
      <c r="P21" s="135" t="n">
        <v>84</v>
      </c>
      <c r="Q21" s="135" t="n">
        <v>87</v>
      </c>
      <c r="R21" s="135" t="n">
        <v>74</v>
      </c>
      <c r="S21" s="135" t="n">
        <v>31</v>
      </c>
      <c r="T21" s="135" t="n">
        <v>39</v>
      </c>
      <c r="U21" s="135" t="n">
        <v>275</v>
      </c>
      <c r="V21" s="135" t="n">
        <v>47</v>
      </c>
      <c r="W21" s="135" t="n">
        <v>45</v>
      </c>
      <c r="X21" s="135" t="n">
        <v>18</v>
      </c>
      <c r="Y21" s="135" t="n">
        <v>23</v>
      </c>
      <c r="Z21" s="135" t="n">
        <v>56</v>
      </c>
      <c r="AA21" s="135" t="n">
        <v>33</v>
      </c>
      <c r="AB21" s="135" t="n">
        <v>26</v>
      </c>
      <c r="AC21" s="135" t="n">
        <v>67</v>
      </c>
      <c r="AD21" s="135" t="n">
        <v>34</v>
      </c>
      <c r="AE21" s="135" t="n">
        <v>30</v>
      </c>
      <c r="AF21" s="135" t="n">
        <v>149</v>
      </c>
      <c r="AG21" s="135" t="n">
        <v>61</v>
      </c>
      <c r="AH21" s="135" t="n">
        <v>91</v>
      </c>
      <c r="AI21" s="135" t="n">
        <v>141</v>
      </c>
      <c r="AJ21" s="135" t="n">
        <v>79</v>
      </c>
      <c r="AK21" s="135" t="n">
        <v>68</v>
      </c>
      <c r="AL21" s="135" t="n">
        <v>67</v>
      </c>
      <c r="AM21" s="135" t="n">
        <v>26</v>
      </c>
      <c r="AN21" s="135" t="n">
        <v>38</v>
      </c>
      <c r="AO21" s="135" t="n">
        <v>52</v>
      </c>
      <c r="AP21" s="135" t="n">
        <v>26</v>
      </c>
      <c r="AQ21" s="135" t="n">
        <v>29</v>
      </c>
      <c r="AR21" s="135" t="n">
        <v>62</v>
      </c>
      <c r="AS21" s="135" t="n">
        <v>23</v>
      </c>
      <c r="AT21" s="135" t="n">
        <v>35</v>
      </c>
      <c r="AU21" s="135" t="n">
        <v>9</v>
      </c>
      <c r="AV21" s="135" t="n">
        <v>38</v>
      </c>
      <c r="AW21" s="135" t="n">
        <v>52</v>
      </c>
      <c r="AX21" s="135" t="n">
        <v>26</v>
      </c>
      <c r="AY21" s="135" t="n">
        <v>203</v>
      </c>
      <c r="AZ21" s="135" t="n">
        <v>102</v>
      </c>
      <c r="BA21" s="135" t="n">
        <v>40</v>
      </c>
      <c r="BB21" s="135" t="n">
        <v>58</v>
      </c>
      <c r="BC21" s="135" t="n">
        <v>195</v>
      </c>
      <c r="BD21" s="136" t="n">
        <v>0.91</v>
      </c>
      <c r="BE21" s="135" t="n">
        <v>3690</v>
      </c>
      <c r="BF21" s="137" t="n">
        <v>10.5</v>
      </c>
      <c r="BG21" s="137" t="n">
        <v>5</v>
      </c>
      <c r="BH21" s="137" t="n">
        <v>5.4</v>
      </c>
      <c r="BI21" s="137" t="n">
        <v>82.40000000000001</v>
      </c>
      <c r="BJ21" s="137" t="n">
        <v>21.6</v>
      </c>
      <c r="BK21" s="137" t="n">
        <v>52.7</v>
      </c>
      <c r="BL21" s="137" t="n">
        <v>19.4</v>
      </c>
      <c r="BM21" s="137" t="n">
        <v>16</v>
      </c>
      <c r="BN21" s="137" t="n">
        <v>32</v>
      </c>
      <c r="BO21" s="138" t="n">
        <v>26.4</v>
      </c>
    </row>
    <row r="22" ht="30" customHeight="1">
      <c r="A22" s="3" t="inlineStr">
        <is>
          <t>SUD</t>
        </is>
      </c>
      <c r="B22" s="3" t="inlineStr">
        <is>
          <t>BARBIEUX</t>
        </is>
      </c>
      <c r="C22" s="3" t="inlineStr">
        <is>
          <t>Barbieux Sud</t>
        </is>
      </c>
      <c r="D22" s="135" t="n">
        <v>171</v>
      </c>
      <c r="E22" s="135" t="n">
        <v>84</v>
      </c>
      <c r="F22" s="135" t="n">
        <v>82</v>
      </c>
      <c r="G22" s="135" t="n">
        <v>137</v>
      </c>
      <c r="H22" s="135" t="n">
        <v>72</v>
      </c>
      <c r="I22" s="135" t="n">
        <v>61</v>
      </c>
      <c r="J22" s="135" t="n">
        <v>54</v>
      </c>
      <c r="K22" s="135" t="n">
        <v>42</v>
      </c>
      <c r="L22" s="135" t="n">
        <v>17</v>
      </c>
      <c r="M22" s="135" t="n">
        <v>7</v>
      </c>
      <c r="N22" s="135" t="n">
        <v>5</v>
      </c>
      <c r="O22" s="135" t="n">
        <v>76</v>
      </c>
      <c r="P22" s="135" t="n">
        <v>39</v>
      </c>
      <c r="Q22" s="135" t="n">
        <v>40</v>
      </c>
      <c r="R22" s="135" t="n">
        <v>47</v>
      </c>
      <c r="S22" s="135" t="n">
        <v>26</v>
      </c>
      <c r="T22" s="135" t="n">
        <v>24</v>
      </c>
      <c r="U22" s="135" t="n">
        <v>121</v>
      </c>
      <c r="V22" s="135" t="n">
        <v>13</v>
      </c>
      <c r="W22" s="135" t="n">
        <v>21</v>
      </c>
      <c r="X22" s="135" t="n">
        <v>17</v>
      </c>
      <c r="Y22" s="135" t="n">
        <v>8</v>
      </c>
      <c r="Z22" s="135" t="n">
        <v>24</v>
      </c>
      <c r="AA22" s="135" t="n">
        <v>13</v>
      </c>
      <c r="AB22" s="135" t="n">
        <v>15</v>
      </c>
      <c r="AC22" s="135" t="n">
        <v>21</v>
      </c>
      <c r="AD22" s="135" t="n">
        <v>7</v>
      </c>
      <c r="AE22" s="135" t="n">
        <v>8</v>
      </c>
      <c r="AF22" s="135" t="n">
        <v>58</v>
      </c>
      <c r="AG22" s="135" t="n">
        <v>29</v>
      </c>
      <c r="AH22" s="135" t="n">
        <v>35</v>
      </c>
      <c r="AI22" s="135" t="n">
        <v>58</v>
      </c>
      <c r="AJ22" s="135" t="n">
        <v>28</v>
      </c>
      <c r="AK22" s="135" t="n">
        <v>26</v>
      </c>
      <c r="AL22" s="135" t="n">
        <v>16</v>
      </c>
      <c r="AM22" s="135" t="n">
        <v>14</v>
      </c>
      <c r="AN22" s="135" t="n">
        <v>7</v>
      </c>
      <c r="AO22" s="135" t="n">
        <v>27</v>
      </c>
      <c r="AP22" s="135" t="n">
        <v>11</v>
      </c>
      <c r="AQ22" s="135" t="n">
        <v>12</v>
      </c>
      <c r="AR22" s="135" t="n">
        <v>30</v>
      </c>
      <c r="AS22" s="135" t="n">
        <v>15</v>
      </c>
      <c r="AT22" s="135" t="n">
        <v>21</v>
      </c>
      <c r="AU22" s="135" t="n">
        <v>8</v>
      </c>
      <c r="AV22" s="135" t="n">
        <v>27</v>
      </c>
      <c r="AW22" s="135" t="n">
        <v>24</v>
      </c>
      <c r="AX22" s="135" t="n">
        <v>5</v>
      </c>
      <c r="AY22" s="135" t="n">
        <v>74</v>
      </c>
      <c r="AZ22" s="135" t="n">
        <v>51</v>
      </c>
      <c r="BA22" s="135" t="n">
        <v>20</v>
      </c>
      <c r="BB22" s="135" t="n">
        <v>28</v>
      </c>
      <c r="BC22" s="135" t="n">
        <v>93</v>
      </c>
      <c r="BD22" s="136" t="n">
        <v>0.5600000000000001</v>
      </c>
      <c r="BE22" s="135" t="n">
        <v>2463</v>
      </c>
      <c r="BF22" s="137" t="n">
        <v>6.9</v>
      </c>
      <c r="BG22" s="137" t="n">
        <v>3.4</v>
      </c>
      <c r="BH22" s="137" t="n">
        <v>3.3</v>
      </c>
      <c r="BI22" s="137" t="n">
        <v>80.09999999999999</v>
      </c>
      <c r="BJ22" s="137" t="n">
        <v>12.4</v>
      </c>
      <c r="BK22" s="137" t="n">
        <v>48.2</v>
      </c>
      <c r="BL22" s="137" t="n">
        <v>21.9</v>
      </c>
      <c r="BM22" s="137" t="n">
        <v>17.5</v>
      </c>
      <c r="BN22" s="137" t="n">
        <v>37.2</v>
      </c>
      <c r="BO22" s="138" t="n">
        <v>29.8</v>
      </c>
    </row>
    <row r="23" ht="30" customHeight="1">
      <c r="A23" s="3" t="inlineStr">
        <is>
          <t>SUD</t>
        </is>
      </c>
      <c r="B23" s="3" t="inlineStr">
        <is>
          <t>EDOUARD VAILLANT</t>
        </is>
      </c>
      <c r="C23" s="3" t="inlineStr">
        <is>
          <t>Édouard Vaillant</t>
        </is>
      </c>
      <c r="D23" s="135" t="n">
        <v>494</v>
      </c>
      <c r="E23" s="135" t="n">
        <v>273</v>
      </c>
      <c r="F23" s="135" t="n">
        <v>225</v>
      </c>
      <c r="G23" s="135" t="n">
        <v>413</v>
      </c>
      <c r="H23" s="135" t="n">
        <v>224</v>
      </c>
      <c r="I23" s="135" t="n">
        <v>192</v>
      </c>
      <c r="J23" s="135" t="n">
        <v>149</v>
      </c>
      <c r="K23" s="135" t="n">
        <v>119</v>
      </c>
      <c r="L23" s="135" t="n">
        <v>70</v>
      </c>
      <c r="M23" s="135" t="n">
        <v>32</v>
      </c>
      <c r="N23" s="135" t="n">
        <v>35</v>
      </c>
      <c r="O23" s="135" t="n">
        <v>237</v>
      </c>
      <c r="P23" s="135" t="n">
        <v>134</v>
      </c>
      <c r="Q23" s="135" t="n">
        <v>106</v>
      </c>
      <c r="R23" s="135" t="n">
        <v>106</v>
      </c>
      <c r="S23" s="135" t="n">
        <v>59</v>
      </c>
      <c r="T23" s="135" t="n">
        <v>51</v>
      </c>
      <c r="U23" s="135" t="n">
        <v>365</v>
      </c>
      <c r="V23" s="135" t="n">
        <v>52</v>
      </c>
      <c r="W23" s="135" t="n">
        <v>74</v>
      </c>
      <c r="X23" s="135" t="n">
        <v>44</v>
      </c>
      <c r="Y23" s="135" t="n">
        <v>34</v>
      </c>
      <c r="Z23" s="135" t="n">
        <v>127</v>
      </c>
      <c r="AA23" s="135" t="n">
        <v>86</v>
      </c>
      <c r="AB23" s="135" t="n">
        <v>45</v>
      </c>
      <c r="AC23" s="135" t="n">
        <v>92</v>
      </c>
      <c r="AD23" s="135" t="n">
        <v>49</v>
      </c>
      <c r="AE23" s="135" t="n">
        <v>47</v>
      </c>
      <c r="AF23" s="135" t="n">
        <v>117</v>
      </c>
      <c r="AG23" s="135" t="n">
        <v>50</v>
      </c>
      <c r="AH23" s="135" t="n">
        <v>62</v>
      </c>
      <c r="AI23" s="135" t="n">
        <v>163</v>
      </c>
      <c r="AJ23" s="135" t="n">
        <v>93</v>
      </c>
      <c r="AK23" s="135" t="n">
        <v>66</v>
      </c>
      <c r="AL23" s="135" t="n">
        <v>63</v>
      </c>
      <c r="AM23" s="135" t="n">
        <v>39</v>
      </c>
      <c r="AN23" s="135" t="n">
        <v>29</v>
      </c>
      <c r="AO23" s="135" t="n">
        <v>82</v>
      </c>
      <c r="AP23" s="135" t="n">
        <v>44</v>
      </c>
      <c r="AQ23" s="135" t="n">
        <v>42</v>
      </c>
      <c r="AR23" s="135" t="n">
        <v>100</v>
      </c>
      <c r="AS23" s="135" t="n">
        <v>52</v>
      </c>
      <c r="AT23" s="135" t="n">
        <v>52</v>
      </c>
      <c r="AU23" s="135" t="n">
        <v>15</v>
      </c>
      <c r="AV23" s="135" t="n">
        <v>46</v>
      </c>
      <c r="AW23" s="135" t="n">
        <v>55</v>
      </c>
      <c r="AX23" s="135" t="n">
        <v>21</v>
      </c>
      <c r="AY23" s="135" t="n">
        <v>283</v>
      </c>
      <c r="AZ23" s="135" t="n">
        <v>152</v>
      </c>
      <c r="BA23" s="135" t="n">
        <v>89</v>
      </c>
      <c r="BB23" s="135" t="n">
        <v>68</v>
      </c>
      <c r="BC23" s="135" t="n">
        <v>262</v>
      </c>
      <c r="BD23" s="136" t="n">
        <v>0.53</v>
      </c>
      <c r="BE23" s="135" t="n">
        <v>4214</v>
      </c>
      <c r="BF23" s="137" t="n">
        <v>11.7</v>
      </c>
      <c r="BG23" s="137" t="n">
        <v>6.5</v>
      </c>
      <c r="BH23" s="137" t="n">
        <v>5.3</v>
      </c>
      <c r="BI23" s="137" t="n">
        <v>83.59999999999999</v>
      </c>
      <c r="BJ23" s="137" t="n">
        <v>16.9</v>
      </c>
      <c r="BK23" s="137" t="n">
        <v>70.90000000000001</v>
      </c>
      <c r="BL23" s="137" t="n">
        <v>24.2</v>
      </c>
      <c r="BM23" s="137" t="n">
        <v>20.2</v>
      </c>
      <c r="BN23" s="137" t="n">
        <v>36.8</v>
      </c>
      <c r="BO23" s="138" t="n">
        <v>30.8</v>
      </c>
    </row>
    <row r="24" ht="30" customHeight="1">
      <c r="A24" s="3" t="inlineStr">
        <is>
          <t>SUD</t>
        </is>
      </c>
      <c r="B24" s="3" t="inlineStr">
        <is>
          <t>MOULIN</t>
        </is>
      </c>
      <c r="C24" s="3" t="inlineStr">
        <is>
          <t>Moulin Nord</t>
        </is>
      </c>
      <c r="D24" s="135" t="n">
        <v>417</v>
      </c>
      <c r="E24" s="135" t="n">
        <v>210</v>
      </c>
      <c r="F24" s="135" t="n">
        <v>203</v>
      </c>
      <c r="G24" s="135" t="n">
        <v>361</v>
      </c>
      <c r="H24" s="135" t="n">
        <v>179</v>
      </c>
      <c r="I24" s="135" t="n">
        <v>178</v>
      </c>
      <c r="J24" s="135" t="n">
        <v>121</v>
      </c>
      <c r="K24" s="135" t="n">
        <v>126</v>
      </c>
      <c r="L24" s="135" t="n">
        <v>75</v>
      </c>
      <c r="M24" s="135" t="n">
        <v>34</v>
      </c>
      <c r="N24" s="135" t="n">
        <v>38</v>
      </c>
      <c r="O24" s="135" t="n">
        <v>193</v>
      </c>
      <c r="P24" s="135" t="n">
        <v>91</v>
      </c>
      <c r="Q24" s="135" t="n">
        <v>98</v>
      </c>
      <c r="R24" s="135" t="n">
        <v>93</v>
      </c>
      <c r="S24" s="135" t="n">
        <v>55</v>
      </c>
      <c r="T24" s="135" t="n">
        <v>42</v>
      </c>
      <c r="U24" s="135" t="n">
        <v>264</v>
      </c>
      <c r="V24" s="135" t="n">
        <v>93</v>
      </c>
      <c r="W24" s="135" t="n">
        <v>103</v>
      </c>
      <c r="X24" s="135" t="n">
        <v>62</v>
      </c>
      <c r="Y24" s="135" t="n">
        <v>46</v>
      </c>
      <c r="Z24" s="135" t="n">
        <v>114</v>
      </c>
      <c r="AA24" s="135" t="n">
        <v>70</v>
      </c>
      <c r="AB24" s="135" t="n">
        <v>48</v>
      </c>
      <c r="AC24" s="135" t="n">
        <v>74</v>
      </c>
      <c r="AD24" s="135" t="n">
        <v>42</v>
      </c>
      <c r="AE24" s="135" t="n">
        <v>36</v>
      </c>
      <c r="AF24" s="135" t="n">
        <v>57</v>
      </c>
      <c r="AG24" s="135" t="n">
        <v>17</v>
      </c>
      <c r="AH24" s="135" t="n">
        <v>44</v>
      </c>
      <c r="AI24" s="135" t="n">
        <v>147</v>
      </c>
      <c r="AJ24" s="135" t="n">
        <v>70</v>
      </c>
      <c r="AK24" s="135" t="n">
        <v>87</v>
      </c>
      <c r="AL24" s="135" t="n">
        <v>77</v>
      </c>
      <c r="AM24" s="135" t="n">
        <v>33</v>
      </c>
      <c r="AN24" s="135" t="n">
        <v>40</v>
      </c>
      <c r="AO24" s="135" t="n">
        <v>67</v>
      </c>
      <c r="AP24" s="135" t="n">
        <v>38</v>
      </c>
      <c r="AQ24" s="135" t="n">
        <v>33</v>
      </c>
      <c r="AR24" s="135" t="n">
        <v>63</v>
      </c>
      <c r="AS24" s="135" t="n">
        <v>32</v>
      </c>
      <c r="AT24" s="135" t="n">
        <v>27</v>
      </c>
      <c r="AU24" s="135" t="n">
        <v>18</v>
      </c>
      <c r="AV24" s="135" t="n">
        <v>24</v>
      </c>
      <c r="AW24" s="135" t="n">
        <v>58</v>
      </c>
      <c r="AX24" s="135" t="n">
        <v>22</v>
      </c>
      <c r="AY24" s="135" t="n">
        <v>232</v>
      </c>
      <c r="AZ24" s="135" t="n">
        <v>150</v>
      </c>
      <c r="BA24" s="135" t="n">
        <v>83</v>
      </c>
      <c r="BB24" s="135" t="n">
        <v>72</v>
      </c>
      <c r="BC24" s="135" t="n">
        <v>253</v>
      </c>
      <c r="BD24" s="136" t="n">
        <v>0.16</v>
      </c>
      <c r="BE24" s="135" t="n">
        <v>2319</v>
      </c>
      <c r="BF24" s="137" t="n">
        <v>18</v>
      </c>
      <c r="BG24" s="137" t="n">
        <v>9.1</v>
      </c>
      <c r="BH24" s="137" t="n">
        <v>8.800000000000001</v>
      </c>
      <c r="BI24" s="137" t="n">
        <v>86.59999999999999</v>
      </c>
      <c r="BJ24" s="137" t="n">
        <v>20.8</v>
      </c>
      <c r="BK24" s="137" t="n">
        <v>80.59999999999999</v>
      </c>
      <c r="BL24" s="137" t="n">
        <v>17.5</v>
      </c>
      <c r="BM24" s="137" t="n">
        <v>15.1</v>
      </c>
      <c r="BN24" s="137" t="n">
        <v>41.6</v>
      </c>
      <c r="BO24" s="138" t="n">
        <v>36</v>
      </c>
    </row>
    <row r="25" ht="30" customHeight="1">
      <c r="A25" s="3" t="inlineStr">
        <is>
          <t>SUD</t>
        </is>
      </c>
      <c r="B25" s="3" t="inlineStr">
        <is>
          <t>MOULIN</t>
        </is>
      </c>
      <c r="C25" s="3" t="inlineStr">
        <is>
          <t>Moulin Sud</t>
        </is>
      </c>
      <c r="D25" s="135" t="n">
        <v>368</v>
      </c>
      <c r="E25" s="135" t="n">
        <v>204</v>
      </c>
      <c r="F25" s="135" t="n">
        <v>168</v>
      </c>
      <c r="G25" s="135" t="n">
        <v>328</v>
      </c>
      <c r="H25" s="135" t="n">
        <v>175</v>
      </c>
      <c r="I25" s="135" t="n">
        <v>145</v>
      </c>
      <c r="J25" s="135" t="n">
        <v>125</v>
      </c>
      <c r="K25" s="135" t="n">
        <v>92</v>
      </c>
      <c r="L25" s="135" t="n">
        <v>39</v>
      </c>
      <c r="M25" s="135" t="n">
        <v>27</v>
      </c>
      <c r="N25" s="135" t="n">
        <v>15</v>
      </c>
      <c r="O25" s="135" t="n">
        <v>193</v>
      </c>
      <c r="P25" s="135" t="n">
        <v>101</v>
      </c>
      <c r="Q25" s="135" t="n">
        <v>89</v>
      </c>
      <c r="R25" s="135" t="n">
        <v>84</v>
      </c>
      <c r="S25" s="135" t="n">
        <v>47</v>
      </c>
      <c r="T25" s="135" t="n">
        <v>40</v>
      </c>
      <c r="U25" s="135" t="n">
        <v>243</v>
      </c>
      <c r="V25" s="135" t="n">
        <v>77</v>
      </c>
      <c r="W25" s="135" t="n">
        <v>91</v>
      </c>
      <c r="X25" s="135" t="n">
        <v>44</v>
      </c>
      <c r="Y25" s="135" t="n">
        <v>44</v>
      </c>
      <c r="Z25" s="135" t="n">
        <v>111</v>
      </c>
      <c r="AA25" s="135" t="n">
        <v>67</v>
      </c>
      <c r="AB25" s="135" t="n">
        <v>49</v>
      </c>
      <c r="AC25" s="135" t="n">
        <v>63</v>
      </c>
      <c r="AD25" s="135" t="n">
        <v>34</v>
      </c>
      <c r="AE25" s="135" t="n">
        <v>26</v>
      </c>
      <c r="AF25" s="135" t="n">
        <v>53</v>
      </c>
      <c r="AG25" s="135" t="n">
        <v>27</v>
      </c>
      <c r="AH25" s="135" t="n">
        <v>31</v>
      </c>
      <c r="AI25" s="135" t="n">
        <v>124</v>
      </c>
      <c r="AJ25" s="135" t="n">
        <v>75</v>
      </c>
      <c r="AK25" s="135" t="n">
        <v>55</v>
      </c>
      <c r="AL25" s="135" t="n">
        <v>71</v>
      </c>
      <c r="AM25" s="135" t="n">
        <v>35</v>
      </c>
      <c r="AN25" s="135" t="n">
        <v>32</v>
      </c>
      <c r="AO25" s="135" t="n">
        <v>54</v>
      </c>
      <c r="AP25" s="135" t="n">
        <v>25</v>
      </c>
      <c r="AQ25" s="135" t="n">
        <v>32</v>
      </c>
      <c r="AR25" s="135" t="n">
        <v>64</v>
      </c>
      <c r="AS25" s="135" t="n">
        <v>36</v>
      </c>
      <c r="AT25" s="135" t="n">
        <v>32</v>
      </c>
      <c r="AU25" s="135" t="n">
        <v>13</v>
      </c>
      <c r="AV25" s="135" t="n">
        <v>23</v>
      </c>
      <c r="AW25" s="135" t="n">
        <v>37</v>
      </c>
      <c r="AX25" s="135" t="n">
        <v>16</v>
      </c>
      <c r="AY25" s="135" t="n">
        <v>228</v>
      </c>
      <c r="AZ25" s="135" t="n">
        <v>156</v>
      </c>
      <c r="BA25" s="135" t="n">
        <v>81</v>
      </c>
      <c r="BB25" s="135" t="n">
        <v>79</v>
      </c>
      <c r="BC25" s="135" t="n">
        <v>221</v>
      </c>
      <c r="BD25" s="136" t="n">
        <v>0.17</v>
      </c>
      <c r="BE25" s="135" t="n">
        <v>2164</v>
      </c>
      <c r="BF25" s="137" t="n">
        <v>17</v>
      </c>
      <c r="BG25" s="137" t="n">
        <v>9.4</v>
      </c>
      <c r="BH25" s="137" t="n">
        <v>7.8</v>
      </c>
      <c r="BI25" s="137" t="n">
        <v>89.09999999999999</v>
      </c>
      <c r="BJ25" s="137" t="n">
        <v>11.9</v>
      </c>
      <c r="BK25" s="137" t="n">
        <v>80.8</v>
      </c>
      <c r="BL25" s="137" t="n">
        <v>19.5</v>
      </c>
      <c r="BM25" s="137" t="n">
        <v>17.4</v>
      </c>
      <c r="BN25" s="137" t="n">
        <v>47.6</v>
      </c>
      <c r="BO25" s="138" t="n">
        <v>42.4</v>
      </c>
    </row>
    <row r="26" ht="30" customHeight="1">
      <c r="A26" s="3" t="inlineStr">
        <is>
          <t>SUD</t>
        </is>
      </c>
      <c r="B26" s="3" t="inlineStr">
        <is>
          <t>POTENNERIE</t>
        </is>
      </c>
      <c r="C26" s="3" t="inlineStr">
        <is>
          <t>Potennerie</t>
        </is>
      </c>
      <c r="D26" s="135" t="n">
        <v>470</v>
      </c>
      <c r="E26" s="135" t="n">
        <v>253</v>
      </c>
      <c r="F26" s="135" t="n">
        <v>213</v>
      </c>
      <c r="G26" s="135" t="n">
        <v>397</v>
      </c>
      <c r="H26" s="135" t="n">
        <v>212</v>
      </c>
      <c r="I26" s="135" t="n">
        <v>188</v>
      </c>
      <c r="J26" s="135" t="n">
        <v>148</v>
      </c>
      <c r="K26" s="135" t="n">
        <v>123</v>
      </c>
      <c r="L26" s="135" t="n">
        <v>50</v>
      </c>
      <c r="M26" s="135" t="n">
        <v>26</v>
      </c>
      <c r="N26" s="135" t="n">
        <v>19</v>
      </c>
      <c r="O26" s="135" t="n">
        <v>253</v>
      </c>
      <c r="P26" s="135" t="n">
        <v>139</v>
      </c>
      <c r="Q26" s="135" t="n">
        <v>118</v>
      </c>
      <c r="R26" s="135" t="n">
        <v>94</v>
      </c>
      <c r="S26" s="135" t="n">
        <v>47</v>
      </c>
      <c r="T26" s="135" t="n">
        <v>43</v>
      </c>
      <c r="U26" s="135" t="n">
        <v>306</v>
      </c>
      <c r="V26" s="135" t="n">
        <v>96</v>
      </c>
      <c r="W26" s="135" t="n">
        <v>94</v>
      </c>
      <c r="X26" s="135" t="n">
        <v>52</v>
      </c>
      <c r="Y26" s="135" t="n">
        <v>34</v>
      </c>
      <c r="Z26" s="135" t="n">
        <v>133</v>
      </c>
      <c r="AA26" s="135" t="n">
        <v>78</v>
      </c>
      <c r="AB26" s="135" t="n">
        <v>48</v>
      </c>
      <c r="AC26" s="135" t="n">
        <v>74</v>
      </c>
      <c r="AD26" s="135" t="n">
        <v>42</v>
      </c>
      <c r="AE26" s="135" t="n">
        <v>38</v>
      </c>
      <c r="AF26" s="135" t="n">
        <v>99</v>
      </c>
      <c r="AG26" s="135" t="n">
        <v>45</v>
      </c>
      <c r="AH26" s="135" t="n">
        <v>50</v>
      </c>
      <c r="AI26" s="135" t="n">
        <v>157</v>
      </c>
      <c r="AJ26" s="135" t="n">
        <v>91</v>
      </c>
      <c r="AK26" s="135" t="n">
        <v>69</v>
      </c>
      <c r="AL26" s="135" t="n">
        <v>75</v>
      </c>
      <c r="AM26" s="135" t="n">
        <v>39</v>
      </c>
      <c r="AN26" s="135" t="n">
        <v>39</v>
      </c>
      <c r="AO26" s="135" t="n">
        <v>76</v>
      </c>
      <c r="AP26" s="135" t="n">
        <v>38</v>
      </c>
      <c r="AQ26" s="135" t="n">
        <v>32</v>
      </c>
      <c r="AR26" s="135" t="n">
        <v>96</v>
      </c>
      <c r="AS26" s="135" t="n">
        <v>47</v>
      </c>
      <c r="AT26" s="135" t="n">
        <v>52</v>
      </c>
      <c r="AU26" s="135" t="n">
        <v>10</v>
      </c>
      <c r="AV26" s="135" t="n">
        <v>35</v>
      </c>
      <c r="AW26" s="135" t="n">
        <v>57</v>
      </c>
      <c r="AX26" s="135" t="n">
        <v>22</v>
      </c>
      <c r="AY26" s="135" t="n">
        <v>283</v>
      </c>
      <c r="AZ26" s="135" t="n">
        <v>176</v>
      </c>
      <c r="BA26" s="135" t="n">
        <v>88</v>
      </c>
      <c r="BB26" s="135" t="n">
        <v>84</v>
      </c>
      <c r="BC26" s="135" t="n">
        <v>267</v>
      </c>
      <c r="BD26" s="136" t="n">
        <v>0.37</v>
      </c>
      <c r="BE26" s="135" t="n">
        <v>3230</v>
      </c>
      <c r="BF26" s="137" t="n">
        <v>14.5</v>
      </c>
      <c r="BG26" s="137" t="n">
        <v>7.8</v>
      </c>
      <c r="BH26" s="137" t="n">
        <v>6.6</v>
      </c>
      <c r="BI26" s="137" t="n">
        <v>84.5</v>
      </c>
      <c r="BJ26" s="137" t="n">
        <v>12.6</v>
      </c>
      <c r="BK26" s="137" t="n">
        <v>75.8</v>
      </c>
      <c r="BL26" s="137" t="n">
        <v>24.2</v>
      </c>
      <c r="BM26" s="137" t="n">
        <v>20.4</v>
      </c>
      <c r="BN26" s="137" t="n">
        <v>44.3</v>
      </c>
      <c r="BO26" s="138" t="n">
        <v>37.4</v>
      </c>
    </row>
    <row r="27" ht="30" customHeight="1">
      <c r="A27" s="3" t="inlineStr">
        <is>
          <t>EST</t>
        </is>
      </c>
      <c r="B27" s="3" t="inlineStr">
        <is>
          <t>STE ELISABETH</t>
        </is>
      </c>
      <c r="C27" s="3" t="inlineStr">
        <is>
          <t>Sainte-Élisabeth Centre</t>
        </is>
      </c>
      <c r="D27" s="135" t="n">
        <v>375</v>
      </c>
      <c r="E27" s="135" t="n">
        <v>195</v>
      </c>
      <c r="F27" s="135" t="n">
        <v>184</v>
      </c>
      <c r="G27" s="135" t="n">
        <v>305</v>
      </c>
      <c r="H27" s="135" t="n">
        <v>154</v>
      </c>
      <c r="I27" s="135" t="n">
        <v>155</v>
      </c>
      <c r="J27" s="135" t="n">
        <v>114</v>
      </c>
      <c r="K27" s="135" t="n">
        <v>105</v>
      </c>
      <c r="L27" s="135" t="n">
        <v>65</v>
      </c>
      <c r="M27" s="135" t="n">
        <v>27</v>
      </c>
      <c r="N27" s="135" t="n">
        <v>35</v>
      </c>
      <c r="O27" s="135" t="n">
        <v>176</v>
      </c>
      <c r="P27" s="135" t="n">
        <v>88</v>
      </c>
      <c r="Q27" s="135" t="n">
        <v>83</v>
      </c>
      <c r="R27" s="135" t="n">
        <v>71</v>
      </c>
      <c r="S27" s="135" t="n">
        <v>39</v>
      </c>
      <c r="T27" s="135" t="n">
        <v>28</v>
      </c>
      <c r="U27" s="135" t="n">
        <v>249</v>
      </c>
      <c r="V27" s="135" t="n">
        <v>61</v>
      </c>
      <c r="W27" s="135" t="n">
        <v>92</v>
      </c>
      <c r="X27" s="135" t="n">
        <v>42</v>
      </c>
      <c r="Y27" s="135" t="n">
        <v>47</v>
      </c>
      <c r="Z27" s="135" t="n">
        <v>97</v>
      </c>
      <c r="AA27" s="135" t="n">
        <v>53</v>
      </c>
      <c r="AB27" s="135" t="n">
        <v>41</v>
      </c>
      <c r="AC27" s="135" t="n">
        <v>75</v>
      </c>
      <c r="AD27" s="135" t="n">
        <v>32</v>
      </c>
      <c r="AE27" s="135" t="n">
        <v>40</v>
      </c>
      <c r="AF27" s="135" t="n">
        <v>51</v>
      </c>
      <c r="AG27" s="135" t="n">
        <v>23</v>
      </c>
      <c r="AH27" s="135" t="n">
        <v>24</v>
      </c>
      <c r="AI27" s="135" t="n">
        <v>129</v>
      </c>
      <c r="AJ27" s="135" t="n">
        <v>58</v>
      </c>
      <c r="AK27" s="135" t="n">
        <v>67</v>
      </c>
      <c r="AL27" s="135" t="n">
        <v>53</v>
      </c>
      <c r="AM27" s="135" t="n">
        <v>31</v>
      </c>
      <c r="AN27" s="135" t="n">
        <v>26</v>
      </c>
      <c r="AO27" s="135" t="n">
        <v>64</v>
      </c>
      <c r="AP27" s="135" t="n">
        <v>26</v>
      </c>
      <c r="AQ27" s="135" t="n">
        <v>34</v>
      </c>
      <c r="AR27" s="135" t="n">
        <v>63</v>
      </c>
      <c r="AS27" s="135" t="n">
        <v>43</v>
      </c>
      <c r="AT27" s="135" t="n">
        <v>25</v>
      </c>
      <c r="AU27" s="135" t="n">
        <v>23</v>
      </c>
      <c r="AV27" s="135" t="n">
        <v>17</v>
      </c>
      <c r="AW27" s="135" t="n">
        <v>32</v>
      </c>
      <c r="AX27" s="135" t="n">
        <v>26</v>
      </c>
      <c r="AY27" s="135" t="n">
        <v>208</v>
      </c>
      <c r="AZ27" s="135" t="n">
        <v>159</v>
      </c>
      <c r="BA27" s="135" t="n">
        <v>77</v>
      </c>
      <c r="BB27" s="135" t="n">
        <v>85</v>
      </c>
      <c r="BC27" s="135" t="n">
        <v>223</v>
      </c>
      <c r="BD27" s="136" t="n">
        <v>0.16</v>
      </c>
      <c r="BE27" s="135" t="n">
        <v>2310</v>
      </c>
      <c r="BF27" s="137" t="n">
        <v>16.2</v>
      </c>
      <c r="BG27" s="137" t="n">
        <v>8.4</v>
      </c>
      <c r="BH27" s="137" t="n">
        <v>8</v>
      </c>
      <c r="BI27" s="137" t="n">
        <v>81.3</v>
      </c>
      <c r="BJ27" s="137" t="n">
        <v>21.3</v>
      </c>
      <c r="BK27" s="137" t="n">
        <v>86.59999999999999</v>
      </c>
      <c r="BL27" s="137" t="n">
        <v>20.7</v>
      </c>
      <c r="BM27" s="137" t="n">
        <v>16.8</v>
      </c>
      <c r="BN27" s="137" t="n">
        <v>52.1</v>
      </c>
      <c r="BO27" s="138" t="n">
        <v>42.4</v>
      </c>
    </row>
    <row r="28" ht="30" customHeight="1">
      <c r="A28" s="3" t="inlineStr">
        <is>
          <t>EST</t>
        </is>
      </c>
      <c r="B28" s="3" t="inlineStr">
        <is>
          <t>STE ELISABETH</t>
        </is>
      </c>
      <c r="C28" s="3" t="inlineStr">
        <is>
          <t>Sainte-Élisabeth Sud</t>
        </is>
      </c>
      <c r="D28" s="135" t="n">
        <v>421</v>
      </c>
      <c r="E28" s="135" t="n">
        <v>192</v>
      </c>
      <c r="F28" s="135" t="n">
        <v>226</v>
      </c>
      <c r="G28" s="135" t="n">
        <v>375</v>
      </c>
      <c r="H28" s="135" t="n">
        <v>170</v>
      </c>
      <c r="I28" s="135" t="n">
        <v>211</v>
      </c>
      <c r="J28" s="135" t="n">
        <v>126</v>
      </c>
      <c r="K28" s="135" t="n">
        <v>154</v>
      </c>
      <c r="L28" s="135" t="n">
        <v>56</v>
      </c>
      <c r="M28" s="135" t="n">
        <v>17</v>
      </c>
      <c r="N28" s="135" t="n">
        <v>42</v>
      </c>
      <c r="O28" s="135" t="n">
        <v>223</v>
      </c>
      <c r="P28" s="135" t="n">
        <v>105</v>
      </c>
      <c r="Q28" s="135" t="n">
        <v>122</v>
      </c>
      <c r="R28" s="135" t="n">
        <v>99</v>
      </c>
      <c r="S28" s="135" t="n">
        <v>48</v>
      </c>
      <c r="T28" s="135" t="n">
        <v>54</v>
      </c>
      <c r="U28" s="135" t="n">
        <v>268</v>
      </c>
      <c r="V28" s="135" t="n">
        <v>114</v>
      </c>
      <c r="W28" s="135" t="n">
        <v>108</v>
      </c>
      <c r="X28" s="135" t="n">
        <v>40</v>
      </c>
      <c r="Y28" s="135" t="n">
        <v>64</v>
      </c>
      <c r="Z28" s="135" t="n">
        <v>112</v>
      </c>
      <c r="AA28" s="135" t="n">
        <v>63</v>
      </c>
      <c r="AB28" s="135" t="n">
        <v>55</v>
      </c>
      <c r="AC28" s="135" t="n">
        <v>85</v>
      </c>
      <c r="AD28" s="135" t="n">
        <v>41</v>
      </c>
      <c r="AE28" s="135" t="n">
        <v>51</v>
      </c>
      <c r="AF28" s="135" t="n">
        <v>62</v>
      </c>
      <c r="AG28" s="135" t="n">
        <v>22</v>
      </c>
      <c r="AH28" s="135" t="n">
        <v>36</v>
      </c>
      <c r="AI28" s="135" t="n">
        <v>157</v>
      </c>
      <c r="AJ28" s="135" t="n">
        <v>72</v>
      </c>
      <c r="AK28" s="135" t="n">
        <v>82</v>
      </c>
      <c r="AL28" s="135" t="n">
        <v>80</v>
      </c>
      <c r="AM28" s="135" t="n">
        <v>38</v>
      </c>
      <c r="AN28" s="135" t="n">
        <v>46</v>
      </c>
      <c r="AO28" s="135" t="n">
        <v>77</v>
      </c>
      <c r="AP28" s="135" t="n">
        <v>36</v>
      </c>
      <c r="AQ28" s="135" t="n">
        <v>37</v>
      </c>
      <c r="AR28" s="135" t="n">
        <v>66</v>
      </c>
      <c r="AS28" s="135" t="n">
        <v>28</v>
      </c>
      <c r="AT28" s="135" t="n">
        <v>43</v>
      </c>
      <c r="AU28" s="135" t="n">
        <v>32</v>
      </c>
      <c r="AV28" s="135" t="n">
        <v>13</v>
      </c>
      <c r="AW28" s="135" t="n">
        <v>37</v>
      </c>
      <c r="AX28" s="135" t="n">
        <v>21</v>
      </c>
      <c r="AY28" s="135" t="n">
        <v>274</v>
      </c>
      <c r="AZ28" s="135" t="n">
        <v>201</v>
      </c>
      <c r="BA28" s="135" t="n">
        <v>86</v>
      </c>
      <c r="BB28" s="135" t="n">
        <v>111</v>
      </c>
      <c r="BC28" s="135" t="n">
        <v>276</v>
      </c>
      <c r="BD28" s="136" t="n">
        <v>0.14</v>
      </c>
      <c r="BE28" s="135" t="n">
        <v>2145</v>
      </c>
      <c r="BF28" s="137" t="n">
        <v>19.6</v>
      </c>
      <c r="BG28" s="137" t="n">
        <v>9</v>
      </c>
      <c r="BH28" s="137" t="n">
        <v>10.5</v>
      </c>
      <c r="BI28" s="137" t="n">
        <v>89.09999999999999</v>
      </c>
      <c r="BJ28" s="137" t="n">
        <v>14.9</v>
      </c>
      <c r="BK28" s="137" t="n">
        <v>81.3</v>
      </c>
      <c r="BL28" s="137" t="n">
        <v>17.6</v>
      </c>
      <c r="BM28" s="137" t="n">
        <v>15.7</v>
      </c>
      <c r="BN28" s="137" t="n">
        <v>53.6</v>
      </c>
      <c r="BO28" s="138" t="n">
        <v>47.7</v>
      </c>
    </row>
    <row r="29" ht="30" customHeight="1">
      <c r="A29" s="3" t="inlineStr">
        <is>
          <t>EST</t>
        </is>
      </c>
      <c r="B29" s="3" t="inlineStr">
        <is>
          <t>STE ELISABETH</t>
        </is>
      </c>
      <c r="C29" s="3" t="inlineStr">
        <is>
          <t>Sainte-Élisabeth Nord</t>
        </is>
      </c>
      <c r="D29" s="135" t="n">
        <v>575</v>
      </c>
      <c r="E29" s="135" t="n">
        <v>322</v>
      </c>
      <c r="F29" s="135" t="n">
        <v>258</v>
      </c>
      <c r="G29" s="135" t="n">
        <v>502</v>
      </c>
      <c r="H29" s="135" t="n">
        <v>282</v>
      </c>
      <c r="I29" s="135" t="n">
        <v>223</v>
      </c>
      <c r="J29" s="135" t="n">
        <v>199</v>
      </c>
      <c r="K29" s="135" t="n">
        <v>149</v>
      </c>
      <c r="L29" s="135" t="n">
        <v>67</v>
      </c>
      <c r="M29" s="135" t="n">
        <v>45</v>
      </c>
      <c r="N29" s="135" t="n">
        <v>26</v>
      </c>
      <c r="O29" s="135" t="n">
        <v>299</v>
      </c>
      <c r="P29" s="135" t="n">
        <v>165</v>
      </c>
      <c r="Q29" s="135" t="n">
        <v>137</v>
      </c>
      <c r="R29" s="135" t="n">
        <v>136</v>
      </c>
      <c r="S29" s="135" t="n">
        <v>71</v>
      </c>
      <c r="T29" s="135" t="n">
        <v>61</v>
      </c>
      <c r="U29" s="135" t="n">
        <v>339</v>
      </c>
      <c r="V29" s="135" t="n">
        <v>166</v>
      </c>
      <c r="W29" s="135" t="n">
        <v>140</v>
      </c>
      <c r="X29" s="135" t="n">
        <v>72</v>
      </c>
      <c r="Y29" s="135" t="n">
        <v>65</v>
      </c>
      <c r="Z29" s="135" t="n">
        <v>157</v>
      </c>
      <c r="AA29" s="135" t="n">
        <v>92</v>
      </c>
      <c r="AB29" s="135" t="n">
        <v>61</v>
      </c>
      <c r="AC29" s="135" t="n">
        <v>90</v>
      </c>
      <c r="AD29" s="135" t="n">
        <v>53</v>
      </c>
      <c r="AE29" s="135" t="n">
        <v>42</v>
      </c>
      <c r="AF29" s="135" t="n">
        <v>117</v>
      </c>
      <c r="AG29" s="135" t="n">
        <v>63</v>
      </c>
      <c r="AH29" s="135" t="n">
        <v>59</v>
      </c>
      <c r="AI29" s="135" t="n">
        <v>207</v>
      </c>
      <c r="AJ29" s="135" t="n">
        <v>118</v>
      </c>
      <c r="AK29" s="135" t="n">
        <v>93</v>
      </c>
      <c r="AL29" s="135" t="n">
        <v>86</v>
      </c>
      <c r="AM29" s="135" t="n">
        <v>48</v>
      </c>
      <c r="AN29" s="135" t="n">
        <v>33</v>
      </c>
      <c r="AO29" s="135" t="n">
        <v>104</v>
      </c>
      <c r="AP29" s="135" t="n">
        <v>66</v>
      </c>
      <c r="AQ29" s="135" t="n">
        <v>42</v>
      </c>
      <c r="AR29" s="135" t="n">
        <v>101</v>
      </c>
      <c r="AS29" s="135" t="n">
        <v>54</v>
      </c>
      <c r="AT29" s="135" t="n">
        <v>51</v>
      </c>
      <c r="AU29" s="135" t="n">
        <v>25</v>
      </c>
      <c r="AV29" s="135" t="n">
        <v>37</v>
      </c>
      <c r="AW29" s="135" t="n">
        <v>44</v>
      </c>
      <c r="AX29" s="135" t="n">
        <v>36</v>
      </c>
      <c r="AY29" s="135" t="n">
        <v>360</v>
      </c>
      <c r="AZ29" s="135" t="n">
        <v>231</v>
      </c>
      <c r="BA29" s="135" t="n">
        <v>113</v>
      </c>
      <c r="BB29" s="135" t="n">
        <v>114</v>
      </c>
      <c r="BC29" s="135" t="n">
        <v>351</v>
      </c>
      <c r="BD29" s="136" t="n">
        <v>0.22</v>
      </c>
      <c r="BE29" s="135" t="n">
        <v>2832</v>
      </c>
      <c r="BF29" s="137" t="n">
        <v>20.3</v>
      </c>
      <c r="BG29" s="137" t="n">
        <v>11.4</v>
      </c>
      <c r="BH29" s="137" t="n">
        <v>9.1</v>
      </c>
      <c r="BI29" s="137" t="n">
        <v>87.3</v>
      </c>
      <c r="BJ29" s="137" t="n">
        <v>13.3</v>
      </c>
      <c r="BK29" s="137" t="n">
        <v>77.09999999999999</v>
      </c>
      <c r="BL29" s="137" t="n">
        <v>20.1</v>
      </c>
      <c r="BM29" s="137" t="n">
        <v>17.6</v>
      </c>
      <c r="BN29" s="137" t="n">
        <v>46</v>
      </c>
      <c r="BO29" s="138" t="n">
        <v>40.2</v>
      </c>
    </row>
    <row r="30" ht="30" customHeight="1">
      <c r="A30" s="3" t="inlineStr">
        <is>
          <t>EST</t>
        </is>
      </c>
      <c r="B30" s="3" t="inlineStr">
        <is>
          <t>PILE</t>
        </is>
      </c>
      <c r="C30" s="3" t="inlineStr">
        <is>
          <t>Pile Est</t>
        </is>
      </c>
      <c r="D30" s="135" t="n">
        <v>386</v>
      </c>
      <c r="E30" s="135" t="n">
        <v>205</v>
      </c>
      <c r="F30" s="135" t="n">
        <v>176</v>
      </c>
      <c r="G30" s="135" t="n">
        <v>349</v>
      </c>
      <c r="H30" s="135" t="n">
        <v>176</v>
      </c>
      <c r="I30" s="135" t="n">
        <v>168</v>
      </c>
      <c r="J30" s="135" t="n">
        <v>126</v>
      </c>
      <c r="K30" s="135" t="n">
        <v>117</v>
      </c>
      <c r="L30" s="135" t="n">
        <v>53</v>
      </c>
      <c r="M30" s="135" t="n">
        <v>21</v>
      </c>
      <c r="N30" s="135" t="n">
        <v>35</v>
      </c>
      <c r="O30" s="135" t="n">
        <v>202</v>
      </c>
      <c r="P30" s="135" t="n">
        <v>105</v>
      </c>
      <c r="Q30" s="135" t="n">
        <v>92</v>
      </c>
      <c r="R30" s="135" t="n">
        <v>95</v>
      </c>
      <c r="S30" s="135" t="n">
        <v>49</v>
      </c>
      <c r="T30" s="135" t="n">
        <v>41</v>
      </c>
      <c r="U30" s="135" t="n">
        <v>266</v>
      </c>
      <c r="V30" s="135" t="n">
        <v>89</v>
      </c>
      <c r="W30" s="135" t="n">
        <v>95</v>
      </c>
      <c r="X30" s="135" t="n">
        <v>47</v>
      </c>
      <c r="Y30" s="135" t="n">
        <v>52</v>
      </c>
      <c r="Z30" s="135" t="n">
        <v>133</v>
      </c>
      <c r="AA30" s="135" t="n">
        <v>80</v>
      </c>
      <c r="AB30" s="135" t="n">
        <v>58</v>
      </c>
      <c r="AC30" s="135" t="n">
        <v>61</v>
      </c>
      <c r="AD30" s="135" t="n">
        <v>29</v>
      </c>
      <c r="AE30" s="135" t="n">
        <v>29</v>
      </c>
      <c r="AF30" s="135" t="n">
        <v>54</v>
      </c>
      <c r="AG30" s="135" t="n">
        <v>24</v>
      </c>
      <c r="AH30" s="135" t="n">
        <v>26</v>
      </c>
      <c r="AI30" s="135" t="n">
        <v>151</v>
      </c>
      <c r="AJ30" s="135" t="n">
        <v>66</v>
      </c>
      <c r="AK30" s="135" t="n">
        <v>79</v>
      </c>
      <c r="AL30" s="135" t="n">
        <v>57</v>
      </c>
      <c r="AM30" s="135" t="n">
        <v>30</v>
      </c>
      <c r="AN30" s="135" t="n">
        <v>30</v>
      </c>
      <c r="AO30" s="135" t="n">
        <v>60</v>
      </c>
      <c r="AP30" s="135" t="n">
        <v>44</v>
      </c>
      <c r="AQ30" s="135" t="n">
        <v>22</v>
      </c>
      <c r="AR30" s="135" t="n">
        <v>77</v>
      </c>
      <c r="AS30" s="135" t="n">
        <v>39</v>
      </c>
      <c r="AT30" s="135" t="n">
        <v>42</v>
      </c>
      <c r="AU30" s="135" t="n">
        <v>17</v>
      </c>
      <c r="AV30" s="135" t="n">
        <v>27</v>
      </c>
      <c r="AW30" s="135" t="n">
        <v>33</v>
      </c>
      <c r="AX30" s="135" t="n">
        <v>22</v>
      </c>
      <c r="AY30" s="135" t="n">
        <v>240</v>
      </c>
      <c r="AZ30" s="135" t="n">
        <v>173</v>
      </c>
      <c r="BA30" s="135" t="n">
        <v>85</v>
      </c>
      <c r="BB30" s="135" t="n">
        <v>83</v>
      </c>
      <c r="BC30" s="135" t="n">
        <v>247</v>
      </c>
      <c r="BD30" s="136" t="n">
        <v>0.2</v>
      </c>
      <c r="BE30" s="135" t="n">
        <v>2137</v>
      </c>
      <c r="BF30" s="137" t="n">
        <v>18.1</v>
      </c>
      <c r="BG30" s="137" t="n">
        <v>9.6</v>
      </c>
      <c r="BH30" s="137" t="n">
        <v>8.199999999999999</v>
      </c>
      <c r="BI30" s="137" t="n">
        <v>90.40000000000001</v>
      </c>
      <c r="BJ30" s="137" t="n">
        <v>15.2</v>
      </c>
      <c r="BK30" s="137" t="n">
        <v>82.8</v>
      </c>
      <c r="BL30" s="137" t="n">
        <v>22.1</v>
      </c>
      <c r="BM30" s="137" t="n">
        <v>19.9</v>
      </c>
      <c r="BN30" s="137" t="n">
        <v>49.6</v>
      </c>
      <c r="BO30" s="138" t="n">
        <v>44.8</v>
      </c>
    </row>
    <row r="31" ht="30" customHeight="1">
      <c r="A31" s="3" t="inlineStr">
        <is>
          <t>EST</t>
        </is>
      </c>
      <c r="B31" s="3" t="inlineStr">
        <is>
          <t>PILE</t>
        </is>
      </c>
      <c r="C31" s="3" t="inlineStr">
        <is>
          <t>Pile Centre</t>
        </is>
      </c>
      <c r="D31" s="135" t="n">
        <v>474</v>
      </c>
      <c r="E31" s="135" t="n">
        <v>247</v>
      </c>
      <c r="F31" s="135" t="n">
        <v>232</v>
      </c>
      <c r="G31" s="135" t="n">
        <v>426</v>
      </c>
      <c r="H31" s="135" t="n">
        <v>220</v>
      </c>
      <c r="I31" s="135" t="n">
        <v>210</v>
      </c>
      <c r="J31" s="135" t="n">
        <v>150</v>
      </c>
      <c r="K31" s="135" t="n">
        <v>154</v>
      </c>
      <c r="L31" s="135" t="n">
        <v>66</v>
      </c>
      <c r="M31" s="135" t="n">
        <v>37</v>
      </c>
      <c r="N31" s="135" t="n">
        <v>33</v>
      </c>
      <c r="O31" s="135" t="n">
        <v>272</v>
      </c>
      <c r="P31" s="135" t="n">
        <v>139</v>
      </c>
      <c r="Q31" s="135" t="n">
        <v>136</v>
      </c>
      <c r="R31" s="135" t="n">
        <v>89</v>
      </c>
      <c r="S31" s="135" t="n">
        <v>51</v>
      </c>
      <c r="T31" s="135" t="n">
        <v>41</v>
      </c>
      <c r="U31" s="135" t="n">
        <v>301</v>
      </c>
      <c r="V31" s="135" t="n">
        <v>125</v>
      </c>
      <c r="W31" s="135" t="n">
        <v>123</v>
      </c>
      <c r="X31" s="135" t="n">
        <v>50</v>
      </c>
      <c r="Y31" s="135" t="n">
        <v>68</v>
      </c>
      <c r="Z31" s="135" t="n">
        <v>141</v>
      </c>
      <c r="AA31" s="135" t="n">
        <v>81</v>
      </c>
      <c r="AB31" s="135" t="n">
        <v>56</v>
      </c>
      <c r="AC31" s="135" t="n">
        <v>103</v>
      </c>
      <c r="AD31" s="135" t="n">
        <v>50</v>
      </c>
      <c r="AE31" s="135" t="n">
        <v>49</v>
      </c>
      <c r="AF31" s="135" t="n">
        <v>71</v>
      </c>
      <c r="AG31" s="135" t="n">
        <v>33</v>
      </c>
      <c r="AH31" s="135" t="n">
        <v>35</v>
      </c>
      <c r="AI31" s="135" t="n">
        <v>171</v>
      </c>
      <c r="AJ31" s="135" t="n">
        <v>87</v>
      </c>
      <c r="AK31" s="135" t="n">
        <v>80</v>
      </c>
      <c r="AL31" s="135" t="n">
        <v>92</v>
      </c>
      <c r="AM31" s="135" t="n">
        <v>47</v>
      </c>
      <c r="AN31" s="135" t="n">
        <v>42</v>
      </c>
      <c r="AO31" s="135" t="n">
        <v>87</v>
      </c>
      <c r="AP31" s="135" t="n">
        <v>49</v>
      </c>
      <c r="AQ31" s="135" t="n">
        <v>33</v>
      </c>
      <c r="AR31" s="135" t="n">
        <v>70</v>
      </c>
      <c r="AS31" s="135" t="n">
        <v>33</v>
      </c>
      <c r="AT31" s="135" t="n">
        <v>43</v>
      </c>
      <c r="AU31" s="135" t="n">
        <v>32</v>
      </c>
      <c r="AV31" s="135" t="n">
        <v>30</v>
      </c>
      <c r="AW31" s="135" t="n">
        <v>40</v>
      </c>
      <c r="AX31" s="135" t="n">
        <v>34</v>
      </c>
      <c r="AY31" s="135" t="n">
        <v>298</v>
      </c>
      <c r="AZ31" s="135" t="n">
        <v>227</v>
      </c>
      <c r="BA31" s="135" t="n">
        <v>100</v>
      </c>
      <c r="BB31" s="135" t="n">
        <v>124</v>
      </c>
      <c r="BC31" s="135" t="n">
        <v>307</v>
      </c>
      <c r="BD31" s="136" t="n">
        <v>0.17</v>
      </c>
      <c r="BE31" s="135" t="n">
        <v>2553</v>
      </c>
      <c r="BF31" s="137" t="n">
        <v>18.6</v>
      </c>
      <c r="BG31" s="137" t="n">
        <v>9.699999999999999</v>
      </c>
      <c r="BH31" s="137" t="n">
        <v>9.1</v>
      </c>
      <c r="BI31" s="137" t="n">
        <v>89.90000000000001</v>
      </c>
      <c r="BJ31" s="137" t="n">
        <v>15.5</v>
      </c>
      <c r="BK31" s="137" t="n">
        <v>86.2</v>
      </c>
      <c r="BL31" s="137" t="n">
        <v>16.4</v>
      </c>
      <c r="BM31" s="137" t="n">
        <v>14.8</v>
      </c>
      <c r="BN31" s="137" t="n">
        <v>53.3</v>
      </c>
      <c r="BO31" s="138" t="n">
        <v>47.9</v>
      </c>
    </row>
    <row r="32" ht="30" customHeight="1">
      <c r="A32" s="3" t="inlineStr">
        <is>
          <t>EST</t>
        </is>
      </c>
      <c r="B32" s="3" t="inlineStr">
        <is>
          <t>PILE</t>
        </is>
      </c>
      <c r="C32" s="3" t="inlineStr">
        <is>
          <t>Pile Nord</t>
        </is>
      </c>
      <c r="D32" s="135" t="n">
        <v>364</v>
      </c>
      <c r="E32" s="135" t="n">
        <v>207</v>
      </c>
      <c r="F32" s="135" t="n">
        <v>153</v>
      </c>
      <c r="G32" s="135" t="n">
        <v>315</v>
      </c>
      <c r="H32" s="135" t="n">
        <v>182</v>
      </c>
      <c r="I32" s="135" t="n">
        <v>137</v>
      </c>
      <c r="J32" s="135" t="n">
        <v>135</v>
      </c>
      <c r="K32" s="135" t="n">
        <v>92</v>
      </c>
      <c r="L32" s="135" t="n">
        <v>42</v>
      </c>
      <c r="M32" s="135" t="n">
        <v>30</v>
      </c>
      <c r="N32" s="135" t="n">
        <v>16</v>
      </c>
      <c r="O32" s="135" t="n">
        <v>174</v>
      </c>
      <c r="P32" s="135" t="n">
        <v>91</v>
      </c>
      <c r="Q32" s="135" t="n">
        <v>79</v>
      </c>
      <c r="R32" s="135" t="n">
        <v>100</v>
      </c>
      <c r="S32" s="135" t="n">
        <v>62</v>
      </c>
      <c r="T32" s="135" t="n">
        <v>42</v>
      </c>
      <c r="U32" s="135" t="n">
        <v>237</v>
      </c>
      <c r="V32" s="135" t="n">
        <v>75</v>
      </c>
      <c r="W32" s="135" t="n">
        <v>104</v>
      </c>
      <c r="X32" s="135" t="n">
        <v>55</v>
      </c>
      <c r="Y32" s="135" t="n">
        <v>53</v>
      </c>
      <c r="Z32" s="135" t="n">
        <v>98</v>
      </c>
      <c r="AA32" s="135" t="n">
        <v>59</v>
      </c>
      <c r="AB32" s="135" t="n">
        <v>34</v>
      </c>
      <c r="AC32" s="135" t="n">
        <v>61</v>
      </c>
      <c r="AD32" s="135" t="n">
        <v>36</v>
      </c>
      <c r="AE32" s="135" t="n">
        <v>29</v>
      </c>
      <c r="AF32" s="135" t="n">
        <v>49</v>
      </c>
      <c r="AG32" s="135" t="n">
        <v>28</v>
      </c>
      <c r="AH32" s="135" t="n">
        <v>25</v>
      </c>
      <c r="AI32" s="135" t="n">
        <v>145</v>
      </c>
      <c r="AJ32" s="135" t="n">
        <v>82</v>
      </c>
      <c r="AK32" s="135" t="n">
        <v>59</v>
      </c>
      <c r="AL32" s="135" t="n">
        <v>51</v>
      </c>
      <c r="AM32" s="135" t="n">
        <v>33</v>
      </c>
      <c r="AN32" s="135" t="n">
        <v>24</v>
      </c>
      <c r="AO32" s="135" t="n">
        <v>56</v>
      </c>
      <c r="AP32" s="135" t="n">
        <v>37</v>
      </c>
      <c r="AQ32" s="135" t="n">
        <v>23</v>
      </c>
      <c r="AR32" s="135" t="n">
        <v>58</v>
      </c>
      <c r="AS32" s="135" t="n">
        <v>35</v>
      </c>
      <c r="AT32" s="135" t="n">
        <v>26</v>
      </c>
      <c r="AU32" s="135" t="n">
        <v>22</v>
      </c>
      <c r="AV32" s="135" t="n">
        <v>11</v>
      </c>
      <c r="AW32" s="135" t="n">
        <v>36</v>
      </c>
      <c r="AX32" s="135" t="n">
        <v>19</v>
      </c>
      <c r="AY32" s="135" t="n">
        <v>235</v>
      </c>
      <c r="AZ32" s="135" t="n">
        <v>189</v>
      </c>
      <c r="BA32" s="135" t="n">
        <v>105</v>
      </c>
      <c r="BB32" s="135" t="n">
        <v>88</v>
      </c>
      <c r="BC32" s="135" t="n">
        <v>230</v>
      </c>
      <c r="BD32" s="136" t="n">
        <v>0.33</v>
      </c>
      <c r="BE32" s="135" t="n">
        <v>2300</v>
      </c>
      <c r="BF32" s="137" t="n">
        <v>15.8</v>
      </c>
      <c r="BG32" s="137" t="n">
        <v>9</v>
      </c>
      <c r="BH32" s="137" t="n">
        <v>6.7</v>
      </c>
      <c r="BI32" s="137" t="n">
        <v>86.5</v>
      </c>
      <c r="BJ32" s="137" t="n">
        <v>13.3</v>
      </c>
      <c r="BK32" s="137" t="n">
        <v>83.5</v>
      </c>
      <c r="BL32" s="137" t="n">
        <v>18.4</v>
      </c>
      <c r="BM32" s="137" t="n">
        <v>15.9</v>
      </c>
      <c r="BN32" s="137" t="n">
        <v>60</v>
      </c>
      <c r="BO32" s="138" t="n">
        <v>51.9</v>
      </c>
    </row>
    <row r="33" ht="30" customHeight="1">
      <c r="A33" s="3" t="inlineStr">
        <is>
          <t>EST</t>
        </is>
      </c>
      <c r="B33" s="3" t="inlineStr">
        <is>
          <t>TROIS PONTS</t>
        </is>
      </c>
      <c r="C33" s="3" t="inlineStr">
        <is>
          <t>Trois Ponts Nord</t>
        </is>
      </c>
      <c r="D33" s="135" t="n">
        <v>200</v>
      </c>
      <c r="E33" s="135" t="n">
        <v>125</v>
      </c>
      <c r="F33" s="135" t="n">
        <v>72</v>
      </c>
      <c r="G33" s="135" t="n">
        <v>179</v>
      </c>
      <c r="H33" s="135" t="n">
        <v>109</v>
      </c>
      <c r="I33" s="135" t="n">
        <v>66</v>
      </c>
      <c r="J33" s="135" t="n">
        <v>93</v>
      </c>
      <c r="K33" s="135" t="n">
        <v>45</v>
      </c>
      <c r="L33" s="135" t="n">
        <v>19</v>
      </c>
      <c r="M33" s="135" t="n">
        <v>8</v>
      </c>
      <c r="N33" s="135" t="n">
        <v>7</v>
      </c>
      <c r="O33" s="135" t="n">
        <v>103</v>
      </c>
      <c r="P33" s="135" t="n">
        <v>64</v>
      </c>
      <c r="Q33" s="135" t="n">
        <v>43</v>
      </c>
      <c r="R33" s="135" t="n">
        <v>57</v>
      </c>
      <c r="S33" s="135" t="n">
        <v>37</v>
      </c>
      <c r="T33" s="135" t="n">
        <v>16</v>
      </c>
      <c r="U33" s="135" t="n">
        <v>102</v>
      </c>
      <c r="V33" s="135" t="n">
        <v>73</v>
      </c>
      <c r="W33" s="135" t="n">
        <v>63</v>
      </c>
      <c r="X33" s="135" t="n">
        <v>44</v>
      </c>
      <c r="Y33" s="135" t="n">
        <v>23</v>
      </c>
      <c r="Z33" s="135" t="n">
        <v>69</v>
      </c>
      <c r="AA33" s="135" t="n">
        <v>48</v>
      </c>
      <c r="AB33" s="135" t="n">
        <v>24</v>
      </c>
      <c r="AC33" s="135" t="n">
        <v>27</v>
      </c>
      <c r="AD33" s="135" t="n">
        <v>20</v>
      </c>
      <c r="AE33" s="135" t="n">
        <v>12</v>
      </c>
      <c r="AF33" s="135" t="n">
        <v>8</v>
      </c>
      <c r="AG33" s="135" t="n">
        <v>0</v>
      </c>
      <c r="AH33" s="135" t="n">
        <v>5</v>
      </c>
      <c r="AI33" s="135" t="n">
        <v>79</v>
      </c>
      <c r="AJ33" s="135" t="n">
        <v>45</v>
      </c>
      <c r="AK33" s="135" t="n">
        <v>29</v>
      </c>
      <c r="AL33" s="135" t="n">
        <v>44</v>
      </c>
      <c r="AM33" s="135" t="n">
        <v>24</v>
      </c>
      <c r="AN33" s="135" t="n">
        <v>16</v>
      </c>
      <c r="AO33" s="135" t="n">
        <v>34</v>
      </c>
      <c r="AP33" s="135" t="n">
        <v>21</v>
      </c>
      <c r="AQ33" s="135" t="n">
        <v>16</v>
      </c>
      <c r="AR33" s="135" t="n">
        <v>27</v>
      </c>
      <c r="AS33" s="135" t="n">
        <v>21</v>
      </c>
      <c r="AT33" s="135" t="n">
        <v>12</v>
      </c>
      <c r="AU33" s="135" t="n">
        <v>5</v>
      </c>
      <c r="AV33" s="135" t="n">
        <v>10</v>
      </c>
      <c r="AW33" s="135" t="n">
        <v>15</v>
      </c>
      <c r="AX33" s="135" t="n">
        <v>12</v>
      </c>
      <c r="AY33" s="135" t="n">
        <v>145</v>
      </c>
      <c r="AZ33" s="135" t="n">
        <v>116</v>
      </c>
      <c r="BA33" s="135" t="n">
        <v>75</v>
      </c>
      <c r="BB33" s="135" t="n">
        <v>35</v>
      </c>
      <c r="BC33" s="135" t="n">
        <v>142</v>
      </c>
      <c r="BD33" s="136" t="n">
        <v>0.1</v>
      </c>
      <c r="BE33" s="135" t="n">
        <v>554</v>
      </c>
      <c r="BF33" s="137" t="n">
        <v>36.1</v>
      </c>
      <c r="BG33" s="137" t="n">
        <v>22.6</v>
      </c>
      <c r="BH33" s="137" t="n">
        <v>13</v>
      </c>
      <c r="BI33" s="137" t="n">
        <v>89.5</v>
      </c>
      <c r="BJ33" s="137" t="n">
        <v>10.6</v>
      </c>
      <c r="BK33" s="137" t="n">
        <v>88.8</v>
      </c>
      <c r="BL33" s="137" t="n">
        <v>15.1</v>
      </c>
      <c r="BM33" s="137" t="n">
        <v>13.5</v>
      </c>
      <c r="BN33" s="137" t="n">
        <v>64.8</v>
      </c>
      <c r="BO33" s="138" t="n">
        <v>58</v>
      </c>
    </row>
    <row r="34" ht="30" customHeight="1">
      <c r="A34" s="3" t="inlineStr">
        <is>
          <t>EST</t>
        </is>
      </c>
      <c r="B34" s="3" t="inlineStr">
        <is>
          <t>TROIS PONTS</t>
        </is>
      </c>
      <c r="C34" s="3" t="inlineStr">
        <is>
          <t>Trois Ponts Sud</t>
        </is>
      </c>
      <c r="D34" s="135" t="n">
        <v>424</v>
      </c>
      <c r="E34" s="135" t="n">
        <v>210</v>
      </c>
      <c r="F34" s="135" t="n">
        <v>218</v>
      </c>
      <c r="G34" s="135" t="n">
        <v>379</v>
      </c>
      <c r="H34" s="135" t="n">
        <v>176</v>
      </c>
      <c r="I34" s="135" t="n">
        <v>199</v>
      </c>
      <c r="J34" s="135" t="n">
        <v>118</v>
      </c>
      <c r="K34" s="135" t="n">
        <v>130</v>
      </c>
      <c r="L34" s="135" t="n">
        <v>45</v>
      </c>
      <c r="M34" s="135" t="n">
        <v>24</v>
      </c>
      <c r="N34" s="135" t="n">
        <v>16</v>
      </c>
      <c r="O34" s="135" t="n">
        <v>229</v>
      </c>
      <c r="P34" s="135" t="n">
        <v>108</v>
      </c>
      <c r="Q34" s="135" t="n">
        <v>126</v>
      </c>
      <c r="R34" s="135" t="n">
        <v>106</v>
      </c>
      <c r="S34" s="135" t="n">
        <v>46</v>
      </c>
      <c r="T34" s="135" t="n">
        <v>57</v>
      </c>
      <c r="U34" s="135" t="n">
        <v>244</v>
      </c>
      <c r="V34" s="135" t="n">
        <v>132</v>
      </c>
      <c r="W34" s="135" t="n">
        <v>101</v>
      </c>
      <c r="X34" s="135" t="n">
        <v>38</v>
      </c>
      <c r="Y34" s="135" t="n">
        <v>58</v>
      </c>
      <c r="Z34" s="135" t="n">
        <v>122</v>
      </c>
      <c r="AA34" s="135" t="n">
        <v>64</v>
      </c>
      <c r="AB34" s="135" t="n">
        <v>61</v>
      </c>
      <c r="AC34" s="135" t="n">
        <v>104</v>
      </c>
      <c r="AD34" s="135" t="n">
        <v>51</v>
      </c>
      <c r="AE34" s="135" t="n">
        <v>57</v>
      </c>
      <c r="AF34" s="135" t="n">
        <v>55</v>
      </c>
      <c r="AG34" s="135" t="n">
        <v>27</v>
      </c>
      <c r="AH34" s="135" t="n">
        <v>25</v>
      </c>
      <c r="AI34" s="135" t="n">
        <v>131</v>
      </c>
      <c r="AJ34" s="135" t="n">
        <v>61</v>
      </c>
      <c r="AK34" s="135" t="n">
        <v>65</v>
      </c>
      <c r="AL34" s="135" t="n">
        <v>79</v>
      </c>
      <c r="AM34" s="135" t="n">
        <v>43</v>
      </c>
      <c r="AN34" s="135" t="n">
        <v>41</v>
      </c>
      <c r="AO34" s="135" t="n">
        <v>86</v>
      </c>
      <c r="AP34" s="135" t="n">
        <v>38</v>
      </c>
      <c r="AQ34" s="135" t="n">
        <v>55</v>
      </c>
      <c r="AR34" s="135" t="n">
        <v>80</v>
      </c>
      <c r="AS34" s="135" t="n">
        <v>38</v>
      </c>
      <c r="AT34" s="135" t="n">
        <v>46</v>
      </c>
      <c r="AU34" s="135" t="n">
        <v>15</v>
      </c>
      <c r="AV34" s="135" t="n">
        <v>29</v>
      </c>
      <c r="AW34" s="135" t="n">
        <v>43</v>
      </c>
      <c r="AX34" s="135" t="n">
        <v>40</v>
      </c>
      <c r="AY34" s="135" t="n">
        <v>263</v>
      </c>
      <c r="AZ34" s="135" t="n">
        <v>190</v>
      </c>
      <c r="BA34" s="135" t="n">
        <v>79</v>
      </c>
      <c r="BB34" s="135" t="n">
        <v>106</v>
      </c>
      <c r="BC34" s="135" t="n">
        <v>252</v>
      </c>
      <c r="BD34" s="136" t="n">
        <v>0.18</v>
      </c>
      <c r="BE34" s="135" t="n">
        <v>2357</v>
      </c>
      <c r="BF34" s="137" t="n">
        <v>18</v>
      </c>
      <c r="BG34" s="137" t="n">
        <v>8.9</v>
      </c>
      <c r="BH34" s="137" t="n">
        <v>9.300000000000001</v>
      </c>
      <c r="BI34" s="137" t="n">
        <v>89.40000000000001</v>
      </c>
      <c r="BJ34" s="137" t="n">
        <v>11.9</v>
      </c>
      <c r="BK34" s="137" t="n">
        <v>86.3</v>
      </c>
      <c r="BL34" s="137" t="n">
        <v>21.1</v>
      </c>
      <c r="BM34" s="137" t="n">
        <v>18.9</v>
      </c>
      <c r="BN34" s="137" t="n">
        <v>50.1</v>
      </c>
      <c r="BO34" s="138" t="n">
        <v>44.8</v>
      </c>
    </row>
    <row r="35" ht="30" customHeight="1">
      <c r="A35" s="3" t="inlineStr">
        <is>
          <t>EST</t>
        </is>
      </c>
      <c r="B35" s="3" t="inlineStr">
        <is>
          <t>SARTEL CARIHEM</t>
        </is>
      </c>
      <c r="C35" s="3" t="inlineStr">
        <is>
          <t>Sartel</t>
        </is>
      </c>
      <c r="D35" s="135" t="n">
        <v>281</v>
      </c>
      <c r="E35" s="135" t="n">
        <v>147</v>
      </c>
      <c r="F35" s="135" t="n">
        <v>138</v>
      </c>
      <c r="G35" s="135" t="n">
        <v>254</v>
      </c>
      <c r="H35" s="135" t="n">
        <v>129</v>
      </c>
      <c r="I35" s="135" t="n">
        <v>129</v>
      </c>
      <c r="J35" s="135" t="n">
        <v>93</v>
      </c>
      <c r="K35" s="135" t="n">
        <v>85</v>
      </c>
      <c r="L35" s="135" t="n">
        <v>29</v>
      </c>
      <c r="M35" s="135" t="n">
        <v>10</v>
      </c>
      <c r="N35" s="135" t="n">
        <v>16</v>
      </c>
      <c r="O35" s="135" t="n">
        <v>162</v>
      </c>
      <c r="P35" s="135" t="n">
        <v>81</v>
      </c>
      <c r="Q35" s="135" t="n">
        <v>84</v>
      </c>
      <c r="R35" s="135" t="n">
        <v>63</v>
      </c>
      <c r="S35" s="135" t="n">
        <v>38</v>
      </c>
      <c r="T35" s="135" t="n">
        <v>29</v>
      </c>
      <c r="U35" s="135" t="n">
        <v>201</v>
      </c>
      <c r="V35" s="135" t="n">
        <v>57</v>
      </c>
      <c r="W35" s="135" t="n">
        <v>47</v>
      </c>
      <c r="X35" s="135" t="n">
        <v>31</v>
      </c>
      <c r="Y35" s="135" t="n">
        <v>20</v>
      </c>
      <c r="Z35" s="135" t="n">
        <v>106</v>
      </c>
      <c r="AA35" s="135" t="n">
        <v>56</v>
      </c>
      <c r="AB35" s="135" t="n">
        <v>53</v>
      </c>
      <c r="AC35" s="135" t="n">
        <v>56</v>
      </c>
      <c r="AD35" s="135" t="n">
        <v>26</v>
      </c>
      <c r="AE35" s="135" t="n">
        <v>27</v>
      </c>
      <c r="AF35" s="135" t="n">
        <v>44</v>
      </c>
      <c r="AG35" s="135" t="n">
        <v>19</v>
      </c>
      <c r="AH35" s="135" t="n">
        <v>32</v>
      </c>
      <c r="AI35" s="135" t="n">
        <v>90</v>
      </c>
      <c r="AJ35" s="135" t="n">
        <v>49</v>
      </c>
      <c r="AK35" s="135" t="n">
        <v>45</v>
      </c>
      <c r="AL35" s="135" t="n">
        <v>38</v>
      </c>
      <c r="AM35" s="135" t="n">
        <v>17</v>
      </c>
      <c r="AN35" s="135" t="n">
        <v>24</v>
      </c>
      <c r="AO35" s="135" t="n">
        <v>71</v>
      </c>
      <c r="AP35" s="135" t="n">
        <v>28</v>
      </c>
      <c r="AQ35" s="135" t="n">
        <v>36</v>
      </c>
      <c r="AR35" s="135" t="n">
        <v>67</v>
      </c>
      <c r="AS35" s="135" t="n">
        <v>35</v>
      </c>
      <c r="AT35" s="135" t="n">
        <v>27</v>
      </c>
      <c r="AU35" s="135" t="n">
        <v>15</v>
      </c>
      <c r="AV35" s="135" t="n">
        <v>22</v>
      </c>
      <c r="AW35" s="135" t="n">
        <v>30</v>
      </c>
      <c r="AX35" s="135" t="n">
        <v>20</v>
      </c>
      <c r="AY35" s="135" t="n">
        <v>166</v>
      </c>
      <c r="AZ35" s="135" t="n">
        <v>127</v>
      </c>
      <c r="BA35" s="135" t="n">
        <v>63</v>
      </c>
      <c r="BB35" s="135" t="n">
        <v>68</v>
      </c>
      <c r="BC35" s="135" t="n">
        <v>174</v>
      </c>
      <c r="BD35" s="136" t="n">
        <v>1</v>
      </c>
      <c r="BE35" s="135" t="n">
        <v>1702</v>
      </c>
      <c r="BF35" s="137" t="n">
        <v>16.5</v>
      </c>
      <c r="BG35" s="137" t="n">
        <v>8.6</v>
      </c>
      <c r="BH35" s="137" t="n">
        <v>8.1</v>
      </c>
      <c r="BI35" s="137" t="n">
        <v>90.40000000000001</v>
      </c>
      <c r="BJ35" s="137" t="n">
        <v>11.4</v>
      </c>
      <c r="BK35" s="137" t="n">
        <v>82.3</v>
      </c>
      <c r="BL35" s="137" t="n">
        <v>26.4</v>
      </c>
      <c r="BM35" s="137" t="n">
        <v>23.8</v>
      </c>
      <c r="BN35" s="137" t="n">
        <v>50</v>
      </c>
      <c r="BO35" s="138" t="n">
        <v>45.2</v>
      </c>
    </row>
    <row r="36" ht="30" customHeight="1">
      <c r="A36" s="3" t="inlineStr">
        <is>
          <t>SUD</t>
        </is>
      </c>
      <c r="B36" s="3" t="inlineStr">
        <is>
          <t>CHEMIN NEUF/LINNE</t>
        </is>
      </c>
      <c r="C36" s="3" t="inlineStr">
        <is>
          <t>Linné-Chemin Neuf</t>
        </is>
      </c>
      <c r="D36" s="135" t="n">
        <v>426</v>
      </c>
      <c r="E36" s="135" t="n">
        <v>204</v>
      </c>
      <c r="F36" s="135" t="n">
        <v>218</v>
      </c>
      <c r="G36" s="135" t="n">
        <v>373</v>
      </c>
      <c r="H36" s="135" t="n">
        <v>183</v>
      </c>
      <c r="I36" s="135" t="n">
        <v>195</v>
      </c>
      <c r="J36" s="135" t="n">
        <v>122</v>
      </c>
      <c r="K36" s="135" t="n">
        <v>111</v>
      </c>
      <c r="L36" s="135" t="n">
        <v>45</v>
      </c>
      <c r="M36" s="135" t="n">
        <v>16</v>
      </c>
      <c r="N36" s="135" t="n">
        <v>24</v>
      </c>
      <c r="O36" s="135" t="n">
        <v>228</v>
      </c>
      <c r="P36" s="135" t="n">
        <v>111</v>
      </c>
      <c r="Q36" s="135" t="n">
        <v>121</v>
      </c>
      <c r="R36" s="135" t="n">
        <v>100</v>
      </c>
      <c r="S36" s="135" t="n">
        <v>46</v>
      </c>
      <c r="T36" s="135" t="n">
        <v>49</v>
      </c>
      <c r="U36" s="135" t="n">
        <v>319</v>
      </c>
      <c r="V36" s="135" t="n">
        <v>60</v>
      </c>
      <c r="W36" s="135" t="n">
        <v>77</v>
      </c>
      <c r="X36" s="135" t="n">
        <v>37</v>
      </c>
      <c r="Y36" s="135" t="n">
        <v>34</v>
      </c>
      <c r="Z36" s="135" t="n">
        <v>115</v>
      </c>
      <c r="AA36" s="135" t="n">
        <v>69</v>
      </c>
      <c r="AB36" s="135" t="n">
        <v>43</v>
      </c>
      <c r="AC36" s="135" t="n">
        <v>84</v>
      </c>
      <c r="AD36" s="135" t="n">
        <v>36</v>
      </c>
      <c r="AE36" s="135" t="n">
        <v>44</v>
      </c>
      <c r="AF36" s="135" t="n">
        <v>103</v>
      </c>
      <c r="AG36" s="135" t="n">
        <v>46</v>
      </c>
      <c r="AH36" s="135" t="n">
        <v>61</v>
      </c>
      <c r="AI36" s="135" t="n">
        <v>135</v>
      </c>
      <c r="AJ36" s="135" t="n">
        <v>69</v>
      </c>
      <c r="AK36" s="135" t="n">
        <v>63</v>
      </c>
      <c r="AL36" s="135" t="n">
        <v>58</v>
      </c>
      <c r="AM36" s="135" t="n">
        <v>24</v>
      </c>
      <c r="AN36" s="135" t="n">
        <v>38</v>
      </c>
      <c r="AO36" s="135" t="n">
        <v>76</v>
      </c>
      <c r="AP36" s="135" t="n">
        <v>40</v>
      </c>
      <c r="AQ36" s="135" t="n">
        <v>43</v>
      </c>
      <c r="AR36" s="135" t="n">
        <v>100</v>
      </c>
      <c r="AS36" s="135" t="n">
        <v>48</v>
      </c>
      <c r="AT36" s="135" t="n">
        <v>57</v>
      </c>
      <c r="AU36" s="135" t="n">
        <v>19</v>
      </c>
      <c r="AV36" s="135" t="n">
        <v>38</v>
      </c>
      <c r="AW36" s="135" t="n">
        <v>45</v>
      </c>
      <c r="AX36" s="135" t="n">
        <v>13</v>
      </c>
      <c r="AY36" s="135" t="n">
        <v>250</v>
      </c>
      <c r="AZ36" s="135" t="n">
        <v>151</v>
      </c>
      <c r="BA36" s="135" t="n">
        <v>74</v>
      </c>
      <c r="BB36" s="135" t="n">
        <v>73</v>
      </c>
      <c r="BC36" s="135" t="n">
        <v>228</v>
      </c>
      <c r="BD36" s="136" t="n">
        <v>0.46</v>
      </c>
      <c r="BE36" s="135" t="n">
        <v>3488</v>
      </c>
      <c r="BF36" s="137" t="n">
        <v>12.2</v>
      </c>
      <c r="BG36" s="137" t="n">
        <v>5.8</v>
      </c>
      <c r="BH36" s="137" t="n">
        <v>6.2</v>
      </c>
      <c r="BI36" s="137" t="n">
        <v>87.59999999999999</v>
      </c>
      <c r="BJ36" s="137" t="n">
        <v>12.1</v>
      </c>
      <c r="BK36" s="137" t="n">
        <v>74</v>
      </c>
      <c r="BL36" s="137" t="n">
        <v>26.8</v>
      </c>
      <c r="BM36" s="137" t="n">
        <v>23.5</v>
      </c>
      <c r="BN36" s="137" t="n">
        <v>40.5</v>
      </c>
      <c r="BO36" s="138" t="n">
        <v>35.4</v>
      </c>
    </row>
    <row r="37" ht="30" customHeight="1">
      <c r="A37" s="3" t="inlineStr">
        <is>
          <t>SUD</t>
        </is>
      </c>
      <c r="B37" s="3" t="inlineStr">
        <is>
          <t>JUSTICE</t>
        </is>
      </c>
      <c r="C37" s="3" t="inlineStr">
        <is>
          <t>Justice</t>
        </is>
      </c>
      <c r="D37" s="135" t="n">
        <v>288</v>
      </c>
      <c r="E37" s="135" t="n">
        <v>154</v>
      </c>
      <c r="F37" s="135" t="n">
        <v>140</v>
      </c>
      <c r="G37" s="135" t="n">
        <v>255</v>
      </c>
      <c r="H37" s="135" t="n">
        <v>141</v>
      </c>
      <c r="I37" s="135" t="n">
        <v>120</v>
      </c>
      <c r="J37" s="135" t="n">
        <v>93</v>
      </c>
      <c r="K37" s="135" t="n">
        <v>66</v>
      </c>
      <c r="L37" s="135" t="n">
        <v>36</v>
      </c>
      <c r="M37" s="135" t="n">
        <v>21</v>
      </c>
      <c r="N37" s="135" t="n">
        <v>11</v>
      </c>
      <c r="O37" s="135" t="n">
        <v>146</v>
      </c>
      <c r="P37" s="135" t="n">
        <v>84</v>
      </c>
      <c r="Q37" s="135" t="n">
        <v>57</v>
      </c>
      <c r="R37" s="135" t="n">
        <v>73</v>
      </c>
      <c r="S37" s="135" t="n">
        <v>28</v>
      </c>
      <c r="T37" s="135" t="n">
        <v>40</v>
      </c>
      <c r="U37" s="135" t="n">
        <v>209</v>
      </c>
      <c r="V37" s="135" t="n">
        <v>42</v>
      </c>
      <c r="W37" s="135" t="n">
        <v>55</v>
      </c>
      <c r="X37" s="135" t="n">
        <v>25</v>
      </c>
      <c r="Y37" s="135" t="n">
        <v>25</v>
      </c>
      <c r="Z37" s="135" t="n">
        <v>74</v>
      </c>
      <c r="AA37" s="135" t="n">
        <v>42</v>
      </c>
      <c r="AB37" s="135" t="n">
        <v>28</v>
      </c>
      <c r="AC37" s="135" t="n">
        <v>64</v>
      </c>
      <c r="AD37" s="135" t="n">
        <v>38</v>
      </c>
      <c r="AE37" s="135" t="n">
        <v>29</v>
      </c>
      <c r="AF37" s="135" t="n">
        <v>65</v>
      </c>
      <c r="AG37" s="135" t="n">
        <v>32</v>
      </c>
      <c r="AH37" s="135" t="n">
        <v>31</v>
      </c>
      <c r="AI37" s="135" t="n">
        <v>94</v>
      </c>
      <c r="AJ37" s="135" t="n">
        <v>53</v>
      </c>
      <c r="AK37" s="135" t="n">
        <v>36</v>
      </c>
      <c r="AL37" s="135" t="n">
        <v>36</v>
      </c>
      <c r="AM37" s="135" t="n">
        <v>22</v>
      </c>
      <c r="AN37" s="135" t="n">
        <v>17</v>
      </c>
      <c r="AO37" s="135" t="n">
        <v>54</v>
      </c>
      <c r="AP37" s="135" t="n">
        <v>31</v>
      </c>
      <c r="AQ37" s="135" t="n">
        <v>19</v>
      </c>
      <c r="AR37" s="135" t="n">
        <v>68</v>
      </c>
      <c r="AS37" s="135" t="n">
        <v>31</v>
      </c>
      <c r="AT37" s="135" t="n">
        <v>32</v>
      </c>
      <c r="AU37" s="135" t="n">
        <v>9</v>
      </c>
      <c r="AV37" s="135" t="n">
        <v>29</v>
      </c>
      <c r="AW37" s="135" t="n">
        <v>29</v>
      </c>
      <c r="AX37" s="135" t="n">
        <v>17</v>
      </c>
      <c r="AY37" s="135" t="n">
        <v>159</v>
      </c>
      <c r="AZ37" s="135" t="n">
        <v>91</v>
      </c>
      <c r="BA37" s="135" t="n">
        <v>52</v>
      </c>
      <c r="BB37" s="135" t="n">
        <v>36</v>
      </c>
      <c r="BC37" s="135" t="n">
        <v>163</v>
      </c>
      <c r="BD37" s="136" t="n">
        <v>0.52</v>
      </c>
      <c r="BE37" s="135" t="n">
        <v>2362</v>
      </c>
      <c r="BF37" s="137" t="n">
        <v>12.2</v>
      </c>
      <c r="BG37" s="137" t="n">
        <v>6.5</v>
      </c>
      <c r="BH37" s="137" t="n">
        <v>5.9</v>
      </c>
      <c r="BI37" s="137" t="n">
        <v>88.5</v>
      </c>
      <c r="BJ37" s="137" t="n">
        <v>14.1</v>
      </c>
      <c r="BK37" s="137" t="n">
        <v>75.7</v>
      </c>
      <c r="BL37" s="137" t="n">
        <v>26.7</v>
      </c>
      <c r="BM37" s="137" t="n">
        <v>23.6</v>
      </c>
      <c r="BN37" s="137" t="n">
        <v>35.7</v>
      </c>
      <c r="BO37" s="138" t="n">
        <v>31.6</v>
      </c>
    </row>
    <row r="38" ht="30" customHeight="1">
      <c r="A38" s="3" t="inlineStr">
        <is>
          <t>EST</t>
        </is>
      </c>
      <c r="B38" s="3" t="inlineStr">
        <is>
          <t>FRATERNITE</t>
        </is>
      </c>
      <c r="C38" s="3" t="inlineStr">
        <is>
          <t>Fraternité</t>
        </is>
      </c>
      <c r="D38" s="135" t="n">
        <v>416</v>
      </c>
      <c r="E38" s="135" t="n">
        <v>213</v>
      </c>
      <c r="F38" s="135" t="n">
        <v>198</v>
      </c>
      <c r="G38" s="135" t="n">
        <v>331</v>
      </c>
      <c r="H38" s="135" t="n">
        <v>164</v>
      </c>
      <c r="I38" s="135" t="n">
        <v>172</v>
      </c>
      <c r="J38" s="135" t="n">
        <v>113</v>
      </c>
      <c r="K38" s="135" t="n">
        <v>110</v>
      </c>
      <c r="L38" s="135" t="n">
        <v>49</v>
      </c>
      <c r="M38" s="135" t="n">
        <v>21</v>
      </c>
      <c r="N38" s="135" t="n">
        <v>24</v>
      </c>
      <c r="O38" s="135" t="n">
        <v>210</v>
      </c>
      <c r="P38" s="135" t="n">
        <v>103</v>
      </c>
      <c r="Q38" s="135" t="n">
        <v>104</v>
      </c>
      <c r="R38" s="135" t="n">
        <v>71</v>
      </c>
      <c r="S38" s="135" t="n">
        <v>40</v>
      </c>
      <c r="T38" s="135" t="n">
        <v>35</v>
      </c>
      <c r="U38" s="135" t="n">
        <v>268</v>
      </c>
      <c r="V38" s="135" t="n">
        <v>66</v>
      </c>
      <c r="W38" s="135" t="n">
        <v>67</v>
      </c>
      <c r="X38" s="135" t="n">
        <v>26</v>
      </c>
      <c r="Y38" s="135" t="n">
        <v>36</v>
      </c>
      <c r="Z38" s="135" t="n">
        <v>94</v>
      </c>
      <c r="AA38" s="135" t="n">
        <v>56</v>
      </c>
      <c r="AB38" s="135" t="n">
        <v>42</v>
      </c>
      <c r="AC38" s="135" t="n">
        <v>90</v>
      </c>
      <c r="AD38" s="135" t="n">
        <v>45</v>
      </c>
      <c r="AE38" s="135" t="n">
        <v>41</v>
      </c>
      <c r="AF38" s="135" t="n">
        <v>84</v>
      </c>
      <c r="AG38" s="135" t="n">
        <v>40</v>
      </c>
      <c r="AH38" s="135" t="n">
        <v>47</v>
      </c>
      <c r="AI38" s="135" t="n">
        <v>141</v>
      </c>
      <c r="AJ38" s="135" t="n">
        <v>73</v>
      </c>
      <c r="AK38" s="135" t="n">
        <v>72</v>
      </c>
      <c r="AL38" s="135" t="n">
        <v>53</v>
      </c>
      <c r="AM38" s="135" t="n">
        <v>22</v>
      </c>
      <c r="AN38" s="135" t="n">
        <v>34</v>
      </c>
      <c r="AO38" s="135" t="n">
        <v>67</v>
      </c>
      <c r="AP38" s="135" t="n">
        <v>34</v>
      </c>
      <c r="AQ38" s="135" t="n">
        <v>29</v>
      </c>
      <c r="AR38" s="135" t="n">
        <v>73</v>
      </c>
      <c r="AS38" s="135" t="n">
        <v>38</v>
      </c>
      <c r="AT38" s="135" t="n">
        <v>31</v>
      </c>
      <c r="AU38" s="135" t="n">
        <v>9</v>
      </c>
      <c r="AV38" s="135" t="n">
        <v>24</v>
      </c>
      <c r="AW38" s="135" t="n">
        <v>55</v>
      </c>
      <c r="AX38" s="135" t="n">
        <v>26</v>
      </c>
      <c r="AY38" s="135" t="n">
        <v>224</v>
      </c>
      <c r="AZ38" s="135" t="n">
        <v>144</v>
      </c>
      <c r="BA38" s="135" t="n">
        <v>75</v>
      </c>
      <c r="BB38" s="135" t="n">
        <v>73</v>
      </c>
      <c r="BC38" s="135" t="n">
        <v>229</v>
      </c>
      <c r="BD38" s="136" t="n">
        <v>0.41</v>
      </c>
      <c r="BE38" s="135" t="n">
        <v>2691</v>
      </c>
      <c r="BF38" s="137" t="n">
        <v>15.5</v>
      </c>
      <c r="BG38" s="137" t="n">
        <v>7.9</v>
      </c>
      <c r="BH38" s="137" t="n">
        <v>7.4</v>
      </c>
      <c r="BI38" s="137" t="n">
        <v>79.59999999999999</v>
      </c>
      <c r="BJ38" s="137" t="n">
        <v>14.8</v>
      </c>
      <c r="BK38" s="137" t="n">
        <v>75.8</v>
      </c>
      <c r="BL38" s="137" t="n">
        <v>22.1</v>
      </c>
      <c r="BM38" s="137" t="n">
        <v>17.5</v>
      </c>
      <c r="BN38" s="137" t="n">
        <v>43.5</v>
      </c>
      <c r="BO38" s="138" t="n">
        <v>34.6</v>
      </c>
    </row>
    <row r="39" ht="30" customHeight="1">
      <c r="A39" s="3" t="inlineStr">
        <is>
          <t>SUD</t>
        </is>
      </c>
      <c r="B39" s="3" t="inlineStr">
        <is>
          <t>NOUVEAU ROUBAIX</t>
        </is>
      </c>
      <c r="C39" s="3" t="inlineStr">
        <is>
          <t>Nouveau Roubaix</t>
        </is>
      </c>
      <c r="D39" s="135" t="n">
        <v>464</v>
      </c>
      <c r="E39" s="135" t="n">
        <v>258</v>
      </c>
      <c r="F39" s="135" t="n">
        <v>210</v>
      </c>
      <c r="G39" s="135" t="n">
        <v>407</v>
      </c>
      <c r="H39" s="135" t="n">
        <v>218</v>
      </c>
      <c r="I39" s="135" t="n">
        <v>186</v>
      </c>
      <c r="J39" s="135" t="n">
        <v>153</v>
      </c>
      <c r="K39" s="135" t="n">
        <v>130</v>
      </c>
      <c r="L39" s="135" t="n">
        <v>54</v>
      </c>
      <c r="M39" s="135" t="n">
        <v>25</v>
      </c>
      <c r="N39" s="135" t="n">
        <v>34</v>
      </c>
      <c r="O39" s="135" t="n">
        <v>244</v>
      </c>
      <c r="P39" s="135" t="n">
        <v>132</v>
      </c>
      <c r="Q39" s="135" t="n">
        <v>108</v>
      </c>
      <c r="R39" s="135" t="n">
        <v>108</v>
      </c>
      <c r="S39" s="135" t="n">
        <v>61</v>
      </c>
      <c r="T39" s="135" t="n">
        <v>52</v>
      </c>
      <c r="U39" s="135" t="n">
        <v>320</v>
      </c>
      <c r="V39" s="135" t="n">
        <v>83</v>
      </c>
      <c r="W39" s="135" t="n">
        <v>76</v>
      </c>
      <c r="X39" s="135" t="n">
        <v>37</v>
      </c>
      <c r="Y39" s="135" t="n">
        <v>43</v>
      </c>
      <c r="Z39" s="135" t="n">
        <v>166</v>
      </c>
      <c r="AA39" s="135" t="n">
        <v>101</v>
      </c>
      <c r="AB39" s="135" t="n">
        <v>70</v>
      </c>
      <c r="AC39" s="135" t="n">
        <v>102</v>
      </c>
      <c r="AD39" s="135" t="n">
        <v>52</v>
      </c>
      <c r="AE39" s="135" t="n">
        <v>44</v>
      </c>
      <c r="AF39" s="135" t="n">
        <v>63</v>
      </c>
      <c r="AG39" s="135" t="n">
        <v>35</v>
      </c>
      <c r="AH39" s="135" t="n">
        <v>32</v>
      </c>
      <c r="AI39" s="135" t="n">
        <v>148</v>
      </c>
      <c r="AJ39" s="135" t="n">
        <v>84</v>
      </c>
      <c r="AK39" s="135" t="n">
        <v>67</v>
      </c>
      <c r="AL39" s="135" t="n">
        <v>81</v>
      </c>
      <c r="AM39" s="135" t="n">
        <v>45</v>
      </c>
      <c r="AN39" s="135" t="n">
        <v>40</v>
      </c>
      <c r="AO39" s="135" t="n">
        <v>88</v>
      </c>
      <c r="AP39" s="135" t="n">
        <v>41</v>
      </c>
      <c r="AQ39" s="135" t="n">
        <v>42</v>
      </c>
      <c r="AR39" s="135" t="n">
        <v>95</v>
      </c>
      <c r="AS39" s="135" t="n">
        <v>51</v>
      </c>
      <c r="AT39" s="135" t="n">
        <v>41</v>
      </c>
      <c r="AU39" s="135" t="n">
        <v>19</v>
      </c>
      <c r="AV39" s="135" t="n">
        <v>24</v>
      </c>
      <c r="AW39" s="135" t="n">
        <v>56</v>
      </c>
      <c r="AX39" s="135" t="n">
        <v>21</v>
      </c>
      <c r="AY39" s="135" t="n">
        <v>297</v>
      </c>
      <c r="AZ39" s="135" t="n">
        <v>203</v>
      </c>
      <c r="BA39" s="135" t="n">
        <v>105</v>
      </c>
      <c r="BB39" s="135" t="n">
        <v>102</v>
      </c>
      <c r="BC39" s="135" t="n">
        <v>289</v>
      </c>
      <c r="BD39" s="136" t="n">
        <v>0.17</v>
      </c>
      <c r="BE39" s="135" t="n">
        <v>2622</v>
      </c>
      <c r="BF39" s="137" t="n">
        <v>17.7</v>
      </c>
      <c r="BG39" s="137" t="n">
        <v>9.800000000000001</v>
      </c>
      <c r="BH39" s="137" t="n">
        <v>8</v>
      </c>
      <c r="BI39" s="137" t="n">
        <v>87.7</v>
      </c>
      <c r="BJ39" s="137" t="n">
        <v>13.3</v>
      </c>
      <c r="BK39" s="137" t="n">
        <v>84.5</v>
      </c>
      <c r="BL39" s="137" t="n">
        <v>23.3</v>
      </c>
      <c r="BM39" s="137" t="n">
        <v>20.5</v>
      </c>
      <c r="BN39" s="137" t="n">
        <v>49.9</v>
      </c>
      <c r="BO39" s="138" t="n">
        <v>43.8</v>
      </c>
    </row>
    <row r="40" ht="30" customHeight="1">
      <c r="A40" s="50" t="inlineStr">
        <is>
          <t>SUD</t>
        </is>
      </c>
      <c r="B40" s="50" t="inlineStr">
        <is>
          <t>HAUTS CHAMPS/PETITES HAIES</t>
        </is>
      </c>
      <c r="C40" s="50" t="inlineStr">
        <is>
          <t>Hauts Champs</t>
        </is>
      </c>
      <c r="D40" s="139" t="n">
        <v>456</v>
      </c>
      <c r="E40" s="139" t="n">
        <v>247</v>
      </c>
      <c r="F40" s="139" t="n">
        <v>212</v>
      </c>
      <c r="G40" s="139" t="n">
        <v>397</v>
      </c>
      <c r="H40" s="139" t="n">
        <v>211</v>
      </c>
      <c r="I40" s="139" t="n">
        <v>183</v>
      </c>
      <c r="J40" s="139" t="n">
        <v>142</v>
      </c>
      <c r="K40" s="139" t="n">
        <v>126</v>
      </c>
      <c r="L40" s="139" t="n">
        <v>55</v>
      </c>
      <c r="M40" s="139" t="n">
        <v>36</v>
      </c>
      <c r="N40" s="139" t="n">
        <v>22</v>
      </c>
      <c r="O40" s="139" t="n">
        <v>239</v>
      </c>
      <c r="P40" s="139" t="n">
        <v>135</v>
      </c>
      <c r="Q40" s="139" t="n">
        <v>108</v>
      </c>
      <c r="R40" s="139" t="n">
        <v>104</v>
      </c>
      <c r="S40" s="139" t="n">
        <v>48</v>
      </c>
      <c r="T40" s="139" t="n">
        <v>52</v>
      </c>
      <c r="U40" s="139" t="n">
        <v>302</v>
      </c>
      <c r="V40" s="139" t="n">
        <v>91</v>
      </c>
      <c r="W40" s="139" t="n">
        <v>85</v>
      </c>
      <c r="X40" s="139" t="n">
        <v>40</v>
      </c>
      <c r="Y40" s="139" t="n">
        <v>39</v>
      </c>
      <c r="Z40" s="139" t="n">
        <v>151</v>
      </c>
      <c r="AA40" s="139" t="n">
        <v>86</v>
      </c>
      <c r="AB40" s="139" t="n">
        <v>69</v>
      </c>
      <c r="AC40" s="139" t="n">
        <v>102</v>
      </c>
      <c r="AD40" s="139" t="n">
        <v>49</v>
      </c>
      <c r="AE40" s="139" t="n">
        <v>49</v>
      </c>
      <c r="AF40" s="139" t="n">
        <v>56</v>
      </c>
      <c r="AG40" s="139" t="n">
        <v>30</v>
      </c>
      <c r="AH40" s="139" t="n">
        <v>29</v>
      </c>
      <c r="AI40" s="139" t="n">
        <v>165</v>
      </c>
      <c r="AJ40" s="139" t="n">
        <v>84</v>
      </c>
      <c r="AK40" s="139" t="n">
        <v>84</v>
      </c>
      <c r="AL40" s="139" t="n">
        <v>62</v>
      </c>
      <c r="AM40" s="139" t="n">
        <v>35</v>
      </c>
      <c r="AN40" s="139" t="n">
        <v>23</v>
      </c>
      <c r="AO40" s="139" t="n">
        <v>84</v>
      </c>
      <c r="AP40" s="139" t="n">
        <v>43</v>
      </c>
      <c r="AQ40" s="139" t="n">
        <v>36</v>
      </c>
      <c r="AR40" s="139" t="n">
        <v>82</v>
      </c>
      <c r="AS40" s="139" t="n">
        <v>43</v>
      </c>
      <c r="AT40" s="139" t="n">
        <v>43</v>
      </c>
      <c r="AU40" s="139" t="n">
        <v>19</v>
      </c>
      <c r="AV40" s="139" t="n">
        <v>28</v>
      </c>
      <c r="AW40" s="139" t="n">
        <v>46</v>
      </c>
      <c r="AX40" s="139" t="n">
        <v>24</v>
      </c>
      <c r="AY40" s="139" t="n">
        <v>272</v>
      </c>
      <c r="AZ40" s="139" t="n">
        <v>191</v>
      </c>
      <c r="BA40" s="139" t="n">
        <v>88</v>
      </c>
      <c r="BB40" s="139" t="n">
        <v>99</v>
      </c>
      <c r="BC40" s="139" t="n">
        <v>264</v>
      </c>
      <c r="BD40" s="140" t="n">
        <v>0.31</v>
      </c>
      <c r="BE40" s="139" t="n">
        <v>2227</v>
      </c>
      <c r="BF40" s="141" t="n">
        <v>20.5</v>
      </c>
      <c r="BG40" s="141" t="n">
        <v>11.1</v>
      </c>
      <c r="BH40" s="141" t="n">
        <v>9.5</v>
      </c>
      <c r="BI40" s="141" t="n">
        <v>87.09999999999999</v>
      </c>
      <c r="BJ40" s="141" t="n">
        <v>13.9</v>
      </c>
      <c r="BK40" s="141" t="n">
        <v>85.09999999999999</v>
      </c>
      <c r="BL40" s="141" t="n">
        <v>20.7</v>
      </c>
      <c r="BM40" s="141" t="n">
        <v>18</v>
      </c>
      <c r="BN40" s="141" t="n">
        <v>48.1</v>
      </c>
      <c r="BO40" s="142" t="n">
        <v>41.9</v>
      </c>
    </row>
  </sheetData>
  <mergeCells count="1">
    <mergeCell ref="A1:C1"/>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AL40"/>
  <sheetViews>
    <sheetView topLeftCell="A1" workbookViewId="0">
      <pane xSplit="3" ySplit="2" topLeftCell="D3" activePane="bottomRight" state="frozen"/>
      <selection pane="topRight"/>
      <selection pane="bottomLeft"/>
      <selection pane="bottomRight" activeCell="H1" sqref="H1"/>
      <selection pane="bottomLeft" activeCell="A3" sqref="A3"/>
      <selection pane="bottomRight" activeCell="A1" sqref="A1"/>
    </sheetView>
  </sheetViews>
  <sheetFormatPr baseColWidth="10" defaultColWidth="9.140625" defaultRowHeight="15"/>
  <cols>
    <col width="13" customWidth="1" min="1" max="1"/>
    <col width="31" customWidth="1" min="2" max="2"/>
    <col width="26" customWidth="1" min="3" max="3"/>
    <col width="16" customWidth="1" min="4" max="4"/>
    <col width="21" customWidth="1" min="5" max="5"/>
    <col width="15" customWidth="1" min="6" max="6"/>
    <col width="21" customWidth="1" min="7" max="7"/>
    <col width="16" customWidth="1" min="8" max="8"/>
    <col width="14" customWidth="1" min="9" max="9"/>
    <col width="15" customWidth="1" min="10" max="10"/>
    <col width="15" customWidth="1" min="11" max="11"/>
    <col width="15" customWidth="1" min="12" max="12"/>
    <col width="16" customWidth="1" min="13" max="13"/>
    <col width="17" customWidth="1" min="14" max="14"/>
    <col width="18" customWidth="1" min="15" max="15"/>
    <col width="18" customWidth="1" min="16" max="16"/>
    <col width="20" customWidth="1" min="17" max="17"/>
    <col width="20" customWidth="1" min="18" max="18"/>
    <col width="20" customWidth="1" min="19" max="19"/>
    <col width="21" customWidth="1" min="20" max="20"/>
    <col width="21" customWidth="1" min="21" max="23"/>
    <col width="18" customWidth="1" min="22" max="22"/>
    <col width="21" customWidth="1" min="23" max="23"/>
    <col width="21" customWidth="1" min="24" max="24"/>
    <col width="21" customWidth="1" min="25" max="25"/>
    <col width="21" customWidth="1" min="26" max="26"/>
    <col width="21" customWidth="1" min="27" max="27"/>
    <col width="21" customWidth="1" min="28" max="31"/>
    <col width="20" customWidth="1" min="29" max="29"/>
    <col width="21" customWidth="1" min="30" max="30"/>
    <col width="21" customWidth="1" min="31" max="31"/>
    <col width="19" customWidth="1" min="32" max="32"/>
    <col width="19" customWidth="1" min="33" max="33"/>
    <col width="17" customWidth="1" min="34" max="35"/>
    <col width="17" customWidth="1" min="35" max="35"/>
    <col width="17" customWidth="1" min="36" max="36"/>
    <col width="17" customWidth="1" min="37" max="37"/>
    <col width="14" customWidth="1" min="38" max="38"/>
    <col width="46.42578125" customWidth="1" min="39" max="39"/>
    <col width="44.140625" customWidth="1" min="40" max="40"/>
    <col width="48.5703125" customWidth="1" min="41" max="41"/>
    <col width="18.7109375" customWidth="1" min="42" max="42"/>
  </cols>
  <sheetData>
    <row r="1" ht="21" customHeight="1">
      <c r="A1" s="124" t="inlineStr">
        <is>
          <t>Répertoire du Parc Locatif Social (RPLS)</t>
        </is>
      </c>
      <c r="B1" s="125" t="n"/>
      <c r="C1" s="126" t="n"/>
      <c r="D1" s="127">
        <f>SUBTOTAL(9,D3:D40)</f>
        <v/>
      </c>
      <c r="E1" s="127">
        <f>SUBTOTAL(9,E3:E40)</f>
        <v/>
      </c>
      <c r="F1" s="129" t="n"/>
      <c r="G1" s="129" t="n"/>
      <c r="H1" s="129" t="n"/>
      <c r="I1" s="129" t="n"/>
      <c r="J1" s="129" t="n"/>
      <c r="K1" s="129" t="n"/>
      <c r="L1" s="129" t="n"/>
      <c r="M1" s="129" t="n"/>
      <c r="N1" s="129" t="n"/>
      <c r="O1" s="129" t="n"/>
      <c r="P1" s="129" t="n"/>
      <c r="Q1" s="129" t="n"/>
      <c r="R1" s="129" t="n"/>
      <c r="S1" s="129" t="n"/>
      <c r="T1" s="129" t="n"/>
      <c r="U1" s="129" t="n"/>
      <c r="V1" s="129" t="n"/>
      <c r="W1" s="129" t="n"/>
      <c r="X1" s="129" t="n"/>
      <c r="Y1" s="129" t="n"/>
      <c r="Z1" s="129" t="n"/>
      <c r="AA1" s="129" t="n"/>
      <c r="AB1" s="129" t="n"/>
      <c r="AC1" s="129" t="n"/>
      <c r="AD1" s="129" t="n"/>
      <c r="AE1" s="129" t="n"/>
      <c r="AF1" s="129" t="n"/>
      <c r="AG1" s="129" t="n"/>
      <c r="AH1" s="129" t="n"/>
      <c r="AI1" s="129" t="n"/>
      <c r="AJ1" s="129" t="n"/>
      <c r="AK1" s="129" t="n"/>
      <c r="AL1" s="128">
        <f>SUBTOTAL(9,AL3:AL40)</f>
        <v/>
      </c>
    </row>
    <row r="2" ht="70" customHeight="1">
      <c r="A2" s="45" t="inlineStr">
        <is>
          <t>Mairies de quartiers</t>
        </is>
      </c>
      <c r="B2" s="45" t="inlineStr">
        <is>
          <t>Grands quartiers</t>
        </is>
      </c>
      <c r="C2" s="45" t="inlineStr">
        <is>
          <t>Libellé de l'Iris</t>
        </is>
      </c>
      <c r="D2" s="46" t="inlineStr">
        <is>
          <t>Nombre de logements du Parc Locatif Social</t>
        </is>
      </c>
      <c r="E2" s="46" t="inlineStr">
        <is>
          <t>Nombre de logements sociaux mis en service dans l’année</t>
        </is>
      </c>
      <c r="F2" s="130" t="inlineStr">
        <is>
          <t>Taux de vacance des logements sociaux</t>
        </is>
      </c>
      <c r="G2" s="130" t="inlineStr">
        <is>
          <t>Taux de vacance de plus de 3 mois des logements sociaux</t>
        </is>
      </c>
      <c r="H2" s="130" t="inlineStr">
        <is>
          <t>Taux de rotation des logements sociaux</t>
        </is>
      </c>
      <c r="I2" s="130" t="inlineStr">
        <is>
          <t>Part des logements sociaux collectifs</t>
        </is>
      </c>
      <c r="J2" s="130" t="inlineStr">
        <is>
          <t>Part des logements sociaux individuels</t>
        </is>
      </c>
      <c r="K2" s="130" t="inlineStr">
        <is>
          <t>Part des logements sociaux d’une pièce</t>
        </is>
      </c>
      <c r="L2" s="130" t="inlineStr">
        <is>
          <t>Part des logements sociaux de deux pièces</t>
        </is>
      </c>
      <c r="M2" s="130" t="inlineStr">
        <is>
          <t>Part des logements sociaux de trois pièces</t>
        </is>
      </c>
      <c r="N2" s="130" t="inlineStr">
        <is>
          <t>Part des logements sociaux de quatre pièces</t>
        </is>
      </c>
      <c r="O2" s="130" t="inlineStr">
        <is>
          <t>Part des logements sociaux de 5 pièces ou plus</t>
        </is>
      </c>
      <c r="P2" s="130" t="inlineStr">
        <is>
          <t>Part des logements sociaux de moins de 30 m²</t>
        </is>
      </c>
      <c r="Q2" s="130" t="inlineStr">
        <is>
          <t>Part des logements sociaux de 30 m² à moins de 40 m²</t>
        </is>
      </c>
      <c r="R2" s="130" t="inlineStr">
        <is>
          <t>Part des logements sociaux de 40 m² à moins de 60 m²</t>
        </is>
      </c>
      <c r="S2" s="130" t="inlineStr">
        <is>
          <t>Part des logements sociaux de 60 m² à moins de 80 m²</t>
        </is>
      </c>
      <c r="T2" s="130" t="inlineStr">
        <is>
          <t>Part des logements sociaux de 80 m² à moins de 100 m²</t>
        </is>
      </c>
      <c r="U2" s="130" t="inlineStr">
        <is>
          <t>Part des logements sociaux de 100 m² à moins de 120 m²</t>
        </is>
      </c>
      <c r="V2" s="130" t="inlineStr">
        <is>
          <t>Part des logements sociaux de plus de 120 m²</t>
        </is>
      </c>
      <c r="W2" s="130" t="inlineStr">
        <is>
          <t>Part des logements sociaux construits avant 1949</t>
        </is>
      </c>
      <c r="X2" s="130" t="inlineStr">
        <is>
          <t>Part des logements sociaux construits entre 1949 et 1975</t>
        </is>
      </c>
      <c r="Y2" s="130" t="inlineStr">
        <is>
          <t>Part des logements sociaux construits entre 1976 et 1988</t>
        </is>
      </c>
      <c r="Z2" s="130" t="inlineStr">
        <is>
          <t>Part des logements sociaux construits entre 1989 et 2000</t>
        </is>
      </c>
      <c r="AA2" s="130" t="inlineStr">
        <is>
          <t>Part des logements sociaux construits entre 2001 et 2013</t>
        </is>
      </c>
      <c r="AB2" s="130" t="inlineStr">
        <is>
          <t>Part des logements sociaux construits après 2013</t>
        </is>
      </c>
      <c r="AC2" s="130" t="inlineStr">
        <is>
          <t>Part des logements sociaux financés en PLAI</t>
        </is>
      </c>
      <c r="AD2" s="130" t="inlineStr">
        <is>
          <t>Part des logements sociaux financés en PLUS (avant 1977)</t>
        </is>
      </c>
      <c r="AE2" s="130" t="inlineStr">
        <is>
          <t>Part des logements sociaux financés en PLUS (après 1977)</t>
        </is>
      </c>
      <c r="AF2" s="130" t="inlineStr">
        <is>
          <t>Part des logements sociaux financés en PLS</t>
        </is>
      </c>
      <c r="AG2" s="130" t="inlineStr">
        <is>
          <t>Part des logements sociaux financés en PLI</t>
        </is>
      </c>
      <c r="AH2" s="130" t="inlineStr">
        <is>
          <t>Loyer par m² des logements sociaux - Moyenne</t>
        </is>
      </c>
      <c r="AI2" s="130" t="inlineStr">
        <is>
          <t>Loyer par m² des logements sociaux - 1er quartile</t>
        </is>
      </c>
      <c r="AJ2" s="130" t="inlineStr">
        <is>
          <t>Loyer par m² des logements sociaux - Médiane</t>
        </is>
      </c>
      <c r="AK2" s="130" t="inlineStr">
        <is>
          <t>Loyer par m² des logements sociaux - 3ème quartile</t>
        </is>
      </c>
      <c r="AL2" s="48" t="inlineStr">
        <is>
          <t>Superficie en km²</t>
        </is>
      </c>
    </row>
    <row r="3" ht="30" customHeight="1">
      <c r="A3" s="3" t="inlineStr">
        <is>
          <t>OUEST</t>
        </is>
      </c>
      <c r="B3" s="3" t="inlineStr">
        <is>
          <t>FRESNOY MACKELLERIE</t>
        </is>
      </c>
      <c r="C3" s="3" t="inlineStr">
        <is>
          <t>Mackellerie</t>
        </is>
      </c>
      <c r="D3" s="151" t="n">
        <v>306</v>
      </c>
      <c r="E3" s="151" t="n">
        <v>43</v>
      </c>
      <c r="F3" s="153" t="n">
        <v>5.5</v>
      </c>
      <c r="G3" s="153" t="n">
        <v>0</v>
      </c>
      <c r="H3" s="153" t="n">
        <v>8.699999999999999</v>
      </c>
      <c r="I3" s="153" t="n">
        <v>86</v>
      </c>
      <c r="J3" s="153" t="n">
        <v>14</v>
      </c>
      <c r="K3" s="153" t="n">
        <v>29.2</v>
      </c>
      <c r="L3" s="153" t="n">
        <v>16.2</v>
      </c>
      <c r="M3" s="153" t="n">
        <v>31.8</v>
      </c>
      <c r="N3" s="153" t="n">
        <v>12.3</v>
      </c>
      <c r="O3" s="153" t="n">
        <v>10.4</v>
      </c>
      <c r="P3" s="153" t="n">
        <v>0</v>
      </c>
      <c r="Q3" s="153" t="n">
        <v>31.4</v>
      </c>
      <c r="R3" s="153" t="n">
        <v>12.5</v>
      </c>
      <c r="S3" s="153" t="n">
        <v>33.3</v>
      </c>
      <c r="T3" s="153" t="n">
        <v>18.3</v>
      </c>
      <c r="U3" s="153" t="n">
        <v>4.5</v>
      </c>
      <c r="V3" s="153" t="n">
        <v>0</v>
      </c>
      <c r="W3" s="153" t="n">
        <v>7.9</v>
      </c>
      <c r="X3" s="153" t="n">
        <v>22.1</v>
      </c>
      <c r="Y3" s="153" t="n">
        <v>25.2</v>
      </c>
      <c r="Z3" s="153" t="n">
        <v>4.5</v>
      </c>
      <c r="AA3" s="153" t="n">
        <v>25.8</v>
      </c>
      <c r="AB3" s="153" t="n">
        <v>14.5</v>
      </c>
      <c r="AC3" s="153" t="n">
        <v>4.1</v>
      </c>
      <c r="AD3" s="153" t="n">
        <v>48</v>
      </c>
      <c r="AE3" s="153" t="n">
        <v>48</v>
      </c>
      <c r="AF3" s="153" t="n">
        <v>0</v>
      </c>
      <c r="AG3" s="153" t="n">
        <v>0</v>
      </c>
      <c r="AH3" s="152" t="n">
        <v>6.11</v>
      </c>
      <c r="AI3" s="152" t="n">
        <v>5.52</v>
      </c>
      <c r="AJ3" s="152" t="n">
        <v>6.12</v>
      </c>
      <c r="AK3" s="152" t="n">
        <v>6.62</v>
      </c>
      <c r="AL3" s="152" t="n">
        <v>0.32</v>
      </c>
    </row>
    <row r="4" ht="30" customHeight="1">
      <c r="A4" s="3" t="inlineStr">
        <is>
          <t>OUEST</t>
        </is>
      </c>
      <c r="B4" s="3" t="inlineStr">
        <is>
          <t>ARMENTIERES</t>
        </is>
      </c>
      <c r="C4" s="3" t="inlineStr">
        <is>
          <t>Fresnoy</t>
        </is>
      </c>
      <c r="D4" s="151" t="n">
        <v>446</v>
      </c>
      <c r="E4" s="151" t="n">
        <v>105</v>
      </c>
      <c r="F4" s="153" t="n">
        <v>23.4</v>
      </c>
      <c r="G4" s="153" t="n">
        <v>23.1</v>
      </c>
      <c r="H4" s="153" t="n">
        <v>6.4</v>
      </c>
      <c r="I4" s="153" t="n">
        <v>64.7</v>
      </c>
      <c r="J4" s="153" t="n">
        <v>35.3</v>
      </c>
      <c r="K4" s="153" t="n">
        <v>25.3</v>
      </c>
      <c r="L4" s="153" t="n">
        <v>17.2</v>
      </c>
      <c r="M4" s="153" t="n">
        <v>18.8</v>
      </c>
      <c r="N4" s="153" t="n">
        <v>27.5</v>
      </c>
      <c r="O4" s="153" t="n">
        <v>11.2</v>
      </c>
      <c r="P4" s="153" t="n">
        <v>24</v>
      </c>
      <c r="Q4" s="153" t="n">
        <v>2.8</v>
      </c>
      <c r="R4" s="153" t="n">
        <v>15.7</v>
      </c>
      <c r="S4" s="153" t="n">
        <v>24</v>
      </c>
      <c r="T4" s="153" t="n">
        <v>30.7</v>
      </c>
      <c r="U4" s="153" t="n">
        <v>2.8</v>
      </c>
      <c r="V4" s="153" t="n">
        <v>0</v>
      </c>
      <c r="W4" s="153" t="n">
        <v>9.4</v>
      </c>
      <c r="X4" s="153" t="n">
        <v>6.8</v>
      </c>
      <c r="Y4" s="153" t="n">
        <v>4.8</v>
      </c>
      <c r="Z4" s="153" t="n">
        <v>15.7</v>
      </c>
      <c r="AA4" s="153" t="n">
        <v>40.2</v>
      </c>
      <c r="AB4" s="153" t="n">
        <v>23.1</v>
      </c>
      <c r="AC4" s="153" t="n">
        <v>10.9</v>
      </c>
      <c r="AD4" s="153" t="n">
        <v>4.6</v>
      </c>
      <c r="AE4" s="153" t="n">
        <v>51.9</v>
      </c>
      <c r="AF4" s="153" t="n">
        <v>29.8</v>
      </c>
      <c r="AG4" s="153" t="n">
        <v>2.7</v>
      </c>
      <c r="AH4" s="152" t="n">
        <v>6.79</v>
      </c>
      <c r="AI4" s="152" t="n">
        <v>6.14</v>
      </c>
      <c r="AJ4" s="152" t="n">
        <v>6.73</v>
      </c>
      <c r="AK4" s="152" t="n">
        <v>7.33</v>
      </c>
      <c r="AL4" s="152" t="n">
        <v>0.53</v>
      </c>
    </row>
    <row r="5" ht="30" customHeight="1">
      <c r="A5" s="3" t="inlineStr">
        <is>
          <t>NORD</t>
        </is>
      </c>
      <c r="B5" s="3" t="inlineStr">
        <is>
          <t>FOSSE AUX CHENES</t>
        </is>
      </c>
      <c r="C5" s="3" t="inlineStr">
        <is>
          <t>Fosse aux Chênes</t>
        </is>
      </c>
      <c r="D5" s="151" t="n">
        <v>702</v>
      </c>
      <c r="E5" s="151" t="n">
        <v>0</v>
      </c>
      <c r="F5" s="153" t="n">
        <v>0</v>
      </c>
      <c r="G5" s="153" t="n">
        <v>0</v>
      </c>
      <c r="H5" s="153" t="n">
        <v>5.3</v>
      </c>
      <c r="I5" s="153" t="n">
        <v>93.59999999999999</v>
      </c>
      <c r="J5" s="153" t="n">
        <v>6.4</v>
      </c>
      <c r="K5" s="153" t="n">
        <v>14.1</v>
      </c>
      <c r="L5" s="153" t="n">
        <v>20.7</v>
      </c>
      <c r="M5" s="153" t="n">
        <v>38.2</v>
      </c>
      <c r="N5" s="153" t="n">
        <v>17.9</v>
      </c>
      <c r="O5" s="153" t="n">
        <v>9.1</v>
      </c>
      <c r="P5" s="153" t="n">
        <v>0</v>
      </c>
      <c r="Q5" s="153" t="n">
        <v>8.300000000000001</v>
      </c>
      <c r="R5" s="153" t="n">
        <v>43.8</v>
      </c>
      <c r="S5" s="153" t="n">
        <v>32.4</v>
      </c>
      <c r="T5" s="153" t="n">
        <v>13.6</v>
      </c>
      <c r="U5" s="153" t="n">
        <v>1.9</v>
      </c>
      <c r="V5" s="153" t="n">
        <v>0</v>
      </c>
      <c r="W5" s="153" t="n">
        <v>2.5</v>
      </c>
      <c r="X5" s="153" t="n">
        <v>16.6</v>
      </c>
      <c r="Y5" s="153" t="n">
        <v>60.3</v>
      </c>
      <c r="Z5" s="153" t="n">
        <v>16.5</v>
      </c>
      <c r="AA5" s="153" t="n">
        <v>2.5</v>
      </c>
      <c r="AB5" s="153" t="n">
        <v>1.6</v>
      </c>
      <c r="AC5" s="153" t="n">
        <v>16.8</v>
      </c>
      <c r="AD5" s="153" t="n">
        <v>0</v>
      </c>
      <c r="AE5" s="153" t="n">
        <v>83.2</v>
      </c>
      <c r="AF5" s="153" t="n">
        <v>0</v>
      </c>
      <c r="AG5" s="153" t="n">
        <v>0</v>
      </c>
      <c r="AH5" s="152" t="n">
        <v>6.87</v>
      </c>
      <c r="AI5" s="152" t="n">
        <v>6.28</v>
      </c>
      <c r="AJ5" s="152" t="n">
        <v>6.79</v>
      </c>
      <c r="AK5" s="152" t="n">
        <v>7.38</v>
      </c>
      <c r="AL5" s="152" t="n">
        <v>0.41</v>
      </c>
    </row>
    <row r="6" ht="30" customHeight="1">
      <c r="A6" s="3" t="inlineStr">
        <is>
          <t>NORD</t>
        </is>
      </c>
      <c r="B6" s="3" t="inlineStr">
        <is>
          <t>ALMA GARE</t>
        </is>
      </c>
      <c r="C6" s="3" t="inlineStr">
        <is>
          <t>Alma Sud</t>
        </is>
      </c>
      <c r="D6" s="151" t="n">
        <v>566</v>
      </c>
      <c r="E6" s="151" t="n">
        <v>0</v>
      </c>
      <c r="F6" s="153" t="n">
        <v>0</v>
      </c>
      <c r="G6" s="153" t="n">
        <v>0</v>
      </c>
      <c r="H6" s="153" t="n">
        <v>0</v>
      </c>
      <c r="I6" s="153" t="n">
        <v>86.8</v>
      </c>
      <c r="J6" s="153" t="n">
        <v>13.2</v>
      </c>
      <c r="K6" s="153" t="n">
        <v>9.199999999999999</v>
      </c>
      <c r="L6" s="153" t="n">
        <v>21</v>
      </c>
      <c r="M6" s="153" t="n">
        <v>32.3</v>
      </c>
      <c r="N6" s="153" t="n">
        <v>25.3</v>
      </c>
      <c r="O6" s="153" t="n">
        <v>12.2</v>
      </c>
      <c r="P6" s="153" t="n">
        <v>2</v>
      </c>
      <c r="Q6" s="153" t="n">
        <v>7.1</v>
      </c>
      <c r="R6" s="153" t="n">
        <v>23.2</v>
      </c>
      <c r="S6" s="153" t="n">
        <v>31.6</v>
      </c>
      <c r="T6" s="153" t="n">
        <v>28.3</v>
      </c>
      <c r="U6" s="153" t="n">
        <v>5.6</v>
      </c>
      <c r="V6" s="153" t="n">
        <v>2.2</v>
      </c>
      <c r="W6" s="153" t="n">
        <v>0</v>
      </c>
      <c r="X6" s="153" t="n">
        <v>5.8</v>
      </c>
      <c r="Y6" s="153" t="n">
        <v>87.8</v>
      </c>
      <c r="Z6" s="153" t="n">
        <v>2.3</v>
      </c>
      <c r="AA6" s="153" t="n">
        <v>4.1</v>
      </c>
      <c r="AB6" s="153" t="n">
        <v>0</v>
      </c>
      <c r="AC6" s="153" t="n">
        <v>0</v>
      </c>
      <c r="AD6" s="153" t="n">
        <v>35.9</v>
      </c>
      <c r="AE6" s="153" t="n">
        <v>56.7</v>
      </c>
      <c r="AF6" s="153" t="n">
        <v>7.4</v>
      </c>
      <c r="AG6" s="153" t="n">
        <v>0</v>
      </c>
      <c r="AH6" s="152" t="n">
        <v>5.69</v>
      </c>
      <c r="AI6" s="152" t="n">
        <v>5.03</v>
      </c>
      <c r="AJ6" s="152" t="n">
        <v>5.56</v>
      </c>
      <c r="AK6" s="152" t="n">
        <v>6.37</v>
      </c>
      <c r="AL6" s="152" t="n">
        <v>0.09</v>
      </c>
    </row>
    <row r="7" ht="30" customHeight="1">
      <c r="A7" s="3" t="inlineStr">
        <is>
          <t>NORD</t>
        </is>
      </c>
      <c r="B7" s="3" t="inlineStr">
        <is>
          <t>ALMA GARE</t>
        </is>
      </c>
      <c r="C7" s="3" t="inlineStr">
        <is>
          <t>Alma Nord</t>
        </is>
      </c>
      <c r="D7" s="151" t="n">
        <v>326</v>
      </c>
      <c r="E7" s="151" t="n">
        <v>0</v>
      </c>
      <c r="F7" s="153" t="n">
        <v>0</v>
      </c>
      <c r="G7" s="153" t="n">
        <v>0</v>
      </c>
      <c r="H7" s="153" t="n">
        <v>0</v>
      </c>
      <c r="I7" s="153" t="n">
        <v>67.09999999999999</v>
      </c>
      <c r="J7" s="153" t="n">
        <v>32.9</v>
      </c>
      <c r="K7" s="153" t="n">
        <v>8.4</v>
      </c>
      <c r="L7" s="153" t="n">
        <v>25.9</v>
      </c>
      <c r="M7" s="153" t="n">
        <v>27</v>
      </c>
      <c r="N7" s="153" t="n">
        <v>28.5</v>
      </c>
      <c r="O7" s="153" t="n">
        <v>10.2</v>
      </c>
      <c r="P7" s="153" t="n">
        <v>0</v>
      </c>
      <c r="Q7" s="153" t="n">
        <v>4.6</v>
      </c>
      <c r="R7" s="153" t="n">
        <v>19.3</v>
      </c>
      <c r="S7" s="153" t="n">
        <v>42.8</v>
      </c>
      <c r="T7" s="153" t="n">
        <v>23.2</v>
      </c>
      <c r="U7" s="153" t="n">
        <v>6.7</v>
      </c>
      <c r="V7" s="153" t="n">
        <v>3.4</v>
      </c>
      <c r="W7" s="153" t="n">
        <v>0</v>
      </c>
      <c r="X7" s="153" t="n">
        <v>11.5</v>
      </c>
      <c r="Y7" s="153" t="n">
        <v>77.90000000000001</v>
      </c>
      <c r="Z7" s="153" t="n">
        <v>0</v>
      </c>
      <c r="AA7" s="153" t="n">
        <v>10.6</v>
      </c>
      <c r="AB7" s="153" t="n">
        <v>0</v>
      </c>
      <c r="AC7" s="153" t="n">
        <v>3.8</v>
      </c>
      <c r="AD7" s="153" t="n">
        <v>0</v>
      </c>
      <c r="AE7" s="153" t="n">
        <v>96.2</v>
      </c>
      <c r="AF7" s="153" t="n">
        <v>0</v>
      </c>
      <c r="AG7" s="153" t="n">
        <v>0</v>
      </c>
      <c r="AH7" s="152" t="n">
        <v>6.06</v>
      </c>
      <c r="AI7" s="152" t="n">
        <v>5.69</v>
      </c>
      <c r="AJ7" s="152" t="n">
        <v>6.23</v>
      </c>
      <c r="AK7" s="152" t="n">
        <v>6.64</v>
      </c>
      <c r="AL7" s="152" t="n">
        <v>0.42</v>
      </c>
    </row>
    <row r="8" ht="30" customHeight="1">
      <c r="A8" s="3" t="inlineStr">
        <is>
          <t>NORD</t>
        </is>
      </c>
      <c r="B8" s="3" t="inlineStr">
        <is>
          <t>ENTREPONT</t>
        </is>
      </c>
      <c r="C8" s="3" t="inlineStr">
        <is>
          <t>Entrepont-Cartigny</t>
        </is>
      </c>
      <c r="D8" s="151" t="n">
        <v>157</v>
      </c>
      <c r="E8" s="151" t="n">
        <v>0</v>
      </c>
      <c r="F8" s="153" t="n">
        <v>0</v>
      </c>
      <c r="G8" s="153" t="n">
        <v>0</v>
      </c>
      <c r="H8" s="153" t="n">
        <v>7.5</v>
      </c>
      <c r="I8" s="153" t="n">
        <v>70</v>
      </c>
      <c r="J8" s="153" t="n">
        <v>30</v>
      </c>
      <c r="K8" s="153" t="n">
        <v>0</v>
      </c>
      <c r="L8" s="153" t="n">
        <v>18.3</v>
      </c>
      <c r="M8" s="153" t="n">
        <v>34.1</v>
      </c>
      <c r="N8" s="153" t="n">
        <v>25.6</v>
      </c>
      <c r="O8" s="153" t="n">
        <v>22</v>
      </c>
      <c r="P8" s="153" t="n">
        <v>0</v>
      </c>
      <c r="Q8" s="153" t="n">
        <v>0</v>
      </c>
      <c r="R8" s="153" t="n">
        <v>17.3</v>
      </c>
      <c r="S8" s="153" t="n">
        <v>42.7</v>
      </c>
      <c r="T8" s="153" t="n">
        <v>22.7</v>
      </c>
      <c r="U8" s="153" t="n">
        <v>8.699999999999999</v>
      </c>
      <c r="V8" s="153" t="n">
        <v>8.699999999999999</v>
      </c>
      <c r="W8" s="153" t="n">
        <v>12.1</v>
      </c>
      <c r="X8" s="153" t="n">
        <v>7</v>
      </c>
      <c r="Y8" s="153" t="n">
        <v>0</v>
      </c>
      <c r="Z8" s="153" t="n">
        <v>7.6</v>
      </c>
      <c r="AA8" s="153" t="n">
        <v>41.4</v>
      </c>
      <c r="AB8" s="153" t="n">
        <v>31.8</v>
      </c>
      <c r="AC8" s="153" t="n">
        <v>19</v>
      </c>
      <c r="AD8" s="153" t="n">
        <v>0</v>
      </c>
      <c r="AE8" s="153" t="n">
        <v>73.2</v>
      </c>
      <c r="AF8" s="153" t="n">
        <v>0</v>
      </c>
      <c r="AG8" s="153" t="n">
        <v>7.7</v>
      </c>
      <c r="AH8" s="152" t="n">
        <v>6.26</v>
      </c>
      <c r="AI8" s="152" t="n">
        <v>5.5</v>
      </c>
      <c r="AJ8" s="152" t="n">
        <v>6.45</v>
      </c>
      <c r="AK8" s="152" t="n">
        <v>6.98</v>
      </c>
      <c r="AL8" s="152" t="n">
        <v>0.85</v>
      </c>
    </row>
    <row r="9" ht="30" customHeight="1">
      <c r="A9" s="3" t="inlineStr">
        <is>
          <t>NORD</t>
        </is>
      </c>
      <c r="B9" s="3" t="inlineStr">
        <is>
          <t>HUTIN - ORAN - CARTIGNY</t>
        </is>
      </c>
      <c r="C9" s="3" t="inlineStr">
        <is>
          <t>Hutin-Oran</t>
        </is>
      </c>
      <c r="D9" s="151" t="n">
        <v>487</v>
      </c>
      <c r="E9" s="151" t="n">
        <v>13</v>
      </c>
      <c r="F9" s="153" t="n">
        <v>4.6</v>
      </c>
      <c r="G9" s="153" t="n">
        <v>4.3</v>
      </c>
      <c r="H9" s="153" t="n">
        <v>9.699999999999999</v>
      </c>
      <c r="I9" s="153" t="n">
        <v>88</v>
      </c>
      <c r="J9" s="153" t="n">
        <v>12</v>
      </c>
      <c r="K9" s="153" t="n">
        <v>7.2</v>
      </c>
      <c r="L9" s="153" t="n">
        <v>34</v>
      </c>
      <c r="M9" s="153" t="n">
        <v>42</v>
      </c>
      <c r="N9" s="153" t="n">
        <v>9.699999999999999</v>
      </c>
      <c r="O9" s="153" t="n">
        <v>7</v>
      </c>
      <c r="P9" s="153" t="n">
        <v>0</v>
      </c>
      <c r="Q9" s="153" t="n">
        <v>14.3</v>
      </c>
      <c r="R9" s="153" t="n">
        <v>59</v>
      </c>
      <c r="S9" s="153" t="n">
        <v>8.699999999999999</v>
      </c>
      <c r="T9" s="153" t="n">
        <v>13.3</v>
      </c>
      <c r="U9" s="153" t="n">
        <v>2.2</v>
      </c>
      <c r="V9" s="153" t="n">
        <v>2.6</v>
      </c>
      <c r="W9" s="153" t="n">
        <v>3</v>
      </c>
      <c r="X9" s="153" t="n">
        <v>66.5</v>
      </c>
      <c r="Y9" s="153" t="n">
        <v>11.2</v>
      </c>
      <c r="Z9" s="153" t="n">
        <v>0</v>
      </c>
      <c r="AA9" s="153" t="n">
        <v>16.5</v>
      </c>
      <c r="AB9" s="153" t="n">
        <v>2.8</v>
      </c>
      <c r="AC9" s="153" t="n">
        <v>2.3</v>
      </c>
      <c r="AD9" s="153" t="n">
        <v>50</v>
      </c>
      <c r="AE9" s="153" t="n">
        <v>32.1</v>
      </c>
      <c r="AF9" s="153" t="n">
        <v>0</v>
      </c>
      <c r="AG9" s="153" t="n">
        <v>15.6</v>
      </c>
      <c r="AH9" s="152" t="n">
        <v>6.3</v>
      </c>
      <c r="AI9" s="152" t="n">
        <v>5.69</v>
      </c>
      <c r="AJ9" s="152" t="n">
        <v>6.31</v>
      </c>
      <c r="AK9" s="152" t="n">
        <v>6.83</v>
      </c>
      <c r="AL9" s="152" t="n">
        <v>0.42</v>
      </c>
    </row>
    <row r="10" ht="30" customHeight="1">
      <c r="A10" s="3" t="inlineStr">
        <is>
          <t>NORD</t>
        </is>
      </c>
      <c r="B10" s="3" t="inlineStr">
        <is>
          <t>CUL DE FOUR</t>
        </is>
      </c>
      <c r="C10" s="3" t="inlineStr">
        <is>
          <t>Cul de Four</t>
        </is>
      </c>
      <c r="D10" s="151" t="n">
        <v>439</v>
      </c>
      <c r="E10" s="151" t="n">
        <v>0</v>
      </c>
      <c r="F10" s="153" t="n">
        <v>3.5</v>
      </c>
      <c r="G10" s="153" t="n">
        <v>0</v>
      </c>
      <c r="H10" s="153" t="n">
        <v>7.7</v>
      </c>
      <c r="I10" s="153" t="n">
        <v>78.8</v>
      </c>
      <c r="J10" s="153" t="n">
        <v>21.2</v>
      </c>
      <c r="K10" s="153" t="n">
        <v>10.2</v>
      </c>
      <c r="L10" s="153" t="n">
        <v>24.4</v>
      </c>
      <c r="M10" s="153" t="n">
        <v>36.4</v>
      </c>
      <c r="N10" s="153" t="n">
        <v>18.1</v>
      </c>
      <c r="O10" s="153" t="n">
        <v>10.9</v>
      </c>
      <c r="P10" s="153" t="n">
        <v>0</v>
      </c>
      <c r="Q10" s="153" t="n">
        <v>5.3</v>
      </c>
      <c r="R10" s="153" t="n">
        <v>47.2</v>
      </c>
      <c r="S10" s="153" t="n">
        <v>20.1</v>
      </c>
      <c r="T10" s="153" t="n">
        <v>19.9</v>
      </c>
      <c r="U10" s="153" t="n">
        <v>5.1</v>
      </c>
      <c r="V10" s="153" t="n">
        <v>2.4</v>
      </c>
      <c r="W10" s="153" t="n">
        <v>13.2</v>
      </c>
      <c r="X10" s="153" t="n">
        <v>23.4</v>
      </c>
      <c r="Y10" s="153" t="n">
        <v>35.5</v>
      </c>
      <c r="Z10" s="153" t="n">
        <v>25.2</v>
      </c>
      <c r="AA10" s="153" t="n">
        <v>2.7</v>
      </c>
      <c r="AB10" s="153" t="n">
        <v>0</v>
      </c>
      <c r="AC10" s="153" t="n">
        <v>4</v>
      </c>
      <c r="AD10" s="153" t="n">
        <v>34.7</v>
      </c>
      <c r="AE10" s="153" t="n">
        <v>52.9</v>
      </c>
      <c r="AF10" s="153" t="n">
        <v>0</v>
      </c>
      <c r="AG10" s="153" t="n">
        <v>8.4</v>
      </c>
      <c r="AH10" s="152" t="n">
        <v>6.43</v>
      </c>
      <c r="AI10" s="152" t="n">
        <v>5.84</v>
      </c>
      <c r="AJ10" s="152" t="n">
        <v>6.32</v>
      </c>
      <c r="AK10" s="152" t="n">
        <v>6.94</v>
      </c>
      <c r="AL10" s="152" t="n">
        <v>0.5600000000000001</v>
      </c>
    </row>
    <row r="11" ht="30" customHeight="1">
      <c r="A11" s="3" t="inlineStr">
        <is>
          <t>NORD</t>
        </is>
      </c>
      <c r="B11" s="3" t="inlineStr">
        <is>
          <t>HOMMELET</t>
        </is>
      </c>
      <c r="C11" s="3" t="inlineStr">
        <is>
          <t>Hommelet Nord</t>
        </is>
      </c>
      <c r="D11" s="151" t="n">
        <v>242</v>
      </c>
      <c r="E11" s="151" t="n">
        <v>0</v>
      </c>
      <c r="F11" s="153" t="n">
        <v>0</v>
      </c>
      <c r="G11" s="153" t="n">
        <v>0</v>
      </c>
      <c r="H11" s="153" t="n">
        <v>0</v>
      </c>
      <c r="I11" s="153" t="n">
        <v>68.90000000000001</v>
      </c>
      <c r="J11" s="153" t="n">
        <v>31.1</v>
      </c>
      <c r="K11" s="153" t="n">
        <v>0</v>
      </c>
      <c r="L11" s="153" t="n">
        <v>18.7</v>
      </c>
      <c r="M11" s="153" t="n">
        <v>58.6</v>
      </c>
      <c r="N11" s="153" t="n">
        <v>13.2</v>
      </c>
      <c r="O11" s="153" t="n">
        <v>9.5</v>
      </c>
      <c r="P11" s="153" t="n">
        <v>0</v>
      </c>
      <c r="Q11" s="153" t="n">
        <v>0</v>
      </c>
      <c r="R11" s="153" t="n">
        <v>52.6</v>
      </c>
      <c r="S11" s="153" t="n">
        <v>23.9</v>
      </c>
      <c r="T11" s="153" t="n">
        <v>15.4</v>
      </c>
      <c r="U11" s="153" t="n">
        <v>8.1</v>
      </c>
      <c r="V11" s="153" t="n">
        <v>0</v>
      </c>
      <c r="W11" s="153" t="n">
        <v>10.8</v>
      </c>
      <c r="X11" s="153" t="n">
        <v>29.2</v>
      </c>
      <c r="Y11" s="153" t="n">
        <v>13.6</v>
      </c>
      <c r="Z11" s="153" t="n">
        <v>0</v>
      </c>
      <c r="AA11" s="153" t="n">
        <v>16.8</v>
      </c>
      <c r="AB11" s="153" t="n">
        <v>29.6</v>
      </c>
      <c r="AC11" s="153" t="n">
        <v>15.8</v>
      </c>
      <c r="AD11" s="153" t="n">
        <v>32</v>
      </c>
      <c r="AE11" s="153" t="n">
        <v>52.2</v>
      </c>
      <c r="AF11" s="153" t="n">
        <v>0</v>
      </c>
      <c r="AG11" s="153" t="n">
        <v>0</v>
      </c>
      <c r="AH11" s="152" t="n">
        <v>6.14</v>
      </c>
      <c r="AI11" s="152" t="n">
        <v>5.81</v>
      </c>
      <c r="AJ11" s="152" t="n">
        <v>6.04</v>
      </c>
      <c r="AK11" s="152" t="n">
        <v>6.43</v>
      </c>
      <c r="AL11" s="152" t="n">
        <v>0.18</v>
      </c>
    </row>
    <row r="12" ht="30" customHeight="1">
      <c r="A12" s="3" t="inlineStr">
        <is>
          <t>NORD</t>
        </is>
      </c>
      <c r="B12" s="3" t="inlineStr">
        <is>
          <t>HOMMELET</t>
        </is>
      </c>
      <c r="C12" s="3" t="inlineStr">
        <is>
          <t>Hommelet Centre</t>
        </is>
      </c>
      <c r="D12" s="151" t="n">
        <v>470</v>
      </c>
      <c r="E12" s="151" t="n">
        <v>0</v>
      </c>
      <c r="F12" s="153" t="n">
        <v>0</v>
      </c>
      <c r="G12" s="153" t="n">
        <v>0</v>
      </c>
      <c r="H12" s="153" t="n">
        <v>6.5</v>
      </c>
      <c r="I12" s="153" t="n">
        <v>88.09999999999999</v>
      </c>
      <c r="J12" s="153" t="n">
        <v>11.9</v>
      </c>
      <c r="K12" s="153" t="n">
        <v>4.5</v>
      </c>
      <c r="L12" s="153" t="n">
        <v>26.9</v>
      </c>
      <c r="M12" s="153" t="n">
        <v>43.5</v>
      </c>
      <c r="N12" s="153" t="n">
        <v>21.3</v>
      </c>
      <c r="O12" s="153" t="n">
        <v>3.8</v>
      </c>
      <c r="P12" s="153" t="n">
        <v>0</v>
      </c>
      <c r="Q12" s="153" t="n">
        <v>2.6</v>
      </c>
      <c r="R12" s="153" t="n">
        <v>28.9</v>
      </c>
      <c r="S12" s="153" t="n">
        <v>34.6</v>
      </c>
      <c r="T12" s="153" t="n">
        <v>33.9</v>
      </c>
      <c r="U12" s="153" t="n">
        <v>0</v>
      </c>
      <c r="V12" s="153" t="n">
        <v>0</v>
      </c>
      <c r="W12" s="153" t="n">
        <v>4.1</v>
      </c>
      <c r="X12" s="153" t="n">
        <v>47.3</v>
      </c>
      <c r="Y12" s="153" t="n">
        <v>39.2</v>
      </c>
      <c r="Z12" s="153" t="n">
        <v>0</v>
      </c>
      <c r="AA12" s="153" t="n">
        <v>3.9</v>
      </c>
      <c r="AB12" s="153" t="n">
        <v>5.6</v>
      </c>
      <c r="AC12" s="153" t="n">
        <v>2.6</v>
      </c>
      <c r="AD12" s="153" t="n">
        <v>42.7</v>
      </c>
      <c r="AE12" s="153" t="n">
        <v>54.7</v>
      </c>
      <c r="AF12" s="153" t="n">
        <v>0</v>
      </c>
      <c r="AG12" s="153" t="n">
        <v>0</v>
      </c>
      <c r="AH12" s="152" t="n">
        <v>5.47</v>
      </c>
      <c r="AI12" s="152" t="n">
        <v>4.74</v>
      </c>
      <c r="AJ12" s="152" t="n">
        <v>5.18</v>
      </c>
      <c r="AK12" s="152" t="n">
        <v>6.14</v>
      </c>
      <c r="AL12" s="152" t="n">
        <v>0.28</v>
      </c>
    </row>
    <row r="13" ht="30" customHeight="1">
      <c r="A13" s="3" t="inlineStr">
        <is>
          <t>NORD</t>
        </is>
      </c>
      <c r="B13" s="3" t="inlineStr">
        <is>
          <t>HOMMELET</t>
        </is>
      </c>
      <c r="C13" s="3" t="inlineStr">
        <is>
          <t>Hommelet Sud</t>
        </is>
      </c>
      <c r="D13" s="151" t="n">
        <v>364</v>
      </c>
      <c r="E13" s="151" t="n">
        <v>0</v>
      </c>
      <c r="F13" s="153" t="n">
        <v>3.2</v>
      </c>
      <c r="G13" s="153" t="n">
        <v>3.4</v>
      </c>
      <c r="H13" s="153" t="n">
        <v>3.7</v>
      </c>
      <c r="I13" s="153" t="n">
        <v>90.8</v>
      </c>
      <c r="J13" s="153" t="n">
        <v>9.199999999999999</v>
      </c>
      <c r="K13" s="153" t="n">
        <v>4.7</v>
      </c>
      <c r="L13" s="153" t="n">
        <v>33.9</v>
      </c>
      <c r="M13" s="153" t="n">
        <v>47.1</v>
      </c>
      <c r="N13" s="153" t="n">
        <v>8.5</v>
      </c>
      <c r="O13" s="153" t="n">
        <v>5.8</v>
      </c>
      <c r="P13" s="153" t="n">
        <v>0</v>
      </c>
      <c r="Q13" s="153" t="n">
        <v>6.5</v>
      </c>
      <c r="R13" s="153" t="n">
        <v>37.6</v>
      </c>
      <c r="S13" s="153" t="n">
        <v>31.1</v>
      </c>
      <c r="T13" s="153" t="n">
        <v>18.4</v>
      </c>
      <c r="U13" s="153" t="n">
        <v>3.6</v>
      </c>
      <c r="V13" s="153" t="n">
        <v>2.8</v>
      </c>
      <c r="W13" s="153" t="n">
        <v>4.2</v>
      </c>
      <c r="X13" s="153" t="n">
        <v>44.5</v>
      </c>
      <c r="Y13" s="153" t="n">
        <v>51.3</v>
      </c>
      <c r="Z13" s="153" t="n">
        <v>0</v>
      </c>
      <c r="AA13" s="153" t="n">
        <v>0</v>
      </c>
      <c r="AB13" s="153" t="n">
        <v>0</v>
      </c>
      <c r="AC13" s="153" t="n">
        <v>0</v>
      </c>
      <c r="AD13" s="153" t="n">
        <v>32.6</v>
      </c>
      <c r="AE13" s="153" t="n">
        <v>67.40000000000001</v>
      </c>
      <c r="AF13" s="153" t="n">
        <v>0</v>
      </c>
      <c r="AG13" s="153" t="n">
        <v>0</v>
      </c>
      <c r="AH13" s="152" t="n">
        <v>6.38</v>
      </c>
      <c r="AI13" s="152" t="n">
        <v>5.95</v>
      </c>
      <c r="AJ13" s="152" t="n">
        <v>6.25</v>
      </c>
      <c r="AK13" s="152" t="n">
        <v>6.87</v>
      </c>
      <c r="AL13" s="152" t="n">
        <v>0.21</v>
      </c>
    </row>
    <row r="14" ht="30" customHeight="1">
      <c r="A14" s="3" t="inlineStr">
        <is>
          <t>OUEST</t>
        </is>
      </c>
      <c r="B14" s="3" t="inlineStr">
        <is>
          <t>EPEULE</t>
        </is>
      </c>
      <c r="C14" s="3" t="inlineStr">
        <is>
          <t>Épeule Nord</t>
        </is>
      </c>
      <c r="D14" s="151" t="n">
        <v>461</v>
      </c>
      <c r="E14" s="151" t="n">
        <v>0</v>
      </c>
      <c r="F14" s="153" t="n">
        <v>0</v>
      </c>
      <c r="G14" s="153" t="n">
        <v>0</v>
      </c>
      <c r="H14" s="153" t="n">
        <v>4.2</v>
      </c>
      <c r="I14" s="153" t="n">
        <v>97.7</v>
      </c>
      <c r="J14" s="153" t="n">
        <v>2.3</v>
      </c>
      <c r="K14" s="153" t="n">
        <v>7.4</v>
      </c>
      <c r="L14" s="153" t="n">
        <v>30.4</v>
      </c>
      <c r="M14" s="153" t="n">
        <v>44.9</v>
      </c>
      <c r="N14" s="153" t="n">
        <v>14.7</v>
      </c>
      <c r="O14" s="153" t="n">
        <v>2.6</v>
      </c>
      <c r="P14" s="153" t="n">
        <v>0</v>
      </c>
      <c r="Q14" s="153" t="n">
        <v>5.5</v>
      </c>
      <c r="R14" s="153" t="n">
        <v>36.8</v>
      </c>
      <c r="S14" s="153" t="n">
        <v>49.9</v>
      </c>
      <c r="T14" s="153" t="n">
        <v>5.5</v>
      </c>
      <c r="U14" s="153" t="n">
        <v>0</v>
      </c>
      <c r="V14" s="153" t="n">
        <v>2.3</v>
      </c>
      <c r="W14" s="153" t="n">
        <v>2.4</v>
      </c>
      <c r="X14" s="153" t="n">
        <v>54.4</v>
      </c>
      <c r="Y14" s="153" t="n">
        <v>43.3</v>
      </c>
      <c r="Z14" s="153" t="n">
        <v>0</v>
      </c>
      <c r="AA14" s="153" t="n">
        <v>0</v>
      </c>
      <c r="AB14" s="153" t="n">
        <v>0</v>
      </c>
      <c r="AC14" s="153" t="n">
        <v>0</v>
      </c>
      <c r="AD14" s="153" t="n">
        <v>100</v>
      </c>
      <c r="AE14" s="153" t="n">
        <v>0</v>
      </c>
      <c r="AF14" s="153" t="n">
        <v>0</v>
      </c>
      <c r="AG14" s="153" t="n">
        <v>0</v>
      </c>
      <c r="AH14" s="152" t="n">
        <v>5.57</v>
      </c>
      <c r="AI14" s="152" t="n">
        <v>5.2</v>
      </c>
      <c r="AJ14" s="152" t="n">
        <v>5.47</v>
      </c>
      <c r="AK14" s="152" t="n">
        <v>5.94</v>
      </c>
      <c r="AL14" s="152" t="n">
        <v>0.15</v>
      </c>
    </row>
    <row r="15" ht="30" customHeight="1">
      <c r="A15" s="3" t="inlineStr">
        <is>
          <t>OUEST</t>
        </is>
      </c>
      <c r="B15" s="3" t="inlineStr">
        <is>
          <t>EPEULE</t>
        </is>
      </c>
      <c r="C15" s="3" t="inlineStr">
        <is>
          <t>Épeule Centre</t>
        </is>
      </c>
      <c r="D15" s="151" t="n">
        <v>441</v>
      </c>
      <c r="E15" s="151" t="n">
        <v>0</v>
      </c>
      <c r="F15" s="153" t="n">
        <v>2.7</v>
      </c>
      <c r="G15" s="153" t="n">
        <v>0</v>
      </c>
      <c r="H15" s="153" t="n">
        <v>4.8</v>
      </c>
      <c r="I15" s="153" t="n">
        <v>84.90000000000001</v>
      </c>
      <c r="J15" s="153" t="n">
        <v>15.1</v>
      </c>
      <c r="K15" s="153" t="n">
        <v>5.7</v>
      </c>
      <c r="L15" s="153" t="n">
        <v>29.7</v>
      </c>
      <c r="M15" s="153" t="n">
        <v>42.4</v>
      </c>
      <c r="N15" s="153" t="n">
        <v>18.1</v>
      </c>
      <c r="O15" s="153" t="n">
        <v>4.1</v>
      </c>
      <c r="P15" s="153" t="n">
        <v>0</v>
      </c>
      <c r="Q15" s="153" t="n">
        <v>2.5</v>
      </c>
      <c r="R15" s="153" t="n">
        <v>32.8</v>
      </c>
      <c r="S15" s="153" t="n">
        <v>28.7</v>
      </c>
      <c r="T15" s="153" t="n">
        <v>32.3</v>
      </c>
      <c r="U15" s="153" t="n">
        <v>3.7</v>
      </c>
      <c r="V15" s="153" t="n">
        <v>0</v>
      </c>
      <c r="W15" s="153" t="n">
        <v>15</v>
      </c>
      <c r="X15" s="153" t="n">
        <v>72.8</v>
      </c>
      <c r="Y15" s="153" t="n">
        <v>2.4</v>
      </c>
      <c r="Z15" s="153" t="n">
        <v>0</v>
      </c>
      <c r="AA15" s="153" t="n">
        <v>0</v>
      </c>
      <c r="AB15" s="153" t="n">
        <v>9.800000000000001</v>
      </c>
      <c r="AC15" s="153" t="n">
        <v>10</v>
      </c>
      <c r="AD15" s="153" t="n">
        <v>70.7</v>
      </c>
      <c r="AE15" s="153" t="n">
        <v>16.2</v>
      </c>
      <c r="AF15" s="153" t="n">
        <v>0</v>
      </c>
      <c r="AG15" s="153" t="n">
        <v>3.1</v>
      </c>
      <c r="AH15" s="152" t="n">
        <v>5.42</v>
      </c>
      <c r="AI15" s="152" t="n">
        <v>4.88</v>
      </c>
      <c r="AJ15" s="152" t="n">
        <v>5.34</v>
      </c>
      <c r="AK15" s="152" t="n">
        <v>5.88</v>
      </c>
      <c r="AL15" s="152" t="n">
        <v>0.2</v>
      </c>
    </row>
    <row r="16" ht="30" customHeight="1">
      <c r="A16" s="3" t="inlineStr">
        <is>
          <t>OUEST</t>
        </is>
      </c>
      <c r="B16" s="3" t="inlineStr">
        <is>
          <t>EPEULE</t>
        </is>
      </c>
      <c r="C16" s="3" t="inlineStr">
        <is>
          <t>Épeule Sud</t>
        </is>
      </c>
      <c r="D16" s="151" t="n">
        <v>108</v>
      </c>
      <c r="E16" s="151" t="n">
        <v>0</v>
      </c>
      <c r="F16" s="64" t="n"/>
      <c r="G16" s="64" t="n"/>
      <c r="H16" s="153" t="n">
        <v>10.3</v>
      </c>
      <c r="I16" s="64" t="n"/>
      <c r="J16" s="153" t="n">
        <v>13.3</v>
      </c>
      <c r="K16" s="64" t="n"/>
      <c r="L16" s="64" t="n"/>
      <c r="M16" s="64" t="n"/>
      <c r="N16" s="64" t="n"/>
      <c r="O16" s="64" t="n"/>
      <c r="P16" s="64" t="n"/>
      <c r="Q16" s="64" t="n"/>
      <c r="R16" s="64" t="n"/>
      <c r="S16" s="153" t="n">
        <v>29.9</v>
      </c>
      <c r="T16" s="153" t="n">
        <v>34.2</v>
      </c>
      <c r="U16" s="153" t="n">
        <v>10.3</v>
      </c>
      <c r="V16" s="64" t="n"/>
      <c r="W16" s="153" t="n">
        <v>17</v>
      </c>
      <c r="X16" s="64" t="n"/>
      <c r="Y16" s="64" t="n"/>
      <c r="Z16" s="64" t="n"/>
      <c r="AA16" s="64" t="n"/>
      <c r="AB16" s="64" t="n"/>
      <c r="AC16" s="153" t="n">
        <v>12.9</v>
      </c>
      <c r="AD16" s="153" t="n">
        <v>8.9</v>
      </c>
      <c r="AE16" s="64" t="n"/>
      <c r="AF16" s="153" t="n">
        <v>0</v>
      </c>
      <c r="AG16" s="153" t="n">
        <v>0</v>
      </c>
      <c r="AH16" s="152" t="n">
        <v>6.05</v>
      </c>
      <c r="AI16" s="152" t="n">
        <v>5.51</v>
      </c>
      <c r="AJ16" s="152" t="n">
        <v>5.97</v>
      </c>
      <c r="AK16" s="152" t="n">
        <v>6.61</v>
      </c>
      <c r="AL16" s="152" t="n">
        <v>0.15</v>
      </c>
    </row>
    <row r="17" ht="30" customHeight="1">
      <c r="A17" s="3" t="inlineStr">
        <is>
          <t>OUEST</t>
        </is>
      </c>
      <c r="B17" s="3" t="inlineStr">
        <is>
          <t>TRICHON</t>
        </is>
      </c>
      <c r="C17" s="3" t="inlineStr">
        <is>
          <t>Trichon</t>
        </is>
      </c>
      <c r="D17" s="151" t="n">
        <v>358</v>
      </c>
      <c r="E17" s="151" t="n">
        <v>0</v>
      </c>
      <c r="F17" s="153" t="n">
        <v>0</v>
      </c>
      <c r="G17" s="153" t="n">
        <v>0</v>
      </c>
      <c r="H17" s="153" t="n">
        <v>4.8</v>
      </c>
      <c r="I17" s="153" t="n">
        <v>81.8</v>
      </c>
      <c r="J17" s="153" t="n">
        <v>18.2</v>
      </c>
      <c r="K17" s="153" t="n">
        <v>6.1</v>
      </c>
      <c r="L17" s="153" t="n">
        <v>24.9</v>
      </c>
      <c r="M17" s="153" t="n">
        <v>37.1</v>
      </c>
      <c r="N17" s="153" t="n">
        <v>16.3</v>
      </c>
      <c r="O17" s="153" t="n">
        <v>15.5</v>
      </c>
      <c r="P17" s="153" t="n">
        <v>0</v>
      </c>
      <c r="Q17" s="153" t="n">
        <v>3.4</v>
      </c>
      <c r="R17" s="153" t="n">
        <v>23.2</v>
      </c>
      <c r="S17" s="153" t="n">
        <v>38.7</v>
      </c>
      <c r="T17" s="153" t="n">
        <v>19.5</v>
      </c>
      <c r="U17" s="153" t="n">
        <v>12</v>
      </c>
      <c r="V17" s="153" t="n">
        <v>3.2</v>
      </c>
      <c r="W17" s="153" t="n">
        <v>6.2</v>
      </c>
      <c r="X17" s="153" t="n">
        <v>0</v>
      </c>
      <c r="Y17" s="153" t="n">
        <v>54.9</v>
      </c>
      <c r="Z17" s="153" t="n">
        <v>13.6</v>
      </c>
      <c r="AA17" s="153" t="n">
        <v>13.9</v>
      </c>
      <c r="AB17" s="153" t="n">
        <v>11.4</v>
      </c>
      <c r="AC17" s="153" t="n">
        <v>10.1</v>
      </c>
      <c r="AD17" s="153" t="n">
        <v>0</v>
      </c>
      <c r="AE17" s="153" t="n">
        <v>86.90000000000001</v>
      </c>
      <c r="AF17" s="153" t="n">
        <v>0</v>
      </c>
      <c r="AG17" s="153" t="n">
        <v>3.1</v>
      </c>
      <c r="AH17" s="152" t="n">
        <v>6.49</v>
      </c>
      <c r="AI17" s="152" t="n">
        <v>6.09</v>
      </c>
      <c r="AJ17" s="152" t="n">
        <v>6.63</v>
      </c>
      <c r="AK17" s="152" t="n">
        <v>6.91</v>
      </c>
      <c r="AL17" s="152" t="n">
        <v>0.33</v>
      </c>
    </row>
    <row r="18" ht="30" customHeight="1">
      <c r="A18" s="3" t="inlineStr">
        <is>
          <t>CENTRE</t>
        </is>
      </c>
      <c r="B18" s="3" t="inlineStr">
        <is>
          <t>ESPERANCE/CROUY/CENTRE VILLE</t>
        </is>
      </c>
      <c r="C18" s="3" t="inlineStr">
        <is>
          <t>Espérance Centre</t>
        </is>
      </c>
      <c r="D18" s="151" t="n">
        <v>453</v>
      </c>
      <c r="E18" s="151" t="n">
        <v>0</v>
      </c>
      <c r="F18" s="153" t="n">
        <v>5</v>
      </c>
      <c r="G18" s="153" t="n">
        <v>4.3</v>
      </c>
      <c r="H18" s="153" t="n">
        <v>5.7</v>
      </c>
      <c r="I18" s="153" t="n">
        <v>95.3</v>
      </c>
      <c r="J18" s="153" t="n">
        <v>4.7</v>
      </c>
      <c r="K18" s="153" t="n">
        <v>17.2</v>
      </c>
      <c r="L18" s="153" t="n">
        <v>23</v>
      </c>
      <c r="M18" s="153" t="n">
        <v>43.8</v>
      </c>
      <c r="N18" s="153" t="n">
        <v>10.2</v>
      </c>
      <c r="O18" s="153" t="n">
        <v>5.8</v>
      </c>
      <c r="P18" s="153" t="n">
        <v>4.8</v>
      </c>
      <c r="Q18" s="153" t="n">
        <v>13.7</v>
      </c>
      <c r="R18" s="153" t="n">
        <v>24.6</v>
      </c>
      <c r="S18" s="153" t="n">
        <v>41.8</v>
      </c>
      <c r="T18" s="153" t="n">
        <v>12</v>
      </c>
      <c r="U18" s="153" t="n">
        <v>3.1</v>
      </c>
      <c r="V18" s="153" t="n">
        <v>0</v>
      </c>
      <c r="W18" s="153" t="n">
        <v>5</v>
      </c>
      <c r="X18" s="153" t="n">
        <v>5.2</v>
      </c>
      <c r="Y18" s="153" t="n">
        <v>19.3</v>
      </c>
      <c r="Z18" s="153" t="n">
        <v>6</v>
      </c>
      <c r="AA18" s="153" t="n">
        <v>37.2</v>
      </c>
      <c r="AB18" s="153" t="n">
        <v>27.2</v>
      </c>
      <c r="AC18" s="153" t="n">
        <v>9.199999999999999</v>
      </c>
      <c r="AD18" s="153" t="n">
        <v>0</v>
      </c>
      <c r="AE18" s="153" t="n">
        <v>72.5</v>
      </c>
      <c r="AF18" s="153" t="n">
        <v>6.7</v>
      </c>
      <c r="AG18" s="153" t="n">
        <v>11.6</v>
      </c>
      <c r="AH18" s="152" t="n">
        <v>7.61</v>
      </c>
      <c r="AI18" s="152" t="n">
        <v>6.7</v>
      </c>
      <c r="AJ18" s="152" t="n">
        <v>7.28</v>
      </c>
      <c r="AK18" s="152" t="n">
        <v>8.32</v>
      </c>
      <c r="AL18" s="152" t="n">
        <v>0.45</v>
      </c>
    </row>
    <row r="19" ht="30" customHeight="1">
      <c r="A19" s="3" t="inlineStr">
        <is>
          <t>CENTRE</t>
        </is>
      </c>
      <c r="B19" s="3" t="inlineStr">
        <is>
          <t>NATIONS UNIES</t>
        </is>
      </c>
      <c r="C19" s="3" t="inlineStr">
        <is>
          <t>Nations Unies</t>
        </is>
      </c>
      <c r="D19" s="151" t="n">
        <v>797</v>
      </c>
      <c r="E19" s="151" t="n">
        <v>0</v>
      </c>
      <c r="F19" s="153" t="n">
        <v>2.2</v>
      </c>
      <c r="G19" s="153" t="n">
        <v>1.7</v>
      </c>
      <c r="H19" s="153" t="n">
        <v>5.7</v>
      </c>
      <c r="I19" s="153" t="n">
        <v>98.59999999999999</v>
      </c>
      <c r="J19" s="153" t="n">
        <v>1.4</v>
      </c>
      <c r="K19" s="153" t="n">
        <v>13.6</v>
      </c>
      <c r="L19" s="153" t="n">
        <v>37.7</v>
      </c>
      <c r="M19" s="153" t="n">
        <v>35.1</v>
      </c>
      <c r="N19" s="153" t="n">
        <v>7.7</v>
      </c>
      <c r="O19" s="153" t="n">
        <v>5.9</v>
      </c>
      <c r="P19" s="153" t="n">
        <v>11.1</v>
      </c>
      <c r="Q19" s="153" t="n">
        <v>11.6</v>
      </c>
      <c r="R19" s="153" t="n">
        <v>33.6</v>
      </c>
      <c r="S19" s="153" t="n">
        <v>30.5</v>
      </c>
      <c r="T19" s="153" t="n">
        <v>9.800000000000001</v>
      </c>
      <c r="U19" s="153" t="n">
        <v>3.3</v>
      </c>
      <c r="V19" s="153" t="n">
        <v>0</v>
      </c>
      <c r="W19" s="153" t="n">
        <v>0</v>
      </c>
      <c r="X19" s="153" t="n">
        <v>16.3</v>
      </c>
      <c r="Y19" s="153" t="n">
        <v>37.2</v>
      </c>
      <c r="Z19" s="153" t="n">
        <v>22.8</v>
      </c>
      <c r="AA19" s="153" t="n">
        <v>23.7</v>
      </c>
      <c r="AB19" s="153" t="n">
        <v>0</v>
      </c>
      <c r="AC19" s="153" t="n">
        <v>3.6</v>
      </c>
      <c r="AD19" s="153" t="n">
        <v>17</v>
      </c>
      <c r="AE19" s="153" t="n">
        <v>64.40000000000001</v>
      </c>
      <c r="AF19" s="153" t="n">
        <v>15</v>
      </c>
      <c r="AG19" s="153" t="n">
        <v>0</v>
      </c>
      <c r="AH19" s="152" t="n">
        <v>7.26</v>
      </c>
      <c r="AI19" s="152" t="n">
        <v>6.8</v>
      </c>
      <c r="AJ19" s="152" t="n">
        <v>7.22</v>
      </c>
      <c r="AK19" s="152" t="n">
        <v>7.66</v>
      </c>
      <c r="AL19" s="152" t="n">
        <v>0.32</v>
      </c>
    </row>
    <row r="20" ht="30" customHeight="1">
      <c r="A20" s="3" t="inlineStr">
        <is>
          <t>CENTRE</t>
        </is>
      </c>
      <c r="B20" s="3" t="inlineStr">
        <is>
          <t>ANSEELE MOTTE BOSSUT</t>
        </is>
      </c>
      <c r="C20" s="3" t="inlineStr">
        <is>
          <t>Anseele</t>
        </is>
      </c>
      <c r="D20" s="151" t="n">
        <v>1398</v>
      </c>
      <c r="E20" s="151" t="n">
        <v>0</v>
      </c>
      <c r="F20" s="153" t="n">
        <v>0</v>
      </c>
      <c r="G20" s="153" t="n">
        <v>0.9</v>
      </c>
      <c r="H20" s="153" t="n">
        <v>7.8</v>
      </c>
      <c r="I20" s="153" t="n">
        <v>100</v>
      </c>
      <c r="J20" s="153" t="n">
        <v>0</v>
      </c>
      <c r="K20" s="153" t="n">
        <v>6.2</v>
      </c>
      <c r="L20" s="153" t="n">
        <v>28.9</v>
      </c>
      <c r="M20" s="153" t="n">
        <v>44.3</v>
      </c>
      <c r="N20" s="153" t="n">
        <v>14.1</v>
      </c>
      <c r="O20" s="153" t="n">
        <v>6.6</v>
      </c>
      <c r="P20" s="153" t="n">
        <v>0.9</v>
      </c>
      <c r="Q20" s="153" t="n">
        <v>6.8</v>
      </c>
      <c r="R20" s="153" t="n">
        <v>24.8</v>
      </c>
      <c r="S20" s="153" t="n">
        <v>48.1</v>
      </c>
      <c r="T20" s="153" t="n">
        <v>17.3</v>
      </c>
      <c r="U20" s="153" t="n">
        <v>2</v>
      </c>
      <c r="V20" s="153" t="n">
        <v>0</v>
      </c>
      <c r="W20" s="153" t="n">
        <v>0</v>
      </c>
      <c r="X20" s="153" t="n">
        <v>93.90000000000001</v>
      </c>
      <c r="Y20" s="153" t="n">
        <v>0</v>
      </c>
      <c r="Z20" s="153" t="n">
        <v>0</v>
      </c>
      <c r="AA20" s="153" t="n">
        <v>0</v>
      </c>
      <c r="AB20" s="153" t="n">
        <v>6.1</v>
      </c>
      <c r="AC20" s="153" t="n">
        <v>0</v>
      </c>
      <c r="AD20" s="153" t="n">
        <v>75.8</v>
      </c>
      <c r="AE20" s="153" t="n">
        <v>10.5</v>
      </c>
      <c r="AF20" s="153" t="n">
        <v>0</v>
      </c>
      <c r="AG20" s="153" t="n">
        <v>13.7</v>
      </c>
      <c r="AH20" s="152" t="n">
        <v>6.71</v>
      </c>
      <c r="AI20" s="152" t="n">
        <v>6.07</v>
      </c>
      <c r="AJ20" s="152" t="n">
        <v>6.74</v>
      </c>
      <c r="AK20" s="152" t="n">
        <v>7.29</v>
      </c>
      <c r="AL20" s="152" t="n">
        <v>0.29</v>
      </c>
    </row>
    <row r="21" ht="30" customHeight="1">
      <c r="A21" s="3" t="inlineStr">
        <is>
          <t>CENTRE</t>
        </is>
      </c>
      <c r="B21" s="3" t="inlineStr">
        <is>
          <t>VAUBAN</t>
        </is>
      </c>
      <c r="C21" s="3" t="inlineStr">
        <is>
          <t>Barbieux-Vauban</t>
        </is>
      </c>
      <c r="D21" s="151" t="n">
        <v>95</v>
      </c>
      <c r="E21" s="151" t="n">
        <v>0</v>
      </c>
      <c r="F21" s="64" t="n"/>
      <c r="G21" s="64" t="n"/>
      <c r="H21" s="153" t="n">
        <v>10.9</v>
      </c>
      <c r="I21" s="64" t="n"/>
      <c r="J21" s="64" t="n"/>
      <c r="K21" s="64" t="n"/>
      <c r="L21" s="64" t="n"/>
      <c r="M21" s="64" t="n"/>
      <c r="N21" s="64" t="n"/>
      <c r="O21" s="153" t="n">
        <v>11.7</v>
      </c>
      <c r="P21" s="64" t="n"/>
      <c r="Q21" s="64" t="n"/>
      <c r="R21" s="64" t="n"/>
      <c r="S21" s="64" t="n"/>
      <c r="T21" s="64" t="n"/>
      <c r="U21" s="153" t="n">
        <v>12.9</v>
      </c>
      <c r="V21" s="64" t="n"/>
      <c r="W21" s="64" t="n"/>
      <c r="X21" s="153" t="n">
        <v>18.9</v>
      </c>
      <c r="Y21" s="64" t="n"/>
      <c r="Z21" s="153" t="n">
        <v>23.4</v>
      </c>
      <c r="AA21" s="64" t="n"/>
      <c r="AB21" s="153" t="n">
        <v>15.3</v>
      </c>
      <c r="AC21" s="64" t="n"/>
      <c r="AD21" s="64" t="n"/>
      <c r="AE21" s="64" t="n"/>
      <c r="AF21" s="64" t="n"/>
      <c r="AG21" s="64" t="n"/>
      <c r="AH21" s="152" t="n">
        <v>8.09</v>
      </c>
      <c r="AI21" s="152" t="n">
        <v>6.78</v>
      </c>
      <c r="AJ21" s="152" t="n">
        <v>7.55</v>
      </c>
      <c r="AK21" s="152" t="n">
        <v>10.3</v>
      </c>
      <c r="AL21" s="152" t="n">
        <v>0.91</v>
      </c>
    </row>
    <row r="22" ht="30" customHeight="1">
      <c r="A22" s="3" t="inlineStr">
        <is>
          <t>SUD</t>
        </is>
      </c>
      <c r="B22" s="3" t="inlineStr">
        <is>
          <t>BARBIEUX</t>
        </is>
      </c>
      <c r="C22" s="3" t="inlineStr">
        <is>
          <t>Barbieux Sud</t>
        </is>
      </c>
      <c r="D22" s="151" t="n">
        <v>90</v>
      </c>
      <c r="E22" s="151" t="n">
        <v>0</v>
      </c>
      <c r="F22" s="64" t="n"/>
      <c r="G22" s="64" t="n"/>
      <c r="H22" s="153" t="n">
        <v>12.6</v>
      </c>
      <c r="I22" s="64" t="n"/>
      <c r="J22" s="64" t="n"/>
      <c r="K22" s="64" t="n"/>
      <c r="L22" s="64" t="n"/>
      <c r="M22" s="64" t="n"/>
      <c r="N22" s="153" t="n">
        <v>11.6</v>
      </c>
      <c r="O22" s="64" t="n"/>
      <c r="P22" s="64" t="n"/>
      <c r="Q22" s="64" t="n"/>
      <c r="R22" s="64" t="n"/>
      <c r="S22" s="64" t="n"/>
      <c r="T22" s="64" t="n"/>
      <c r="U22" s="64" t="n"/>
      <c r="V22" s="64" t="n"/>
      <c r="W22" s="64" t="n"/>
      <c r="X22" s="64" t="n"/>
      <c r="Y22" s="64" t="n"/>
      <c r="Z22" s="64" t="n"/>
      <c r="AA22" s="64" t="n"/>
      <c r="AB22" s="64" t="n"/>
      <c r="AC22" s="64" t="n"/>
      <c r="AD22" s="64" t="n"/>
      <c r="AE22" s="64" t="n"/>
      <c r="AF22" s="64" t="n"/>
      <c r="AG22" s="64" t="n"/>
      <c r="AH22" s="152" t="n">
        <v>9.06</v>
      </c>
      <c r="AI22" s="152" t="n">
        <v>7.52</v>
      </c>
      <c r="AJ22" s="152" t="n">
        <v>10.07</v>
      </c>
      <c r="AK22" s="152" t="n">
        <v>10.35</v>
      </c>
      <c r="AL22" s="152" t="n">
        <v>0.5600000000000001</v>
      </c>
    </row>
    <row r="23" ht="30" customHeight="1">
      <c r="A23" s="3" t="inlineStr">
        <is>
          <t>SUD</t>
        </is>
      </c>
      <c r="B23" s="3" t="inlineStr">
        <is>
          <t>EDOUARD VAILLANT</t>
        </is>
      </c>
      <c r="C23" s="3" t="inlineStr">
        <is>
          <t>Édouard Vaillant</t>
        </is>
      </c>
      <c r="D23" s="151" t="n">
        <v>418</v>
      </c>
      <c r="E23" s="151" t="n">
        <v>0</v>
      </c>
      <c r="F23" s="153" t="n">
        <v>4.1</v>
      </c>
      <c r="G23" s="153" t="n">
        <v>4.1</v>
      </c>
      <c r="H23" s="153" t="n">
        <v>7.3</v>
      </c>
      <c r="I23" s="153" t="n">
        <v>65.40000000000001</v>
      </c>
      <c r="J23" s="153" t="n">
        <v>34.6</v>
      </c>
      <c r="K23" s="153" t="n">
        <v>3.1</v>
      </c>
      <c r="L23" s="153" t="n">
        <v>33.1</v>
      </c>
      <c r="M23" s="153" t="n">
        <v>30</v>
      </c>
      <c r="N23" s="153" t="n">
        <v>30.7</v>
      </c>
      <c r="O23" s="153" t="n">
        <v>3.1</v>
      </c>
      <c r="P23" s="153" t="n">
        <v>0</v>
      </c>
      <c r="Q23" s="153" t="n">
        <v>3.3</v>
      </c>
      <c r="R23" s="153" t="n">
        <v>41.1</v>
      </c>
      <c r="S23" s="153" t="n">
        <v>32.7</v>
      </c>
      <c r="T23" s="153" t="n">
        <v>23</v>
      </c>
      <c r="U23" s="153" t="n">
        <v>0</v>
      </c>
      <c r="V23" s="153" t="n">
        <v>0</v>
      </c>
      <c r="W23" s="153" t="n">
        <v>2.8</v>
      </c>
      <c r="X23" s="153" t="n">
        <v>44.7</v>
      </c>
      <c r="Y23" s="153" t="n">
        <v>0</v>
      </c>
      <c r="Z23" s="153" t="n">
        <v>0</v>
      </c>
      <c r="AA23" s="153" t="n">
        <v>14.1</v>
      </c>
      <c r="AB23" s="153" t="n">
        <v>38.4</v>
      </c>
      <c r="AC23" s="153" t="n">
        <v>10.2</v>
      </c>
      <c r="AD23" s="153" t="n">
        <v>43.4</v>
      </c>
      <c r="AE23" s="153" t="n">
        <v>26.1</v>
      </c>
      <c r="AF23" s="153" t="n">
        <v>20.2</v>
      </c>
      <c r="AG23" s="153" t="n">
        <v>0</v>
      </c>
      <c r="AH23" s="152" t="n">
        <v>7.1</v>
      </c>
      <c r="AI23" s="152" t="n">
        <v>5.98</v>
      </c>
      <c r="AJ23" s="152" t="n">
        <v>6.81</v>
      </c>
      <c r="AK23" s="152" t="n">
        <v>8.02</v>
      </c>
      <c r="AL23" s="152" t="n">
        <v>0.53</v>
      </c>
    </row>
    <row r="24" ht="30" customHeight="1">
      <c r="A24" s="3" t="inlineStr">
        <is>
          <t>SUD</t>
        </is>
      </c>
      <c r="B24" s="3" t="inlineStr">
        <is>
          <t>MOULIN</t>
        </is>
      </c>
      <c r="C24" s="3" t="inlineStr">
        <is>
          <t>Moulin Nord</t>
        </is>
      </c>
      <c r="D24" s="151" t="n">
        <v>118</v>
      </c>
      <c r="E24" s="151" t="n">
        <v>0</v>
      </c>
      <c r="F24" s="64" t="n"/>
      <c r="G24" s="64" t="n"/>
      <c r="H24" s="153" t="n">
        <v>10.1</v>
      </c>
      <c r="I24" s="153" t="n">
        <v>16.8</v>
      </c>
      <c r="J24" s="64" t="n"/>
      <c r="K24" s="64" t="n"/>
      <c r="L24" s="153" t="n">
        <v>10.3</v>
      </c>
      <c r="M24" s="153" t="n">
        <v>12.1</v>
      </c>
      <c r="N24" s="64" t="n"/>
      <c r="O24" s="153" t="n">
        <v>25</v>
      </c>
      <c r="P24" s="153" t="n">
        <v>0</v>
      </c>
      <c r="Q24" s="153" t="n">
        <v>0</v>
      </c>
      <c r="R24" s="153" t="n">
        <v>10.6</v>
      </c>
      <c r="S24" s="153" t="n">
        <v>11.3</v>
      </c>
      <c r="T24" s="153" t="n">
        <v>40.8</v>
      </c>
      <c r="U24" s="153" t="n">
        <v>28.9</v>
      </c>
      <c r="V24" s="153" t="n">
        <v>8.5</v>
      </c>
      <c r="W24" s="64" t="n"/>
      <c r="X24" s="64" t="n"/>
      <c r="Y24" s="64" t="n"/>
      <c r="Z24" s="64" t="n"/>
      <c r="AA24" s="153" t="n">
        <v>11.5</v>
      </c>
      <c r="AB24" s="64" t="n"/>
      <c r="AC24" s="153" t="n">
        <v>26.6</v>
      </c>
      <c r="AD24" s="153" t="n">
        <v>13.7</v>
      </c>
      <c r="AE24" s="64" t="n"/>
      <c r="AF24" s="153" t="n">
        <v>0</v>
      </c>
      <c r="AG24" s="153" t="n">
        <v>0</v>
      </c>
      <c r="AH24" s="152" t="n">
        <v>6.23</v>
      </c>
      <c r="AI24" s="152" t="n">
        <v>5.6</v>
      </c>
      <c r="AJ24" s="152" t="n">
        <v>6.08</v>
      </c>
      <c r="AK24" s="152" t="n">
        <v>7.09</v>
      </c>
      <c r="AL24" s="152" t="n">
        <v>0.16</v>
      </c>
    </row>
    <row r="25" ht="30" customHeight="1">
      <c r="A25" s="3" t="inlineStr">
        <is>
          <t>SUD</t>
        </is>
      </c>
      <c r="B25" s="3" t="inlineStr">
        <is>
          <t>MOULIN</t>
        </is>
      </c>
      <c r="C25" s="3" t="inlineStr">
        <is>
          <t>Moulin Sud</t>
        </is>
      </c>
      <c r="D25" s="151" t="n">
        <v>92</v>
      </c>
      <c r="E25" s="151" t="n">
        <v>0</v>
      </c>
      <c r="F25" s="64" t="n"/>
      <c r="G25" s="64" t="n"/>
      <c r="H25" s="64" t="n"/>
      <c r="I25" s="64" t="n"/>
      <c r="J25" s="64" t="n"/>
      <c r="K25" s="64" t="n"/>
      <c r="L25" s="64" t="n"/>
      <c r="M25" s="64" t="n"/>
      <c r="N25" s="64" t="n"/>
      <c r="O25" s="64" t="n"/>
      <c r="P25" s="64" t="n"/>
      <c r="Q25" s="64" t="n"/>
      <c r="R25" s="64" t="n"/>
      <c r="S25" s="64" t="n"/>
      <c r="T25" s="64" t="n"/>
      <c r="U25" s="64" t="n"/>
      <c r="V25" s="64" t="n"/>
      <c r="W25" s="64" t="n"/>
      <c r="X25" s="64" t="n"/>
      <c r="Y25" s="64" t="n"/>
      <c r="Z25" s="64" t="n"/>
      <c r="AA25" s="64" t="n"/>
      <c r="AB25" s="64" t="n"/>
      <c r="AC25" s="64" t="n"/>
      <c r="AD25" s="64" t="n"/>
      <c r="AE25" s="64" t="n"/>
      <c r="AF25" s="64" t="n"/>
      <c r="AG25" s="64" t="n"/>
      <c r="AH25" s="152" t="n">
        <v>6.32</v>
      </c>
      <c r="AI25" s="152" t="n">
        <v>5.41</v>
      </c>
      <c r="AJ25" s="152" t="n">
        <v>6.33</v>
      </c>
      <c r="AK25" s="152" t="n">
        <v>7.06</v>
      </c>
      <c r="AL25" s="152" t="n">
        <v>0.17</v>
      </c>
    </row>
    <row r="26" ht="30" customHeight="1">
      <c r="A26" s="3" t="inlineStr">
        <is>
          <t>SUD</t>
        </is>
      </c>
      <c r="B26" s="3" t="inlineStr">
        <is>
          <t>POTENNERIE</t>
        </is>
      </c>
      <c r="C26" s="3" t="inlineStr">
        <is>
          <t>Potennerie</t>
        </is>
      </c>
      <c r="D26" s="151" t="n">
        <v>562</v>
      </c>
      <c r="E26" s="151" t="n">
        <v>0</v>
      </c>
      <c r="F26" s="153" t="n">
        <v>0</v>
      </c>
      <c r="G26" s="153" t="n">
        <v>0</v>
      </c>
      <c r="H26" s="153" t="n">
        <v>7.7</v>
      </c>
      <c r="I26" s="153" t="n">
        <v>96</v>
      </c>
      <c r="J26" s="153" t="n">
        <v>4</v>
      </c>
      <c r="K26" s="153" t="n">
        <v>5.4</v>
      </c>
      <c r="L26" s="153" t="n">
        <v>41.8</v>
      </c>
      <c r="M26" s="153" t="n">
        <v>41.2</v>
      </c>
      <c r="N26" s="153" t="n">
        <v>8.9</v>
      </c>
      <c r="O26" s="153" t="n">
        <v>2.7</v>
      </c>
      <c r="P26" s="153" t="n">
        <v>2.6</v>
      </c>
      <c r="Q26" s="153" t="n">
        <v>7.9</v>
      </c>
      <c r="R26" s="153" t="n">
        <v>47.5</v>
      </c>
      <c r="S26" s="153" t="n">
        <v>39.8</v>
      </c>
      <c r="T26" s="153" t="n">
        <v>2.2</v>
      </c>
      <c r="U26" s="153" t="n">
        <v>0</v>
      </c>
      <c r="V26" s="153" t="n">
        <v>0</v>
      </c>
      <c r="W26" s="153" t="n">
        <v>2.6</v>
      </c>
      <c r="X26" s="153" t="n">
        <v>89.7</v>
      </c>
      <c r="Y26" s="153" t="n">
        <v>0</v>
      </c>
      <c r="Z26" s="153" t="n">
        <v>2</v>
      </c>
      <c r="AA26" s="153" t="n">
        <v>2.6</v>
      </c>
      <c r="AB26" s="153" t="n">
        <v>3.1</v>
      </c>
      <c r="AC26" s="153" t="n">
        <v>0</v>
      </c>
      <c r="AD26" s="153" t="n">
        <v>90.40000000000001</v>
      </c>
      <c r="AE26" s="153" t="n">
        <v>9.6</v>
      </c>
      <c r="AF26" s="153" t="n">
        <v>0</v>
      </c>
      <c r="AG26" s="153" t="n">
        <v>0</v>
      </c>
      <c r="AH26" s="152" t="n">
        <v>6.52</v>
      </c>
      <c r="AI26" s="152" t="n">
        <v>5.62</v>
      </c>
      <c r="AJ26" s="152" t="n">
        <v>6.53</v>
      </c>
      <c r="AK26" s="152" t="n">
        <v>6.84</v>
      </c>
      <c r="AL26" s="152" t="n">
        <v>0.37</v>
      </c>
    </row>
    <row r="27" ht="30" customHeight="1">
      <c r="A27" s="3" t="inlineStr">
        <is>
          <t>EST</t>
        </is>
      </c>
      <c r="B27" s="3" t="inlineStr">
        <is>
          <t>STE ELISABETH</t>
        </is>
      </c>
      <c r="C27" s="3" t="inlineStr">
        <is>
          <t>Sainte-Élisabeth Centre</t>
        </is>
      </c>
      <c r="D27" s="151" t="n">
        <v>148</v>
      </c>
      <c r="E27" s="151" t="n">
        <v>0</v>
      </c>
      <c r="F27" s="153" t="n">
        <v>0</v>
      </c>
      <c r="G27" s="153" t="n">
        <v>0</v>
      </c>
      <c r="H27" s="153" t="n">
        <v>6.5</v>
      </c>
      <c r="I27" s="153" t="n">
        <v>46.2</v>
      </c>
      <c r="J27" s="153" t="n">
        <v>53.8</v>
      </c>
      <c r="K27" s="153" t="n">
        <v>0</v>
      </c>
      <c r="L27" s="153" t="n">
        <v>23.8</v>
      </c>
      <c r="M27" s="153" t="n">
        <v>23.8</v>
      </c>
      <c r="N27" s="153" t="n">
        <v>31.2</v>
      </c>
      <c r="O27" s="153" t="n">
        <v>21.2</v>
      </c>
      <c r="P27" s="153" t="n">
        <v>0</v>
      </c>
      <c r="Q27" s="153" t="n">
        <v>6.8</v>
      </c>
      <c r="R27" s="153" t="n">
        <v>33.3</v>
      </c>
      <c r="S27" s="153" t="n">
        <v>21</v>
      </c>
      <c r="T27" s="153" t="n">
        <v>27.2</v>
      </c>
      <c r="U27" s="153" t="n">
        <v>11.7</v>
      </c>
      <c r="V27" s="153" t="n">
        <v>0</v>
      </c>
      <c r="W27" s="153" t="n">
        <v>25.1</v>
      </c>
      <c r="X27" s="153" t="n">
        <v>6</v>
      </c>
      <c r="Y27" s="153" t="n">
        <v>29.5</v>
      </c>
      <c r="Z27" s="153" t="n">
        <v>6.6</v>
      </c>
      <c r="AA27" s="153" t="n">
        <v>18</v>
      </c>
      <c r="AB27" s="153" t="n">
        <v>14.8</v>
      </c>
      <c r="AC27" s="153" t="n">
        <v>19.5</v>
      </c>
      <c r="AD27" s="153" t="n">
        <v>0</v>
      </c>
      <c r="AE27" s="153" t="n">
        <v>80.5</v>
      </c>
      <c r="AF27" s="153" t="n">
        <v>0</v>
      </c>
      <c r="AG27" s="153" t="n">
        <v>0</v>
      </c>
      <c r="AH27" s="152" t="n">
        <v>5.8</v>
      </c>
      <c r="AI27" s="152" t="n">
        <v>5.41</v>
      </c>
      <c r="AJ27" s="152" t="n">
        <v>5.7</v>
      </c>
      <c r="AK27" s="152" t="n">
        <v>6.19</v>
      </c>
      <c r="AL27" s="152" t="n">
        <v>0.16</v>
      </c>
    </row>
    <row r="28" ht="30" customHeight="1">
      <c r="A28" s="3" t="inlineStr">
        <is>
          <t>EST</t>
        </is>
      </c>
      <c r="B28" s="3" t="inlineStr">
        <is>
          <t>STE ELISABETH</t>
        </is>
      </c>
      <c r="C28" s="3" t="inlineStr">
        <is>
          <t>Sainte-Élisabeth Sud</t>
        </is>
      </c>
      <c r="D28" s="151" t="n">
        <v>249</v>
      </c>
      <c r="E28" s="151" t="n">
        <v>27</v>
      </c>
      <c r="F28" s="153" t="n">
        <v>0</v>
      </c>
      <c r="G28" s="153" t="n">
        <v>0</v>
      </c>
      <c r="H28" s="153" t="n">
        <v>0</v>
      </c>
      <c r="I28" s="153" t="n">
        <v>83.5</v>
      </c>
      <c r="J28" s="153" t="n">
        <v>16.5</v>
      </c>
      <c r="K28" s="153" t="n">
        <v>0</v>
      </c>
      <c r="L28" s="153" t="n">
        <v>5.4</v>
      </c>
      <c r="M28" s="153" t="n">
        <v>67.90000000000001</v>
      </c>
      <c r="N28" s="153" t="n">
        <v>21.7</v>
      </c>
      <c r="O28" s="153" t="n">
        <v>5</v>
      </c>
      <c r="P28" s="153" t="n">
        <v>0</v>
      </c>
      <c r="Q28" s="153" t="n">
        <v>0</v>
      </c>
      <c r="R28" s="153" t="n">
        <v>64.09999999999999</v>
      </c>
      <c r="S28" s="153" t="n">
        <v>24.7</v>
      </c>
      <c r="T28" s="153" t="n">
        <v>11.2</v>
      </c>
      <c r="U28" s="153" t="n">
        <v>0</v>
      </c>
      <c r="V28" s="153" t="n">
        <v>0</v>
      </c>
      <c r="W28" s="153" t="n">
        <v>5</v>
      </c>
      <c r="X28" s="153" t="n">
        <v>61.2</v>
      </c>
      <c r="Y28" s="153" t="n">
        <v>5.8</v>
      </c>
      <c r="Z28" s="153" t="n">
        <v>21.3</v>
      </c>
      <c r="AA28" s="153" t="n">
        <v>0</v>
      </c>
      <c r="AB28" s="153" t="n">
        <v>6.6</v>
      </c>
      <c r="AC28" s="153" t="n">
        <v>6.6</v>
      </c>
      <c r="AD28" s="153" t="n">
        <v>62.9</v>
      </c>
      <c r="AE28" s="153" t="n">
        <v>30.5</v>
      </c>
      <c r="AF28" s="153" t="n">
        <v>0</v>
      </c>
      <c r="AG28" s="153" t="n">
        <v>0</v>
      </c>
      <c r="AH28" s="152" t="n">
        <v>6.21</v>
      </c>
      <c r="AI28" s="152" t="n">
        <v>5.92</v>
      </c>
      <c r="AJ28" s="152" t="n">
        <v>6.03</v>
      </c>
      <c r="AK28" s="152" t="n">
        <v>6.26</v>
      </c>
      <c r="AL28" s="152" t="n">
        <v>0.14</v>
      </c>
    </row>
    <row r="29" ht="30" customHeight="1">
      <c r="A29" s="3" t="inlineStr">
        <is>
          <t>EST</t>
        </is>
      </c>
      <c r="B29" s="3" t="inlineStr">
        <is>
          <t>STE ELISABETH</t>
        </is>
      </c>
      <c r="C29" s="3" t="inlineStr">
        <is>
          <t>Sainte-Élisabeth Nord</t>
        </is>
      </c>
      <c r="D29" s="151" t="n">
        <v>470</v>
      </c>
      <c r="E29" s="151" t="n">
        <v>0</v>
      </c>
      <c r="F29" s="153" t="n">
        <v>0</v>
      </c>
      <c r="G29" s="153" t="n">
        <v>0</v>
      </c>
      <c r="H29" s="153" t="n">
        <v>6.5</v>
      </c>
      <c r="I29" s="153" t="n">
        <v>85.8</v>
      </c>
      <c r="J29" s="153" t="n">
        <v>14.2</v>
      </c>
      <c r="K29" s="153" t="n">
        <v>14.3</v>
      </c>
      <c r="L29" s="153" t="n">
        <v>33.4</v>
      </c>
      <c r="M29" s="153" t="n">
        <v>34.9</v>
      </c>
      <c r="N29" s="153" t="n">
        <v>10.6</v>
      </c>
      <c r="O29" s="153" t="n">
        <v>6.8</v>
      </c>
      <c r="P29" s="153" t="n">
        <v>2.5</v>
      </c>
      <c r="Q29" s="153" t="n">
        <v>8.1</v>
      </c>
      <c r="R29" s="153" t="n">
        <v>28.6</v>
      </c>
      <c r="S29" s="153" t="n">
        <v>42.6</v>
      </c>
      <c r="T29" s="153" t="n">
        <v>12.1</v>
      </c>
      <c r="U29" s="153" t="n">
        <v>2.8</v>
      </c>
      <c r="V29" s="153" t="n">
        <v>3.4</v>
      </c>
      <c r="W29" s="153" t="n">
        <v>10</v>
      </c>
      <c r="X29" s="153" t="n">
        <v>35.3</v>
      </c>
      <c r="Y29" s="153" t="n">
        <v>26.2</v>
      </c>
      <c r="Z29" s="153" t="n">
        <v>16.6</v>
      </c>
      <c r="AA29" s="153" t="n">
        <v>11.9</v>
      </c>
      <c r="AB29" s="153" t="n">
        <v>0</v>
      </c>
      <c r="AC29" s="153" t="n">
        <v>7.3</v>
      </c>
      <c r="AD29" s="153" t="n">
        <v>34</v>
      </c>
      <c r="AE29" s="153" t="n">
        <v>51.8</v>
      </c>
      <c r="AF29" s="153" t="n">
        <v>0</v>
      </c>
      <c r="AG29" s="153" t="n">
        <v>6.9</v>
      </c>
      <c r="AH29" s="152" t="n">
        <v>6.01</v>
      </c>
      <c r="AI29" s="152" t="n">
        <v>5.31</v>
      </c>
      <c r="AJ29" s="152" t="n">
        <v>5.7</v>
      </c>
      <c r="AK29" s="152" t="n">
        <v>6.48</v>
      </c>
      <c r="AL29" s="152" t="n">
        <v>0.22</v>
      </c>
    </row>
    <row r="30" ht="30" customHeight="1">
      <c r="A30" s="3" t="inlineStr">
        <is>
          <t>EST</t>
        </is>
      </c>
      <c r="B30" s="3" t="inlineStr">
        <is>
          <t>PILE</t>
        </is>
      </c>
      <c r="C30" s="3" t="inlineStr">
        <is>
          <t>Pile Est</t>
        </is>
      </c>
      <c r="D30" s="151" t="n">
        <v>190</v>
      </c>
      <c r="E30" s="151" t="n">
        <v>0</v>
      </c>
      <c r="F30" s="153" t="n">
        <v>0</v>
      </c>
      <c r="G30" s="153" t="n">
        <v>0</v>
      </c>
      <c r="H30" s="153" t="n">
        <v>7.1</v>
      </c>
      <c r="I30" s="153" t="n">
        <v>68.7</v>
      </c>
      <c r="J30" s="153" t="n">
        <v>31.3</v>
      </c>
      <c r="K30" s="153" t="n">
        <v>0</v>
      </c>
      <c r="L30" s="153" t="n">
        <v>32.8</v>
      </c>
      <c r="M30" s="153" t="n">
        <v>34.8</v>
      </c>
      <c r="N30" s="153" t="n">
        <v>15.7</v>
      </c>
      <c r="O30" s="153" t="n">
        <v>16.7</v>
      </c>
      <c r="P30" s="153" t="n">
        <v>0</v>
      </c>
      <c r="Q30" s="153" t="n">
        <v>0</v>
      </c>
      <c r="R30" s="153" t="n">
        <v>63.6</v>
      </c>
      <c r="S30" s="153" t="n">
        <v>16.6</v>
      </c>
      <c r="T30" s="153" t="n">
        <v>8</v>
      </c>
      <c r="U30" s="153" t="n">
        <v>11.8</v>
      </c>
      <c r="V30" s="153" t="n">
        <v>0</v>
      </c>
      <c r="W30" s="153" t="n">
        <v>10.7</v>
      </c>
      <c r="X30" s="153" t="n">
        <v>44.4</v>
      </c>
      <c r="Y30" s="153" t="n">
        <v>7.8</v>
      </c>
      <c r="Z30" s="153" t="n">
        <v>15.6</v>
      </c>
      <c r="AA30" s="153" t="n">
        <v>21.5</v>
      </c>
      <c r="AB30" s="153" t="n">
        <v>0</v>
      </c>
      <c r="AC30" s="153" t="n">
        <v>0</v>
      </c>
      <c r="AD30" s="153" t="n">
        <v>50.6</v>
      </c>
      <c r="AE30" s="153" t="n">
        <v>42.6</v>
      </c>
      <c r="AF30" s="153" t="n">
        <v>0</v>
      </c>
      <c r="AG30" s="153" t="n">
        <v>6.8</v>
      </c>
      <c r="AH30" s="152" t="n">
        <v>6.04</v>
      </c>
      <c r="AI30" s="152" t="n">
        <v>5.64</v>
      </c>
      <c r="AJ30" s="152" t="n">
        <v>6.14</v>
      </c>
      <c r="AK30" s="152" t="n">
        <v>6.4</v>
      </c>
      <c r="AL30" s="152" t="n">
        <v>0.2</v>
      </c>
    </row>
    <row r="31" ht="30" customHeight="1">
      <c r="A31" s="3" t="inlineStr">
        <is>
          <t>EST</t>
        </is>
      </c>
      <c r="B31" s="3" t="inlineStr">
        <is>
          <t>PILE</t>
        </is>
      </c>
      <c r="C31" s="3" t="inlineStr">
        <is>
          <t>Pile Centre</t>
        </is>
      </c>
      <c r="D31" s="151" t="n">
        <v>257</v>
      </c>
      <c r="E31" s="151" t="n">
        <v>0</v>
      </c>
      <c r="F31" s="153" t="n">
        <v>5</v>
      </c>
      <c r="G31" s="153" t="n">
        <v>0</v>
      </c>
      <c r="H31" s="153" t="n">
        <v>6.3</v>
      </c>
      <c r="I31" s="153" t="n">
        <v>55.4</v>
      </c>
      <c r="J31" s="153" t="n">
        <v>44.6</v>
      </c>
      <c r="K31" s="153" t="n">
        <v>0</v>
      </c>
      <c r="L31" s="153" t="n">
        <v>26.9</v>
      </c>
      <c r="M31" s="153" t="n">
        <v>33.9</v>
      </c>
      <c r="N31" s="153" t="n">
        <v>27.3</v>
      </c>
      <c r="O31" s="153" t="n">
        <v>12</v>
      </c>
      <c r="P31" s="153" t="n">
        <v>0</v>
      </c>
      <c r="Q31" s="153" t="n">
        <v>4.4</v>
      </c>
      <c r="R31" s="153" t="n">
        <v>23.5</v>
      </c>
      <c r="S31" s="153" t="n">
        <v>43</v>
      </c>
      <c r="T31" s="153" t="n">
        <v>21</v>
      </c>
      <c r="U31" s="153" t="n">
        <v>4</v>
      </c>
      <c r="V31" s="153" t="n">
        <v>4</v>
      </c>
      <c r="W31" s="153" t="n">
        <v>12</v>
      </c>
      <c r="X31" s="153" t="n">
        <v>6.8</v>
      </c>
      <c r="Y31" s="153" t="n">
        <v>16.4</v>
      </c>
      <c r="Z31" s="153" t="n">
        <v>14</v>
      </c>
      <c r="AA31" s="153" t="n">
        <v>26</v>
      </c>
      <c r="AB31" s="153" t="n">
        <v>24.8</v>
      </c>
      <c r="AC31" s="153" t="n">
        <v>9.300000000000001</v>
      </c>
      <c r="AD31" s="153" t="n">
        <v>0</v>
      </c>
      <c r="AE31" s="153" t="n">
        <v>85.3</v>
      </c>
      <c r="AF31" s="153" t="n">
        <v>0</v>
      </c>
      <c r="AG31" s="153" t="n">
        <v>5.4</v>
      </c>
      <c r="AH31" s="152" t="n">
        <v>6.24</v>
      </c>
      <c r="AI31" s="152" t="n">
        <v>5.79</v>
      </c>
      <c r="AJ31" s="152" t="n">
        <v>6.16</v>
      </c>
      <c r="AK31" s="152" t="n">
        <v>6.68</v>
      </c>
      <c r="AL31" s="152" t="n">
        <v>0.17</v>
      </c>
    </row>
    <row r="32" ht="30" customHeight="1">
      <c r="A32" s="3" t="inlineStr">
        <is>
          <t>EST</t>
        </is>
      </c>
      <c r="B32" s="3" t="inlineStr">
        <is>
          <t>PILE</t>
        </is>
      </c>
      <c r="C32" s="3" t="inlineStr">
        <is>
          <t>Pile Nord</t>
        </is>
      </c>
      <c r="D32" s="151" t="n">
        <v>71</v>
      </c>
      <c r="E32" s="151" t="n">
        <v>0</v>
      </c>
      <c r="F32" s="64" t="n"/>
      <c r="G32" s="64" t="n"/>
      <c r="H32" s="64" t="n"/>
      <c r="I32" s="64" t="n"/>
      <c r="J32" s="64" t="n"/>
      <c r="K32" s="64" t="n"/>
      <c r="L32" s="64" t="n"/>
      <c r="M32" s="64" t="n"/>
      <c r="N32" s="64" t="n"/>
      <c r="O32" s="64" t="n"/>
      <c r="P32" s="64" t="n"/>
      <c r="Q32" s="64" t="n"/>
      <c r="R32" s="64" t="n"/>
      <c r="S32" s="64" t="n"/>
      <c r="T32" s="64" t="n"/>
      <c r="U32" s="64" t="n"/>
      <c r="V32" s="64" t="n"/>
      <c r="W32" s="64" t="n"/>
      <c r="X32" s="64" t="n"/>
      <c r="Y32" s="64" t="n"/>
      <c r="Z32" s="64" t="n"/>
      <c r="AA32" s="64" t="n"/>
      <c r="AB32" s="64" t="n"/>
      <c r="AC32" s="64" t="n"/>
      <c r="AD32" s="64" t="n"/>
      <c r="AE32" s="64" t="n"/>
      <c r="AF32" s="64" t="n"/>
      <c r="AG32" s="64" t="n"/>
      <c r="AH32" s="152" t="n">
        <v>5.6</v>
      </c>
      <c r="AI32" s="152" t="n">
        <v>5.17</v>
      </c>
      <c r="AJ32" s="152" t="n">
        <v>5.65</v>
      </c>
      <c r="AK32" s="152" t="n">
        <v>5.93</v>
      </c>
      <c r="AL32" s="152" t="n">
        <v>0.33</v>
      </c>
    </row>
    <row r="33" ht="30" customHeight="1">
      <c r="A33" s="3" t="inlineStr">
        <is>
          <t>EST</t>
        </is>
      </c>
      <c r="B33" s="3" t="inlineStr">
        <is>
          <t>TROIS PONTS</t>
        </is>
      </c>
      <c r="C33" s="3" t="inlineStr">
        <is>
          <t>Trois Ponts Nord</t>
        </is>
      </c>
      <c r="D33" s="151" t="n">
        <v>188</v>
      </c>
      <c r="E33" s="151" t="n">
        <v>0</v>
      </c>
      <c r="F33" s="153" t="n">
        <v>7.9</v>
      </c>
      <c r="G33" s="153" t="n">
        <v>0</v>
      </c>
      <c r="H33" s="153" t="n">
        <v>8</v>
      </c>
      <c r="I33" s="153" t="n">
        <v>100</v>
      </c>
      <c r="J33" s="153" t="n">
        <v>0</v>
      </c>
      <c r="K33" s="153" t="n">
        <v>0</v>
      </c>
      <c r="L33" s="153" t="n">
        <v>23.4</v>
      </c>
      <c r="M33" s="153" t="n">
        <v>43.3</v>
      </c>
      <c r="N33" s="153" t="n">
        <v>33.3</v>
      </c>
      <c r="O33" s="153" t="n">
        <v>0</v>
      </c>
      <c r="P33" s="153" t="n">
        <v>0</v>
      </c>
      <c r="Q33" s="153" t="n">
        <v>7.1</v>
      </c>
      <c r="R33" s="153" t="n">
        <v>13.1</v>
      </c>
      <c r="S33" s="153" t="n">
        <v>60.1</v>
      </c>
      <c r="T33" s="153" t="n">
        <v>19.6</v>
      </c>
      <c r="U33" s="153" t="n">
        <v>0</v>
      </c>
      <c r="V33" s="153" t="n">
        <v>0</v>
      </c>
      <c r="W33" s="153" t="n">
        <v>0</v>
      </c>
      <c r="X33" s="153" t="n">
        <v>61.4</v>
      </c>
      <c r="Y33" s="153" t="n">
        <v>0</v>
      </c>
      <c r="Z33" s="153" t="n">
        <v>0</v>
      </c>
      <c r="AA33" s="153" t="n">
        <v>24</v>
      </c>
      <c r="AB33" s="153" t="n">
        <v>14.6</v>
      </c>
      <c r="AC33" s="153" t="n">
        <v>0</v>
      </c>
      <c r="AD33" s="153" t="n">
        <v>59</v>
      </c>
      <c r="AE33" s="153" t="n">
        <v>41</v>
      </c>
      <c r="AF33" s="153" t="n">
        <v>0</v>
      </c>
      <c r="AG33" s="153" t="n">
        <v>0</v>
      </c>
      <c r="AH33" s="152" t="n">
        <v>6.13</v>
      </c>
      <c r="AI33" s="152" t="n">
        <v>5.56</v>
      </c>
      <c r="AJ33" s="152" t="n">
        <v>5.98</v>
      </c>
      <c r="AK33" s="152" t="n">
        <v>6.54</v>
      </c>
      <c r="AL33" s="152" t="n">
        <v>0.1</v>
      </c>
    </row>
    <row r="34" ht="30" customHeight="1">
      <c r="A34" s="3" t="inlineStr">
        <is>
          <t>EST</t>
        </is>
      </c>
      <c r="B34" s="3" t="inlineStr">
        <is>
          <t>TROIS PONTS</t>
        </is>
      </c>
      <c r="C34" s="3" t="inlineStr">
        <is>
          <t>Trois Ponts Sud</t>
        </is>
      </c>
      <c r="D34" s="151" t="n">
        <v>761</v>
      </c>
      <c r="E34" s="151" t="n">
        <v>0</v>
      </c>
      <c r="F34" s="153" t="n">
        <v>0</v>
      </c>
      <c r="G34" s="153" t="n">
        <v>0</v>
      </c>
      <c r="H34" s="153" t="n">
        <v>5.3</v>
      </c>
      <c r="I34" s="153" t="n">
        <v>97.40000000000001</v>
      </c>
      <c r="J34" s="153" t="n">
        <v>2.6</v>
      </c>
      <c r="K34" s="153" t="n">
        <v>1.8</v>
      </c>
      <c r="L34" s="153" t="n">
        <v>18.7</v>
      </c>
      <c r="M34" s="153" t="n">
        <v>47.4</v>
      </c>
      <c r="N34" s="153" t="n">
        <v>30.7</v>
      </c>
      <c r="O34" s="153" t="n">
        <v>1.4</v>
      </c>
      <c r="P34" s="153" t="n">
        <v>0</v>
      </c>
      <c r="Q34" s="153" t="n">
        <v>1.6</v>
      </c>
      <c r="R34" s="153" t="n">
        <v>18.9</v>
      </c>
      <c r="S34" s="153" t="n">
        <v>61</v>
      </c>
      <c r="T34" s="153" t="n">
        <v>18.5</v>
      </c>
      <c r="U34" s="153" t="n">
        <v>0</v>
      </c>
      <c r="V34" s="153" t="n">
        <v>0</v>
      </c>
      <c r="W34" s="153" t="n">
        <v>0</v>
      </c>
      <c r="X34" s="153" t="n">
        <v>86.40000000000001</v>
      </c>
      <c r="Y34" s="153" t="n">
        <v>0</v>
      </c>
      <c r="Z34" s="153" t="n">
        <v>0</v>
      </c>
      <c r="AA34" s="153" t="n">
        <v>11.3</v>
      </c>
      <c r="AB34" s="153" t="n">
        <v>2.3</v>
      </c>
      <c r="AC34" s="153" t="n">
        <v>0</v>
      </c>
      <c r="AD34" s="153" t="n">
        <v>86.40000000000001</v>
      </c>
      <c r="AE34" s="153" t="n">
        <v>11.3</v>
      </c>
      <c r="AF34" s="153" t="n">
        <v>2.3</v>
      </c>
      <c r="AG34" s="153" t="n">
        <v>0</v>
      </c>
      <c r="AH34" s="152" t="n">
        <v>6.39</v>
      </c>
      <c r="AI34" s="152" t="n">
        <v>5.55</v>
      </c>
      <c r="AJ34" s="152" t="n">
        <v>6.35</v>
      </c>
      <c r="AK34" s="152" t="n">
        <v>6.97</v>
      </c>
      <c r="AL34" s="152" t="n">
        <v>0.18</v>
      </c>
    </row>
    <row r="35" ht="30" customHeight="1">
      <c r="A35" s="3" t="inlineStr">
        <is>
          <t>EST</t>
        </is>
      </c>
      <c r="B35" s="3" t="inlineStr">
        <is>
          <t>SARTEL CARIHEM</t>
        </is>
      </c>
      <c r="C35" s="3" t="inlineStr">
        <is>
          <t>Sartel</t>
        </is>
      </c>
      <c r="D35" s="151" t="n">
        <v>282</v>
      </c>
      <c r="E35" s="151" t="n">
        <v>0</v>
      </c>
      <c r="F35" s="153" t="n">
        <v>0</v>
      </c>
      <c r="G35" s="153" t="n">
        <v>0</v>
      </c>
      <c r="H35" s="153" t="n">
        <v>4.9</v>
      </c>
      <c r="I35" s="153" t="n">
        <v>89.7</v>
      </c>
      <c r="J35" s="153" t="n">
        <v>10.3</v>
      </c>
      <c r="K35" s="153" t="n">
        <v>10.7</v>
      </c>
      <c r="L35" s="153" t="n">
        <v>25.1</v>
      </c>
      <c r="M35" s="153" t="n">
        <v>27.8</v>
      </c>
      <c r="N35" s="153" t="n">
        <v>19.1</v>
      </c>
      <c r="O35" s="153" t="n">
        <v>17.4</v>
      </c>
      <c r="P35" s="153" t="n">
        <v>0</v>
      </c>
      <c r="Q35" s="153" t="n">
        <v>18.4</v>
      </c>
      <c r="R35" s="153" t="n">
        <v>39.6</v>
      </c>
      <c r="S35" s="153" t="n">
        <v>33.2</v>
      </c>
      <c r="T35" s="153" t="n">
        <v>8.800000000000001</v>
      </c>
      <c r="U35" s="153" t="n">
        <v>0</v>
      </c>
      <c r="V35" s="153" t="n">
        <v>0</v>
      </c>
      <c r="W35" s="153" t="n">
        <v>0</v>
      </c>
      <c r="X35" s="153" t="n">
        <v>78.5</v>
      </c>
      <c r="Y35" s="153" t="n">
        <v>13.5</v>
      </c>
      <c r="Z35" s="153" t="n">
        <v>8</v>
      </c>
      <c r="AA35" s="153" t="n">
        <v>0</v>
      </c>
      <c r="AB35" s="153" t="n">
        <v>0</v>
      </c>
      <c r="AC35" s="153" t="n">
        <v>8</v>
      </c>
      <c r="AD35" s="153" t="n">
        <v>78.2</v>
      </c>
      <c r="AE35" s="153" t="n">
        <v>13.8</v>
      </c>
      <c r="AF35" s="153" t="n">
        <v>0</v>
      </c>
      <c r="AG35" s="153" t="n">
        <v>0</v>
      </c>
      <c r="AH35" s="152" t="n">
        <v>6.41</v>
      </c>
      <c r="AI35" s="152" t="n">
        <v>5.88</v>
      </c>
      <c r="AJ35" s="152" t="n">
        <v>6.32</v>
      </c>
      <c r="AK35" s="152" t="n">
        <v>6.98</v>
      </c>
      <c r="AL35" s="152" t="n">
        <v>1</v>
      </c>
    </row>
    <row r="36" ht="30" customHeight="1">
      <c r="A36" s="3" t="inlineStr">
        <is>
          <t>SUD</t>
        </is>
      </c>
      <c r="B36" s="3" t="inlineStr">
        <is>
          <t>CHEMIN NEUF/LINNE</t>
        </is>
      </c>
      <c r="C36" s="3" t="inlineStr">
        <is>
          <t>Linné-Chemin Neuf</t>
        </is>
      </c>
      <c r="D36" s="151" t="n">
        <v>556</v>
      </c>
      <c r="E36" s="151" t="n">
        <v>0</v>
      </c>
      <c r="F36" s="153" t="n">
        <v>2.4</v>
      </c>
      <c r="G36" s="153" t="n">
        <v>0</v>
      </c>
      <c r="H36" s="153" t="n">
        <v>4.5</v>
      </c>
      <c r="I36" s="153" t="n">
        <v>85.8</v>
      </c>
      <c r="J36" s="153" t="n">
        <v>14.2</v>
      </c>
      <c r="K36" s="153" t="n">
        <v>2.8</v>
      </c>
      <c r="L36" s="153" t="n">
        <v>42</v>
      </c>
      <c r="M36" s="153" t="n">
        <v>37.5</v>
      </c>
      <c r="N36" s="153" t="n">
        <v>14.7</v>
      </c>
      <c r="O36" s="153" t="n">
        <v>3</v>
      </c>
      <c r="P36" s="153" t="n">
        <v>0</v>
      </c>
      <c r="Q36" s="153" t="n">
        <v>2.7</v>
      </c>
      <c r="R36" s="153" t="n">
        <v>65.7</v>
      </c>
      <c r="S36" s="153" t="n">
        <v>23.2</v>
      </c>
      <c r="T36" s="153" t="n">
        <v>6.2</v>
      </c>
      <c r="U36" s="153" t="n">
        <v>2.2</v>
      </c>
      <c r="V36" s="153" t="n">
        <v>0</v>
      </c>
      <c r="W36" s="153" t="n">
        <v>2.9</v>
      </c>
      <c r="X36" s="153" t="n">
        <v>72.59999999999999</v>
      </c>
      <c r="Y36" s="153" t="n">
        <v>13.7</v>
      </c>
      <c r="Z36" s="153" t="n">
        <v>4.2</v>
      </c>
      <c r="AA36" s="153" t="n">
        <v>2</v>
      </c>
      <c r="AB36" s="153" t="n">
        <v>4.6</v>
      </c>
      <c r="AC36" s="153" t="n">
        <v>4.9</v>
      </c>
      <c r="AD36" s="153" t="n">
        <v>63.5</v>
      </c>
      <c r="AE36" s="153" t="n">
        <v>20.7</v>
      </c>
      <c r="AF36" s="153" t="n">
        <v>2.8</v>
      </c>
      <c r="AG36" s="153" t="n">
        <v>8.1</v>
      </c>
      <c r="AH36" s="152" t="n">
        <v>6.69</v>
      </c>
      <c r="AI36" s="152" t="n">
        <v>6.14</v>
      </c>
      <c r="AJ36" s="152" t="n">
        <v>6.54</v>
      </c>
      <c r="AK36" s="152" t="n">
        <v>7.23</v>
      </c>
      <c r="AL36" s="152" t="n">
        <v>0.46</v>
      </c>
    </row>
    <row r="37" ht="30" customHeight="1">
      <c r="A37" s="3" t="inlineStr">
        <is>
          <t>SUD</t>
        </is>
      </c>
      <c r="B37" s="3" t="inlineStr">
        <is>
          <t>JUSTICE</t>
        </is>
      </c>
      <c r="C37" s="3" t="inlineStr">
        <is>
          <t>Justice</t>
        </is>
      </c>
      <c r="D37" s="151" t="n">
        <v>206</v>
      </c>
      <c r="E37" s="151" t="n">
        <v>0</v>
      </c>
      <c r="F37" s="153" t="n">
        <v>5.6</v>
      </c>
      <c r="G37" s="153" t="n">
        <v>0</v>
      </c>
      <c r="H37" s="153" t="n">
        <v>6.6</v>
      </c>
      <c r="I37" s="153" t="n">
        <v>29.4</v>
      </c>
      <c r="J37" s="153" t="n">
        <v>70.59999999999999</v>
      </c>
      <c r="K37" s="153" t="n">
        <v>0</v>
      </c>
      <c r="L37" s="153" t="n">
        <v>8.6</v>
      </c>
      <c r="M37" s="153" t="n">
        <v>26.9</v>
      </c>
      <c r="N37" s="153" t="n">
        <v>48.7</v>
      </c>
      <c r="O37" s="153" t="n">
        <v>15.7</v>
      </c>
      <c r="P37" s="153" t="n">
        <v>0</v>
      </c>
      <c r="Q37" s="153" t="n">
        <v>0</v>
      </c>
      <c r="R37" s="153" t="n">
        <v>16.1</v>
      </c>
      <c r="S37" s="153" t="n">
        <v>28.6</v>
      </c>
      <c r="T37" s="153" t="n">
        <v>44.2</v>
      </c>
      <c r="U37" s="153" t="n">
        <v>5.5</v>
      </c>
      <c r="V37" s="153" t="n">
        <v>5.5</v>
      </c>
      <c r="W37" s="153" t="n">
        <v>7.7</v>
      </c>
      <c r="X37" s="153" t="n">
        <v>58.7</v>
      </c>
      <c r="Y37" s="153" t="n">
        <v>0</v>
      </c>
      <c r="Z37" s="153" t="n">
        <v>17.3</v>
      </c>
      <c r="AA37" s="153" t="n">
        <v>16.3</v>
      </c>
      <c r="AB37" s="153" t="n">
        <v>0</v>
      </c>
      <c r="AC37" s="153" t="n">
        <v>0</v>
      </c>
      <c r="AD37" s="153" t="n">
        <v>61.6</v>
      </c>
      <c r="AE37" s="153" t="n">
        <v>38.4</v>
      </c>
      <c r="AF37" s="153" t="n">
        <v>0</v>
      </c>
      <c r="AG37" s="153" t="n">
        <v>0</v>
      </c>
      <c r="AH37" s="152" t="n">
        <v>6.03</v>
      </c>
      <c r="AI37" s="152" t="n">
        <v>5.24</v>
      </c>
      <c r="AJ37" s="152" t="n">
        <v>5.91</v>
      </c>
      <c r="AK37" s="152" t="n">
        <v>6.77</v>
      </c>
      <c r="AL37" s="152" t="n">
        <v>0.52</v>
      </c>
    </row>
    <row r="38" ht="30" customHeight="1">
      <c r="A38" s="3" t="inlineStr">
        <is>
          <t>EST</t>
        </is>
      </c>
      <c r="B38" s="3" t="inlineStr">
        <is>
          <t>FRATERNITE</t>
        </is>
      </c>
      <c r="C38" s="3" t="inlineStr">
        <is>
          <t>Fraternité</t>
        </is>
      </c>
      <c r="D38" s="151" t="n">
        <v>33</v>
      </c>
      <c r="E38" s="151" t="n">
        <v>0</v>
      </c>
      <c r="F38" s="64" t="n"/>
      <c r="G38" s="64" t="n"/>
      <c r="H38" s="64" t="n"/>
      <c r="I38" s="64" t="n"/>
      <c r="J38" s="64" t="n"/>
      <c r="K38" s="64" t="n"/>
      <c r="L38" s="64" t="n"/>
      <c r="M38" s="64" t="n"/>
      <c r="N38" s="64" t="n"/>
      <c r="O38" s="64" t="n"/>
      <c r="P38" s="64" t="n"/>
      <c r="Q38" s="64" t="n"/>
      <c r="R38" s="64" t="n"/>
      <c r="S38" s="64" t="n"/>
      <c r="T38" s="64" t="n"/>
      <c r="U38" s="64" t="n"/>
      <c r="V38" s="64" t="n"/>
      <c r="W38" s="64" t="n"/>
      <c r="X38" s="64" t="n"/>
      <c r="Y38" s="64" t="n"/>
      <c r="Z38" s="64" t="n"/>
      <c r="AA38" s="64" t="n"/>
      <c r="AB38" s="64" t="n"/>
      <c r="AC38" s="64" t="n"/>
      <c r="AD38" s="64" t="n"/>
      <c r="AE38" s="64" t="n"/>
      <c r="AF38" s="64" t="n"/>
      <c r="AG38" s="64" t="n"/>
      <c r="AH38" s="152" t="n">
        <v>5.48</v>
      </c>
      <c r="AI38" s="64" t="n"/>
      <c r="AJ38" s="64" t="n"/>
      <c r="AK38" s="64" t="n"/>
      <c r="AL38" s="152" t="n">
        <v>0.41</v>
      </c>
    </row>
    <row r="39" ht="30" customHeight="1">
      <c r="A39" s="3" t="inlineStr">
        <is>
          <t>SUD</t>
        </is>
      </c>
      <c r="B39" s="3" t="inlineStr">
        <is>
          <t>NOUVEAU ROUBAIX</t>
        </is>
      </c>
      <c r="C39" s="3" t="inlineStr">
        <is>
          <t>Nouveau Roubaix</t>
        </is>
      </c>
      <c r="D39" s="151" t="n">
        <v>885</v>
      </c>
      <c r="E39" s="151" t="n">
        <v>0</v>
      </c>
      <c r="F39" s="153" t="n">
        <v>0</v>
      </c>
      <c r="G39" s="153" t="n">
        <v>0</v>
      </c>
      <c r="H39" s="153" t="n">
        <v>6.9</v>
      </c>
      <c r="I39" s="153" t="n">
        <v>80.5</v>
      </c>
      <c r="J39" s="153" t="n">
        <v>19.5</v>
      </c>
      <c r="K39" s="153" t="n">
        <v>6.4</v>
      </c>
      <c r="L39" s="153" t="n">
        <v>24.9</v>
      </c>
      <c r="M39" s="153" t="n">
        <v>40.7</v>
      </c>
      <c r="N39" s="153" t="n">
        <v>25.3</v>
      </c>
      <c r="O39" s="153" t="n">
        <v>2.7</v>
      </c>
      <c r="P39" s="153" t="n">
        <v>3</v>
      </c>
      <c r="Q39" s="153" t="n">
        <v>4.8</v>
      </c>
      <c r="R39" s="153" t="n">
        <v>36.8</v>
      </c>
      <c r="S39" s="153" t="n">
        <v>43.3</v>
      </c>
      <c r="T39" s="153" t="n">
        <v>12.2</v>
      </c>
      <c r="U39" s="153" t="n">
        <v>0</v>
      </c>
      <c r="V39" s="153" t="n">
        <v>0</v>
      </c>
      <c r="W39" s="153" t="n">
        <v>65.5</v>
      </c>
      <c r="X39" s="153" t="n">
        <v>32.2</v>
      </c>
      <c r="Y39" s="153" t="n">
        <v>0</v>
      </c>
      <c r="Z39" s="153" t="n">
        <v>0</v>
      </c>
      <c r="AA39" s="153" t="n">
        <v>2.3</v>
      </c>
      <c r="AB39" s="153" t="n">
        <v>0</v>
      </c>
      <c r="AC39" s="153" t="n">
        <v>0</v>
      </c>
      <c r="AD39" s="153" t="n">
        <v>97.59999999999999</v>
      </c>
      <c r="AE39" s="153" t="n">
        <v>2.4</v>
      </c>
      <c r="AF39" s="153" t="n">
        <v>0</v>
      </c>
      <c r="AG39" s="153" t="n">
        <v>0</v>
      </c>
      <c r="AH39" s="152" t="n">
        <v>6.59</v>
      </c>
      <c r="AI39" s="152" t="n">
        <v>6.02</v>
      </c>
      <c r="AJ39" s="152" t="n">
        <v>6.41</v>
      </c>
      <c r="AK39" s="152" t="n">
        <v>7.17</v>
      </c>
      <c r="AL39" s="152" t="n">
        <v>0.17</v>
      </c>
    </row>
    <row r="40" ht="30" customHeight="1">
      <c r="A40" s="50" t="inlineStr">
        <is>
          <t>SUD</t>
        </is>
      </c>
      <c r="B40" s="50" t="inlineStr">
        <is>
          <t>HAUTS CHAMPS/PETITES HAIES</t>
        </is>
      </c>
      <c r="C40" s="50" t="inlineStr">
        <is>
          <t>Hauts Champs</t>
        </is>
      </c>
      <c r="D40" s="151" t="n">
        <v>842</v>
      </c>
      <c r="E40" s="151" t="n">
        <v>0</v>
      </c>
      <c r="F40" s="153" t="n">
        <v>0</v>
      </c>
      <c r="G40" s="153" t="n">
        <v>0</v>
      </c>
      <c r="H40" s="153" t="n">
        <v>7.9</v>
      </c>
      <c r="I40" s="153" t="n">
        <v>82.09999999999999</v>
      </c>
      <c r="J40" s="153" t="n">
        <v>17.9</v>
      </c>
      <c r="K40" s="153" t="n">
        <v>0</v>
      </c>
      <c r="L40" s="153" t="n">
        <v>18.1</v>
      </c>
      <c r="M40" s="153" t="n">
        <v>54.3</v>
      </c>
      <c r="N40" s="153" t="n">
        <v>24.3</v>
      </c>
      <c r="O40" s="153" t="n">
        <v>3.2</v>
      </c>
      <c r="P40" s="153" t="n">
        <v>0</v>
      </c>
      <c r="Q40" s="153" t="n">
        <v>1.9</v>
      </c>
      <c r="R40" s="153" t="n">
        <v>61</v>
      </c>
      <c r="S40" s="153" t="n">
        <v>24.4</v>
      </c>
      <c r="T40" s="153" t="n">
        <v>11.4</v>
      </c>
      <c r="U40" s="153" t="n">
        <v>1.3</v>
      </c>
      <c r="V40" s="153" t="n">
        <v>0</v>
      </c>
      <c r="W40" s="153" t="n">
        <v>0</v>
      </c>
      <c r="X40" s="153" t="n">
        <v>97.2</v>
      </c>
      <c r="Y40" s="153" t="n">
        <v>0</v>
      </c>
      <c r="Z40" s="153" t="n">
        <v>0</v>
      </c>
      <c r="AA40" s="153" t="n">
        <v>2.8</v>
      </c>
      <c r="AB40" s="153" t="n">
        <v>0</v>
      </c>
      <c r="AC40" s="153" t="n">
        <v>0</v>
      </c>
      <c r="AD40" s="153" t="n">
        <v>92.40000000000001</v>
      </c>
      <c r="AE40" s="153" t="n">
        <v>7.6</v>
      </c>
      <c r="AF40" s="153" t="n">
        <v>0</v>
      </c>
      <c r="AG40" s="153" t="n">
        <v>0</v>
      </c>
      <c r="AH40" s="152" t="n">
        <v>6.45</v>
      </c>
      <c r="AI40" s="152" t="n">
        <v>5.91</v>
      </c>
      <c r="AJ40" s="152" t="n">
        <v>6.52</v>
      </c>
      <c r="AK40" s="152" t="n">
        <v>6.98</v>
      </c>
      <c r="AL40" s="152" t="n">
        <v>0.31</v>
      </c>
    </row>
  </sheetData>
  <mergeCells count="1">
    <mergeCell ref="A1:C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2025-12-16T09:24:20Z</dcterms:created>
  <dcterms:modified xmlns:dcterms="http://purl.org/dc/terms/" xmlns:xsi="http://www.w3.org/2001/XMLSchema-instance" xsi:type="dcterms:W3CDTF">2026-10-30T14:35:50Z</dcterms:modified>
</cp:coreProperties>
</file>