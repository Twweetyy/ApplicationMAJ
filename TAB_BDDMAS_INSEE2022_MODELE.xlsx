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Sig\Opendata\Alternants\Eloi\MAS\Base MAS 2022\"/>
    </mc:Choice>
  </mc:AlternateContent>
  <bookViews>
    <workbookView xWindow="0" yWindow="0" windowWidth="13530" windowHeight="5955"/>
  </bookViews>
  <sheets>
    <sheet name="Présentation" sheetId="13" r:id="rId1"/>
    <sheet name="Detail calcul" sheetId="14" r:id="rId2"/>
    <sheet name="POP 2022" sheetId="1" r:id="rId3"/>
    <sheet name="ACT RES 2022" sheetId="2" r:id="rId4"/>
    <sheet name="COU FAM 2022" sheetId="3" r:id="rId5"/>
    <sheet name="DIP FORMATION 2022" sheetId="4" r:id="rId6"/>
    <sheet name="LOG 2022" sheetId="5" r:id="rId7"/>
    <sheet name="REV DEC 2021" sheetId="6" r:id="rId8"/>
    <sheet name="REV DISP 2021" sheetId="7" r:id="rId9"/>
    <sheet name="PETITE ENFANCE 2022" sheetId="8" r:id="rId10"/>
    <sheet name="CAF 2024" sheetId="9" r:id="rId11"/>
    <sheet name="CNAM 2024" sheetId="10" r:id="rId12"/>
    <sheet name="DEFM 2024" sheetId="11" r:id="rId13"/>
    <sheet name="RPLS 2024" sheetId="12" r:id="rId14"/>
  </sheets>
  <definedNames>
    <definedName name="_xlnm.Print_Area" localSheetId="1">'Detail calcul'!$A$1:$H$22</definedName>
    <definedName name="_xlnm.Print_Area" localSheetId="0">Présentation!$A$1:$E$25</definedName>
  </definedNames>
  <calcPr calcId="152511"/>
</workbook>
</file>

<file path=xl/calcChain.xml><?xml version="1.0" encoding="utf-8"?>
<calcChain xmlns="http://schemas.openxmlformats.org/spreadsheetml/2006/main">
  <c r="BK1" i="11" l="1"/>
  <c r="BL1" i="11"/>
  <c r="BM1" i="11"/>
  <c r="BN1" i="11"/>
  <c r="BO1" i="11"/>
  <c r="BP1" i="11"/>
  <c r="BQ1" i="11"/>
  <c r="BR1" i="11"/>
  <c r="BS1" i="11"/>
  <c r="BJ1" i="11"/>
  <c r="AI1" i="10"/>
  <c r="AJ1" i="10"/>
  <c r="AK1" i="10"/>
  <c r="AL1" i="10"/>
  <c r="AM1" i="10"/>
  <c r="AH1" i="10"/>
  <c r="AF1" i="9"/>
  <c r="AG1" i="9"/>
  <c r="AH1" i="9"/>
  <c r="AI1" i="9"/>
  <c r="AE1" i="9"/>
  <c r="DD1" i="5"/>
  <c r="DG1" i="5"/>
  <c r="DH1" i="5"/>
  <c r="DI1" i="5"/>
  <c r="DJ1" i="5"/>
  <c r="DK1" i="5"/>
  <c r="DF1" i="5"/>
  <c r="DA1" i="5"/>
  <c r="CZ1" i="5"/>
  <c r="CX1" i="5"/>
  <c r="CV1" i="5"/>
  <c r="CU1" i="5"/>
  <c r="AW1" i="4"/>
  <c r="AU1" i="4"/>
  <c r="CK1" i="3"/>
  <c r="CH1" i="3"/>
  <c r="CI1" i="3"/>
  <c r="CJ1" i="3"/>
  <c r="CL1" i="3"/>
  <c r="CG1" i="3"/>
  <c r="DS1" i="2"/>
  <c r="DT1" i="2"/>
  <c r="DU1" i="2"/>
  <c r="DV1" i="2"/>
  <c r="DW1" i="2"/>
  <c r="DX1" i="2"/>
  <c r="DY1" i="2"/>
  <c r="DZ1" i="2"/>
  <c r="EA1" i="2"/>
  <c r="EB1" i="2"/>
  <c r="DR1" i="2"/>
  <c r="CI1" i="1"/>
  <c r="CJ1" i="1"/>
  <c r="CK1" i="1"/>
  <c r="CL1" i="1"/>
  <c r="CM1" i="1"/>
  <c r="CH1" i="1"/>
  <c r="CE1" i="1"/>
  <c r="AP1" i="12" l="1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DE1" i="5"/>
  <c r="DC1" i="5"/>
  <c r="DB1" i="5"/>
  <c r="CY1" i="5"/>
  <c r="CW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AV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CF1" i="3"/>
  <c r="CE1" i="3"/>
  <c r="CD1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DQ1" i="2"/>
  <c r="DP1" i="2"/>
  <c r="DO1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CG1" i="1"/>
  <c r="CF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<sst xmlns="http://schemas.openxmlformats.org/spreadsheetml/2006/main" count="4159" uniqueCount="948">
  <si>
    <t>Total</t>
  </si>
  <si>
    <t>Centres sociaux</t>
  </si>
  <si>
    <t>Périmètres NPNRU</t>
  </si>
  <si>
    <t>Contrats de Ville 2024 (CDV)</t>
  </si>
  <si>
    <t>Cités éducatives</t>
  </si>
  <si>
    <t>Grands quartiers</t>
  </si>
  <si>
    <t>Mairies de quartiers</t>
  </si>
  <si>
    <t>Libellé de l'Iris</t>
  </si>
  <si>
    <t>Population</t>
  </si>
  <si>
    <t>Pop 0-2 ans</t>
  </si>
  <si>
    <t>Pop 3-5 ans</t>
  </si>
  <si>
    <t>Pop 6-10 ans</t>
  </si>
  <si>
    <t>Pop 11-17 ans</t>
  </si>
  <si>
    <t>Pop 18-24 ans</t>
  </si>
  <si>
    <t>Pop 25-39 ans</t>
  </si>
  <si>
    <t>Pop 40-54 ans</t>
  </si>
  <si>
    <t>Pop 55-64 ans</t>
  </si>
  <si>
    <t>Pop 65-79 ans</t>
  </si>
  <si>
    <t>Pop 80 ans ou plus</t>
  </si>
  <si>
    <t>Pop 0-14 ans</t>
  </si>
  <si>
    <t>Pop 15-29 ans</t>
  </si>
  <si>
    <t>Pop 30-44 ans</t>
  </si>
  <si>
    <t>Pop 45-59 ans</t>
  </si>
  <si>
    <t>Pop 60-74 ans</t>
  </si>
  <si>
    <t>Pop 75 ans ou plus</t>
  </si>
  <si>
    <t>Pop 0-19 ans</t>
  </si>
  <si>
    <t>Pop 20-64 ans</t>
  </si>
  <si>
    <t>Pop 65 ans ou plus</t>
  </si>
  <si>
    <t>Pop Hommes</t>
  </si>
  <si>
    <t>Pop Hommes 0-14 ans</t>
  </si>
  <si>
    <t>Pop Hommes 15-29 ans</t>
  </si>
  <si>
    <t>Pop Hommes 30-44 ans</t>
  </si>
  <si>
    <t>Pop Hommes 45-59 ans</t>
  </si>
  <si>
    <t>Pop Hommes 60-74 ans</t>
  </si>
  <si>
    <t>Pop Hommes 75 ans ou plus</t>
  </si>
  <si>
    <t>Pop Hommes 0-19 ans</t>
  </si>
  <si>
    <t>Pop Hommes 20-64 ans</t>
  </si>
  <si>
    <t>Pop Hommes 65 ans ou plus</t>
  </si>
  <si>
    <t>Pop Femmes</t>
  </si>
  <si>
    <t>Pop Femmes 0-14 ans</t>
  </si>
  <si>
    <t>Pop Femmes 15-29 ans</t>
  </si>
  <si>
    <t>Pop Femmes 30-44 ans</t>
  </si>
  <si>
    <t>Pop Femmes 45-59 ans</t>
  </si>
  <si>
    <t>Pop Femmes 60-74 ans</t>
  </si>
  <si>
    <t>Pop Femmes 75 ans ou plus</t>
  </si>
  <si>
    <t>Pop Femmes 0-19 ans</t>
  </si>
  <si>
    <t>Pop Femmes 20-64 ans</t>
  </si>
  <si>
    <t>Pop Femmes 65 ans ou plus</t>
  </si>
  <si>
    <t>Pop 15 ans ou plus</t>
  </si>
  <si>
    <t>Pop 15 ans ou plus Agriculteurs exploitants</t>
  </si>
  <si>
    <t>Pop 15 ans ou plus Artisans, Comm., Chefs entr.</t>
  </si>
  <si>
    <t>Pop 15 ans ou plus Cadres, Prof. intel. sup.</t>
  </si>
  <si>
    <t>Pop 15 ans ou plus Prof. intermédiaires</t>
  </si>
  <si>
    <t>Pop 15 ans ou plus Employés</t>
  </si>
  <si>
    <t>Pop 15 ans ou plus Ouvriers</t>
  </si>
  <si>
    <t>Pop 15 ans ou plus Retraités</t>
  </si>
  <si>
    <t>Pop 15 ans ou plus Autres</t>
  </si>
  <si>
    <t>Pop 15 ans ou plus Hommes</t>
  </si>
  <si>
    <t>Pop 15 ans ou plus Hommes Agriculteurs exploitants</t>
  </si>
  <si>
    <t>Pop 15 ans ou plus Hommes Artisans, Comm., Chefs entr.</t>
  </si>
  <si>
    <t>Pop 15 ans ou plus Hommes Cadres, Prof. intel. sup.</t>
  </si>
  <si>
    <t>Pop 15 ans ou plus Hommes Prof. intermédiaires</t>
  </si>
  <si>
    <t>Pop 15 ans ou plus Hommes Employés</t>
  </si>
  <si>
    <t>Pop 15 ans ou plus Hommes Ouvriers</t>
  </si>
  <si>
    <t>Pop 15 ans ou plus Hommes Retraités</t>
  </si>
  <si>
    <t>Pop 15 ans ou plus Hommes Autres</t>
  </si>
  <si>
    <t>Pop 15 ans ou plus Femmes</t>
  </si>
  <si>
    <t>Pop 15 ans ou plus Femmes Agriculteurs exploitants</t>
  </si>
  <si>
    <t>Pop 15 ans ou plus Femmes Artisans, Comm., Chefs entr.</t>
  </si>
  <si>
    <t>Pop 15 ans ou plus Femmes Cadres, Prof. intel. sup.</t>
  </si>
  <si>
    <t>Pop 15 ans ou plus Femmes Prof. intermédiaires</t>
  </si>
  <si>
    <t>Pop 15 ans ou plus Femmes Employés</t>
  </si>
  <si>
    <t>Pop 15 ans ou plus Femmes Ouvriers</t>
  </si>
  <si>
    <t>Pop 15 ans ou plus Femmes Retraités</t>
  </si>
  <si>
    <t>Pop 15 ans ou plus Femmes Autres</t>
  </si>
  <si>
    <t>Pop Français</t>
  </si>
  <si>
    <t>Pop Etrangers</t>
  </si>
  <si>
    <t>Pop Immigrés</t>
  </si>
  <si>
    <t>Pop ménages</t>
  </si>
  <si>
    <t>Pop hors ménages</t>
  </si>
  <si>
    <t>Superficie en km²</t>
  </si>
  <si>
    <t>Superficie en hectares (POP)</t>
  </si>
  <si>
    <t>Densité de population en hab/km²</t>
  </si>
  <si>
    <t>Part de la population de l’IRIS dans la population totale (%)</t>
  </si>
  <si>
    <t>Densité d’habitants à l’hectare</t>
  </si>
  <si>
    <t>Population de plus de 60 ans</t>
  </si>
  <si>
    <t>Part de la population de plus de 60 ans (%) parmi la population iris</t>
  </si>
  <si>
    <t>Part de la population de moins de 20 ans (%) parmi la population iris</t>
  </si>
  <si>
    <t>Indice de jeunesse</t>
  </si>
  <si>
    <t>Indice de vieillissement</t>
  </si>
  <si>
    <t>Part de la population étrangère parmi la population iris (%)</t>
  </si>
  <si>
    <t>Part de la population immigrée parmi la population iris (%)</t>
  </si>
  <si>
    <t>Fresnoy Mackellerie</t>
  </si>
  <si>
    <t>HORS NPNRU</t>
  </si>
  <si>
    <t>OUEST</t>
  </si>
  <si>
    <t>NORD</t>
  </si>
  <si>
    <t>FRESNOY - MACKELLERIE</t>
  </si>
  <si>
    <t>Mackellerie</t>
  </si>
  <si>
    <t>Fresnoy</t>
  </si>
  <si>
    <t>Alma</t>
  </si>
  <si>
    <t>FOSSE AUX CHENES - NATIONS UNIES</t>
  </si>
  <si>
    <t>Fosse aux Chênes</t>
  </si>
  <si>
    <t>ALMA GARE - ARMENTIERES</t>
  </si>
  <si>
    <t>Alma Sud</t>
  </si>
  <si>
    <t>Alma Nord</t>
  </si>
  <si>
    <t>ECHO</t>
  </si>
  <si>
    <t>HUTIN - ORAN - CARTIGNY</t>
  </si>
  <si>
    <t>Entrepont-Cartigny</t>
  </si>
  <si>
    <t>Hutin-Oran</t>
  </si>
  <si>
    <t>Basse Masure</t>
  </si>
  <si>
    <t>CUL DE FOUR</t>
  </si>
  <si>
    <t>Cul de Four</t>
  </si>
  <si>
    <t>Hommelet</t>
  </si>
  <si>
    <t>HOMMELET</t>
  </si>
  <si>
    <t>Hommelet Nord</t>
  </si>
  <si>
    <t>Hommelet Centre</t>
  </si>
  <si>
    <t>Hommelet Sud</t>
  </si>
  <si>
    <t>Le Nautilus</t>
  </si>
  <si>
    <t>Épeule</t>
  </si>
  <si>
    <t>EPEULE - TRICHON</t>
  </si>
  <si>
    <t>Épeule Nord</t>
  </si>
  <si>
    <t>Épeule Centre</t>
  </si>
  <si>
    <t>Épeule Sud</t>
  </si>
  <si>
    <t>Trichon</t>
  </si>
  <si>
    <t>CENTRE</t>
  </si>
  <si>
    <t>CENTRE - ANSEELE MOTTE BOSSUT - ESPERANCE - CROUY</t>
  </si>
  <si>
    <t>Espérance Centre</t>
  </si>
  <si>
    <t>Nations Unies</t>
  </si>
  <si>
    <t>SUD</t>
  </si>
  <si>
    <t>Anseele</t>
  </si>
  <si>
    <t>HORS CS</t>
  </si>
  <si>
    <t>HORS CDV</t>
  </si>
  <si>
    <t>HORS CITE EDUCATIVE</t>
  </si>
  <si>
    <t>BARBIEUX - VAUBAN - EDOUART VAILLANT</t>
  </si>
  <si>
    <t>Barbieux-Vauban</t>
  </si>
  <si>
    <t>Barbieux Sud</t>
  </si>
  <si>
    <t>Édouard Vaillant</t>
  </si>
  <si>
    <t>Assia Djebar</t>
  </si>
  <si>
    <t>MOULIN - POTENNERIE</t>
  </si>
  <si>
    <t>Moulin Nord</t>
  </si>
  <si>
    <t>Moulin Sud</t>
  </si>
  <si>
    <t>Potennerie</t>
  </si>
  <si>
    <t>Pile Sainte-Elisabeth</t>
  </si>
  <si>
    <t>EST</t>
  </si>
  <si>
    <t>STE ELISABETH</t>
  </si>
  <si>
    <t>Sainte-Élisabeth Centre</t>
  </si>
  <si>
    <t>Sainte-Élisabeth Sud</t>
  </si>
  <si>
    <t>Sainte-Élisabeth Nord</t>
  </si>
  <si>
    <t>Pile</t>
  </si>
  <si>
    <t>PILE</t>
  </si>
  <si>
    <t>Pile Est</t>
  </si>
  <si>
    <t>Pile Centre</t>
  </si>
  <si>
    <t>Pile Nord</t>
  </si>
  <si>
    <t>4 quartiers</t>
  </si>
  <si>
    <t>3 Ponts</t>
  </si>
  <si>
    <t>TROIS PONTS</t>
  </si>
  <si>
    <t>Trois Ponts Nord</t>
  </si>
  <si>
    <t>Trois Ponts Sud</t>
  </si>
  <si>
    <t xml:space="preserve">SARTEL - CARIHEM </t>
  </si>
  <si>
    <t>Sartel</t>
  </si>
  <si>
    <t>NOUVEAU ROUBAIX - LINNE - CHEMIN NEUF</t>
  </si>
  <si>
    <t>Linné-Chemin Neuf</t>
  </si>
  <si>
    <t>JUSTICE - FRATERNITE</t>
  </si>
  <si>
    <t>Justice</t>
  </si>
  <si>
    <t>Fraternité</t>
  </si>
  <si>
    <t>Nouveau Roubaix</t>
  </si>
  <si>
    <t>3 Villes</t>
  </si>
  <si>
    <t xml:space="preserve">HAUTS CHAMPS - PETITES HAIES </t>
  </si>
  <si>
    <t>Hauts Champs</t>
  </si>
  <si>
    <t>Pop 15-64 ans</t>
  </si>
  <si>
    <t>Pop 15-24 ans</t>
  </si>
  <si>
    <t>Pop 25-54 ans</t>
  </si>
  <si>
    <t>Pop 15-64 ans Hommes</t>
  </si>
  <si>
    <t>Pop 15-24 ans Hommes</t>
  </si>
  <si>
    <t>Pop 25-54 ans Hommes</t>
  </si>
  <si>
    <t>Pop 55-64 ans Hommes</t>
  </si>
  <si>
    <t>Pop 15-64 ans Femmes</t>
  </si>
  <si>
    <t>Pop 15-24 ans Femmes</t>
  </si>
  <si>
    <t>Pop 25-54 ans Femmes</t>
  </si>
  <si>
    <t>Pop 55-64 ans Femmes</t>
  </si>
  <si>
    <t>Actifs 15-64 ans</t>
  </si>
  <si>
    <t>Actifs 15-24 ans</t>
  </si>
  <si>
    <t>Actifs 25-54 ans</t>
  </si>
  <si>
    <t>Actifs 55-64 ans</t>
  </si>
  <si>
    <t>Actifs 15-64 ans Hommes</t>
  </si>
  <si>
    <t>Actifs 15-24 ans Hommes</t>
  </si>
  <si>
    <t>Actifs 25-54 ans Hommes</t>
  </si>
  <si>
    <t>Actifs 55-64 ans Hommes</t>
  </si>
  <si>
    <t>Actifs 15-64 ans Femmes</t>
  </si>
  <si>
    <t>Actifs 15-24 ans Femmes</t>
  </si>
  <si>
    <t>Actifs 25-54 ans Femmes</t>
  </si>
  <si>
    <t>Actifs 55-64 ans Femmes</t>
  </si>
  <si>
    <t>Actifs occupés 15-64 ans</t>
  </si>
  <si>
    <t>Actifs occupés 15-24 ans</t>
  </si>
  <si>
    <t>Actifs occupés 25-54 ans</t>
  </si>
  <si>
    <t>Actifs occupés 55-64 ans</t>
  </si>
  <si>
    <t>Actifs occupés 15-64 ans Hommes</t>
  </si>
  <si>
    <t>Actifs occupés 15-24 ans Hommes</t>
  </si>
  <si>
    <t>Actifs occupés 25-54 ans Hommes</t>
  </si>
  <si>
    <t>Actifs occupés 55-64 ans Hommes</t>
  </si>
  <si>
    <t>Actifs occupés 15-64 ans Femmes</t>
  </si>
  <si>
    <t>Actifs occupés 15-24 ans Femmes</t>
  </si>
  <si>
    <t>Actifs occupés 25-54 ans Femmes</t>
  </si>
  <si>
    <t>Chômeurs CAP-BEP ou équiv.</t>
  </si>
  <si>
    <t>Actifs occupés 55-64 ans Femmes</t>
  </si>
  <si>
    <t>Chômeurs Bac, brevet pro. ou équiv.</t>
  </si>
  <si>
    <t>Chômeurs 15-64 ans</t>
  </si>
  <si>
    <t>Chômeurs Enseignement sup de niveau bac + 2</t>
  </si>
  <si>
    <t>Chômeurs 15-24 ans</t>
  </si>
  <si>
    <t>Chômeurs Enseignement sup de niveau bac + 3 ou 4</t>
  </si>
  <si>
    <t>Chômeurs 25-54 ans</t>
  </si>
  <si>
    <t>Chômeurs Enseignement sup de niveau bac + 5 ou plus</t>
  </si>
  <si>
    <t>Chômeurs 55-64 ans</t>
  </si>
  <si>
    <t>Actifs Sans diplôme ou CEP</t>
  </si>
  <si>
    <t>Chômeurs Sans diplôme ou CEP</t>
  </si>
  <si>
    <t>Actifs BEPC, brevet des collèges, DNB</t>
  </si>
  <si>
    <t>Chômeurs BEPC, brevet des collèges, DNB</t>
  </si>
  <si>
    <t>Actifs CAP-BEP ou équiv.</t>
  </si>
  <si>
    <t>Actifs Bac, brevet pro. ou équiv.</t>
  </si>
  <si>
    <t>Actifs Enseignement sup de niveau bac + 2</t>
  </si>
  <si>
    <t>Actifs Enseignement sup de niveau bac + 3 ou 4</t>
  </si>
  <si>
    <t>Actifs Enseignement sup de niveau bac + 5 ou plus</t>
  </si>
  <si>
    <t>Inactifs 15-64 ans</t>
  </si>
  <si>
    <t>Inactifs 15-64 ans Hommes</t>
  </si>
  <si>
    <t>Inactifs 15-64 ans Femmes</t>
  </si>
  <si>
    <t>Elèv. Etud. Stag. non rémunérés 15-64 ans</t>
  </si>
  <si>
    <t>Elèv. Etud. Stag. non rémunérés 15-64 ans Hommes</t>
  </si>
  <si>
    <t>Elèv. Etud. Stag. non rémunérés 15-64 ans Femmes</t>
  </si>
  <si>
    <t>Retraités Préretraités 15-64 ans</t>
  </si>
  <si>
    <t>Retraités Préretraités 15-64 ans Hommes</t>
  </si>
  <si>
    <t>Retraités Préretraités 15-64 ans Femmes</t>
  </si>
  <si>
    <t>Autres inactifs 15-64 ans</t>
  </si>
  <si>
    <t>Autres inactifs 15-64 ans Hommes</t>
  </si>
  <si>
    <t>Autres inactifs 15-64 ans Femmes</t>
  </si>
  <si>
    <t>Actifs 15-64 ans Agriculteurs exploitants</t>
  </si>
  <si>
    <t>Actifs 15-64 ans Artisans, Comm., Chefs entr.</t>
  </si>
  <si>
    <t>Actifs 15-64 ans Cadres, Prof. intel. sup.</t>
  </si>
  <si>
    <t>Actifs 15-64 ans Prof. intermédiaires</t>
  </si>
  <si>
    <t>Actifs 15-64 ans Employés</t>
  </si>
  <si>
    <t>Actifs 15-64 ans Ouvriers</t>
  </si>
  <si>
    <t>Actifs occ 15-64 ans Agriculteurs exploitants</t>
  </si>
  <si>
    <t>Actifs occ 15-64 ans Artisans, Comm., Chefs entr.</t>
  </si>
  <si>
    <t>Actifs occ 15-64 ans Cadres Prof. intel. sup.</t>
  </si>
  <si>
    <t>Actifs occ 15-64 ans Prof. intermédiaires</t>
  </si>
  <si>
    <t>Actifs occupés 15-64 ans Employés</t>
  </si>
  <si>
    <t>Actifs occupés 15-64 ans Ouvriers</t>
  </si>
  <si>
    <t>Actifs occupés 15 ans ou plus</t>
  </si>
  <si>
    <t>Actifs occupés 15 ans ou plus Hommes</t>
  </si>
  <si>
    <t>Actifs occupés 15 ans ou plus Femmes</t>
  </si>
  <si>
    <t>Salariés 15 ans ou plus</t>
  </si>
  <si>
    <t>Salariés 15 ans ou plus Hommes</t>
  </si>
  <si>
    <t>Salariés 15 ans ou plus Femmes</t>
  </si>
  <si>
    <t>Non-salariés 15 ans ou plus</t>
  </si>
  <si>
    <t>Non-salariés 15 ans ou plus Hommes</t>
  </si>
  <si>
    <t>Non-salariés 15 ans ou plus Femmes</t>
  </si>
  <si>
    <t>Actifs occ 15 ans ou plus TP</t>
  </si>
  <si>
    <t>Salariés 15 ans ou plus TP</t>
  </si>
  <si>
    <t>Salariés 15 ans ou plus TP Hommes</t>
  </si>
  <si>
    <t>Salariés 15 ans ou plus TP Femmes</t>
  </si>
  <si>
    <t>Non-salariés 15 ans ou plus TP</t>
  </si>
  <si>
    <t>Salariés 15 ans ou plus Fonct publ, CDI</t>
  </si>
  <si>
    <t>Salariés 15 ans ou plus CDD</t>
  </si>
  <si>
    <t>Salariés 15 ans ou plus Intérim</t>
  </si>
  <si>
    <t>Salariés 15 ans ou plus Emplois aidés</t>
  </si>
  <si>
    <t>Salariés 15 ans ou plus Apprentissage - Stage</t>
  </si>
  <si>
    <t>Non-salariés 15 ans ou plus Indépendants</t>
  </si>
  <si>
    <t>Non-salariés 15 ans ou plus Employeurs</t>
  </si>
  <si>
    <t>Non-salariés 15 ans ou plus Aides familiaux</t>
  </si>
  <si>
    <t>Actif occ 15 ans ou plus travaille commune résidence</t>
  </si>
  <si>
    <t>Actif occ 15 ans ou plus travaille autre commune que commune résidence</t>
  </si>
  <si>
    <t>Actif occ 15 ans ou plus travaille autre commune même dépt résidence</t>
  </si>
  <si>
    <t>Actif occ 15 ans ou plus travaille autre dépt même région résidence</t>
  </si>
  <si>
    <t>Actif occ 15 ans ou plus travaille autre région en métropole</t>
  </si>
  <si>
    <t>Actif occ 15 ans ou plus travaille autre région hors métropole</t>
  </si>
  <si>
    <t>Actifs occ 15 ans ou plus pas de transport pour travail</t>
  </si>
  <si>
    <t>Actifs occ 15 ans ou plus marche à pied pour travail</t>
  </si>
  <si>
    <t>Actifs occ 15 ans ou plus vélo</t>
  </si>
  <si>
    <t>Actifs occ 15 ans ou plus deux-roues motorisé</t>
  </si>
  <si>
    <t>Actifs occ 15 ans ou plus voiture</t>
  </si>
  <si>
    <t>Actifs occ 15 ans ou plus transport en commun</t>
  </si>
  <si>
    <t>Population (ACT RES)</t>
  </si>
  <si>
    <t>Part de la population en âge de travailler (%)</t>
  </si>
  <si>
    <t>Part de la population active dans la population en âge de travailler (%)</t>
  </si>
  <si>
    <t>Part des actifs 15-24 ans (%)</t>
  </si>
  <si>
    <t>Taux d’emploi des 15-64 ans (%)</t>
  </si>
  <si>
    <t>Taux d’emploi des 15-24 ans (%)</t>
  </si>
  <si>
    <t>Taux de chômage dans la pop active (%)</t>
  </si>
  <si>
    <t>Taux de chômage chez les 15-24 ans dans la pop active (%)</t>
  </si>
  <si>
    <t>Part salariés chez les actifs occupés (%)</t>
  </si>
  <si>
    <t>Part des femmes chez les salariés de 15 ans et plus (%)</t>
  </si>
  <si>
    <t>Part des actifs occupés salariés en CDI ou fonction publique (%)</t>
  </si>
  <si>
    <t>Part des actifs occupés travaillant dans la commune de résidence (%)</t>
  </si>
  <si>
    <t>Ménages</t>
  </si>
  <si>
    <t>Ménages 1 personne</t>
  </si>
  <si>
    <t>Ménages Hommes seuls</t>
  </si>
  <si>
    <t>Ménages Femmes seules</t>
  </si>
  <si>
    <t>Ménages Autres sans famille</t>
  </si>
  <si>
    <t>Ménages avec famille(s)</t>
  </si>
  <si>
    <t>Mén fam princ Couple sans enfant</t>
  </si>
  <si>
    <t>Mén fam princ Couple avec enfant(s)</t>
  </si>
  <si>
    <t>Mén fam princ Famille mono</t>
  </si>
  <si>
    <t>Pop Ménages</t>
  </si>
  <si>
    <t>Pop mén Personnes seules</t>
  </si>
  <si>
    <t>Pop mén Hommes seuls</t>
  </si>
  <si>
    <t>Pop mén Femmes seules</t>
  </si>
  <si>
    <t>Pop mén Autres sans famille</t>
  </si>
  <si>
    <t>Pop mén avec famille(s)</t>
  </si>
  <si>
    <t>Pop mén fam princ Couple sans enfant</t>
  </si>
  <si>
    <t>Pop mén fam princ Couple avec enfant(s)</t>
  </si>
  <si>
    <t>Pop mén fam princ Famille mono</t>
  </si>
  <si>
    <t>Pop 55-79 ans</t>
  </si>
  <si>
    <t>Pop mén 15 ans ou plus</t>
  </si>
  <si>
    <t>Pop mén 15-24 ans</t>
  </si>
  <si>
    <t>Pop mén 25-54 ans</t>
  </si>
  <si>
    <t>Pop mén 55-79 ans</t>
  </si>
  <si>
    <t>Pop mén 80 ans ou plus</t>
  </si>
  <si>
    <t>Pop 15 ans ou plus ans vivant seule</t>
  </si>
  <si>
    <t>Pop 15-24 ans vivant seule</t>
  </si>
  <si>
    <t>Pop 25-54 ans vivant seule</t>
  </si>
  <si>
    <t>Pop 15 ans ou plus vivant seule</t>
  </si>
  <si>
    <t>Pop 80 ans ou plus vivant seule</t>
  </si>
  <si>
    <t>Pop 15 ans ou plus mariée</t>
  </si>
  <si>
    <t>Pop 15 ans ou plus pacsée</t>
  </si>
  <si>
    <t>Pop 15 ans ou plus en concubinage ou union libre</t>
  </si>
  <si>
    <t>Pop 15 ans ou plus veuves ou veufs</t>
  </si>
  <si>
    <t>Pop 15 ans ou plus divorcée</t>
  </si>
  <si>
    <t>Pop 15 ans ou plus célibataire</t>
  </si>
  <si>
    <t>Ménages Pers Réf Agri. expl.</t>
  </si>
  <si>
    <t>Ménages Pers Réf Art. Comm. Chef entr.</t>
  </si>
  <si>
    <t>Ménages Pers Réf Cadre Prof int sup</t>
  </si>
  <si>
    <t>Ménages Pers Réf Prof intermédiaire</t>
  </si>
  <si>
    <t>Ménages Pers Réf Employé</t>
  </si>
  <si>
    <t>Ménages Pers Réf Ouvrier</t>
  </si>
  <si>
    <t>Ménages Pers Réf Retraité</t>
  </si>
  <si>
    <t>Ménages Pers Réf Autre</t>
  </si>
  <si>
    <t>Pop mén Pers Réf Agri. expl.</t>
  </si>
  <si>
    <t>Pop mén Pers Réf Art Com Chef entr.</t>
  </si>
  <si>
    <t>Pop mén Pers Réf Cadre Prof int sup</t>
  </si>
  <si>
    <t>Pop mén Pers Réf Prof intermédiaire</t>
  </si>
  <si>
    <t>Pop mén Pers Réf Employé</t>
  </si>
  <si>
    <t>Pop mén Pers Réf Ouvrier</t>
  </si>
  <si>
    <t>Pop mén Pers Réf Retraité</t>
  </si>
  <si>
    <t>Pop mén Pers Réf Autre</t>
  </si>
  <si>
    <t>Familles</t>
  </si>
  <si>
    <t>Fam Couple avec enfant(s)</t>
  </si>
  <si>
    <t>Fam Monoparentales</t>
  </si>
  <si>
    <t>Fam Couple sans enfant</t>
  </si>
  <si>
    <t>Fam 0 enfant moins 25 ans</t>
  </si>
  <si>
    <t>Fam 1 enfant moins 25 ans</t>
  </si>
  <si>
    <t>Fam 2 enfants moins 25 ans</t>
  </si>
  <si>
    <t>Fam 3 enfants moins 25 ans</t>
  </si>
  <si>
    <t>Fam 4 enfants ou plus moins 25 ans</t>
  </si>
  <si>
    <t>Ménages 1 famille</t>
  </si>
  <si>
    <t>Mén fam formée Couple sans enfant</t>
  </si>
  <si>
    <t>Mén fam formée Couple avec enfant(s)</t>
  </si>
  <si>
    <t>Mén fam formée Couple avec uniq enfant(s) Couple</t>
  </si>
  <si>
    <t>Ménages Famille mono</t>
  </si>
  <si>
    <t>Pop mén famille</t>
  </si>
  <si>
    <t>Pop mén fam formée Couple sans enfant</t>
  </si>
  <si>
    <t>Pop mén fam formée Couple avec uniq enfant(s) Couple</t>
  </si>
  <si>
    <t>Pop mén fam formée Couple avec mini 1 enfant 1 des 2 Couple</t>
  </si>
  <si>
    <t>Pop Ménages Famille mono</t>
  </si>
  <si>
    <t>Fam Couple avec uniq enfant(s) Couple</t>
  </si>
  <si>
    <t>Fam Couple avec mini 1 enfant 1 des 2 Couple</t>
  </si>
  <si>
    <t>Part des ménages avec famille(s) (%)</t>
  </si>
  <si>
    <t>Part des ménages famille couple avec enfant(s) (%)</t>
  </si>
  <si>
    <t>Part des familles couple avec enfant(s) (%)</t>
  </si>
  <si>
    <t>Part de familles monoparentales (%)</t>
  </si>
  <si>
    <t>Nombre de familles nombreuses</t>
  </si>
  <si>
    <t>Part de familles nombreuses (%)</t>
  </si>
  <si>
    <t>Pop 2-5 ans</t>
  </si>
  <si>
    <t>Pop 11-14 ans</t>
  </si>
  <si>
    <t>Pop 15-17 ans</t>
  </si>
  <si>
    <t>Pop 25-29 ans</t>
  </si>
  <si>
    <t>Pop 30 ans ou plus</t>
  </si>
  <si>
    <t>Pop scolarisée 2-5 ans</t>
  </si>
  <si>
    <t>Pop scolarisée 6-10 ans</t>
  </si>
  <si>
    <t>Pop scolarisée 11-14 ans</t>
  </si>
  <si>
    <t>Pop scolarisée 15-17 ans</t>
  </si>
  <si>
    <t>Pop scolarisée 18-24 ans</t>
  </si>
  <si>
    <t>Pop scolarisée 25-29 ans</t>
  </si>
  <si>
    <t>Pop scolarisée 30 ans ou plus</t>
  </si>
  <si>
    <t>Pop 15 ans ou plus non scolarisée</t>
  </si>
  <si>
    <t>Pop 15 ans ou plus non scol. Sans diplôme ou CEP</t>
  </si>
  <si>
    <t>Pop 15 ans ou plus non scol. BEPC, brevet des collèges, DNB</t>
  </si>
  <si>
    <t>Pop 15 ans ou plus non scol. CAP-BEP ou équiv.</t>
  </si>
  <si>
    <t>Pop 15 ans ou plus non scol. Bac, brevet pro. ou équiv.</t>
  </si>
  <si>
    <t>Pop 15 ans ou plus non scol. Enseignement sup de niveau bac + 2</t>
  </si>
  <si>
    <t>Pop 15 ans ou plus non scol. Enseignement sup de niveau bac + 3 ou 4</t>
  </si>
  <si>
    <t>Pop 15 ans ou plus non scol. Enseignement sup de niveau bac + 5 ou plus</t>
  </si>
  <si>
    <t>Hommes 15 ans ou plus non scolarisée</t>
  </si>
  <si>
    <t>Hommes 15 ans ou plus non scol. Sans diplôme ou CEP</t>
  </si>
  <si>
    <t>Hommes 15 ans ou plus non scol. BEPC, brevet des collèges, DNB</t>
  </si>
  <si>
    <t>Hommes 15 ans ou plus non scol. CAP-BEP ou équiv.</t>
  </si>
  <si>
    <t>Hommes 15 ans ou plus non scol. Bac, brevet pro. ou équiv.</t>
  </si>
  <si>
    <t>Hommes 15 ans ou plus non scol. Enseignement sup de niveau bac + 2</t>
  </si>
  <si>
    <t>Hommes 15 ans ou plus non scol. Enseignement sup de niveau bac + 3 ou 4</t>
  </si>
  <si>
    <t>Hommes 15 ans ou plus non scol. Enseignement sup de niveau bac + 5 ou plus</t>
  </si>
  <si>
    <t>Femmes 15 ans ou plus non scolarisée</t>
  </si>
  <si>
    <t>Femmes 15 ans ou plus non scol. Sans diplôme ou CEP</t>
  </si>
  <si>
    <t>Femmes 15 ans ou plus non scol. BEPC, brevet des collèges, DNB</t>
  </si>
  <si>
    <t>Femmes 15 ans ou plus non scol. CAP-BEP ou équiv.</t>
  </si>
  <si>
    <t>Femmes 15 ans ou plus non scol. Bac, brevet pro. ou équiv.</t>
  </si>
  <si>
    <t>Femmes 15 ans ou plus non scol. Enseignement sup de niveau bac + 2</t>
  </si>
  <si>
    <t>Femmes 15 ans ou plus non scol. Enseignement sup de niveau bac + 3 ou 4</t>
  </si>
  <si>
    <t>Femmes 15 ans ou plus non scol. Enseignement sup de niveau bac + 5 ou plus</t>
  </si>
  <si>
    <t>Part pop 15 ans et plus non scol sans dip ou CEP max (%)</t>
  </si>
  <si>
    <t>Pop 15 ans ou plus non scol dipl Ens Sup</t>
  </si>
  <si>
    <t>Part pop 15 ans et plus non scol dipl Ens Sup (%)</t>
  </si>
  <si>
    <t>Logements</t>
  </si>
  <si>
    <t>Résidences principales</t>
  </si>
  <si>
    <t>Rés secondaires et logts occasionnels</t>
  </si>
  <si>
    <t>Logements vacants</t>
  </si>
  <si>
    <t>Maisons</t>
  </si>
  <si>
    <t>Appartements</t>
  </si>
  <si>
    <t>Rés princ 1 pièce</t>
  </si>
  <si>
    <t>Rés princ 2 pièces</t>
  </si>
  <si>
    <t>Rés princ 3 pièces</t>
  </si>
  <si>
    <t>Rés princ 4 pièces</t>
  </si>
  <si>
    <t>Rés princ 5 pièces ou plus</t>
  </si>
  <si>
    <t>Pièces rés princ</t>
  </si>
  <si>
    <t>Rés princ type maison</t>
  </si>
  <si>
    <t>Pièces rés princ type maison</t>
  </si>
  <si>
    <t>Rés princ type appartement</t>
  </si>
  <si>
    <t>Pièces rés princ type appartement</t>
  </si>
  <si>
    <t>Rés princ de moins de 30 m2</t>
  </si>
  <si>
    <t>Rés princ de 30 à moins de 40 m2</t>
  </si>
  <si>
    <t>Rés princ de 40 à moins de 60 m2</t>
  </si>
  <si>
    <t>Rés princ de 60 à moins de 80 m2</t>
  </si>
  <si>
    <t>Rés princ de 80 à moins de 100 m2</t>
  </si>
  <si>
    <t>Rés princ de 100 à moins de 120 m2</t>
  </si>
  <si>
    <t>Rés princ de 120 m2 ou plus</t>
  </si>
  <si>
    <t>Rés princ avt 2020</t>
  </si>
  <si>
    <t>Rés princ avt 1919</t>
  </si>
  <si>
    <t>Rés princ 1919 à 1945</t>
  </si>
  <si>
    <t>Rés princ 1946 à 1970</t>
  </si>
  <si>
    <t>Rés princ 1971 à 1990</t>
  </si>
  <si>
    <t>Rés princ 1991 à 2005</t>
  </si>
  <si>
    <t>Rés princ 2006 à 2019</t>
  </si>
  <si>
    <t>Rés princ Type maison avt 2020</t>
  </si>
  <si>
    <t>Rés princ Type maison avt 1919</t>
  </si>
  <si>
    <t>Rés princ Type maison 1919 à 1945</t>
  </si>
  <si>
    <t>Rés princ Type maison 1946 à 1970</t>
  </si>
  <si>
    <t>Rés princ Type maison 1971 à 1990</t>
  </si>
  <si>
    <t>Rés princ Type maison 1991 à 2005</t>
  </si>
  <si>
    <t>Rés princ Type maison 2006 à 2019</t>
  </si>
  <si>
    <t>Rés princ Type appart avt 2020</t>
  </si>
  <si>
    <t>Rés princ Type appart avt 1919</t>
  </si>
  <si>
    <t>Rés princ Type appart 1919 à 1945</t>
  </si>
  <si>
    <t>Rés princ Type appart 1946 à 1970</t>
  </si>
  <si>
    <t>Rés princ Type appart 1971 à 1990</t>
  </si>
  <si>
    <t>Rés princ Type appart 1991 à 2005</t>
  </si>
  <si>
    <t>Rés princ Type appart 2006 à 2019</t>
  </si>
  <si>
    <t>Ménages emménagés moins 2 ans</t>
  </si>
  <si>
    <t>Ménages emménagés entre 2-4 ans</t>
  </si>
  <si>
    <t>Ménages emménagés entre 5-9 ans</t>
  </si>
  <si>
    <t>Ménages emménagés depuis 10 ans ou plus</t>
  </si>
  <si>
    <t>Pop mén emménagés moins 2 ans</t>
  </si>
  <si>
    <t>Pop mén emménagés entre 2-4 ans</t>
  </si>
  <si>
    <t>Pop mén emménagés entre 5-9 ans</t>
  </si>
  <si>
    <t>Pop mén emménagés depuis 10 ans ou plus</t>
  </si>
  <si>
    <t>Pièces Rés princ Mén. emménagés moins 2 ans</t>
  </si>
  <si>
    <t>Pièces Rés princ Mén. emménagés entre 2-4 ans</t>
  </si>
  <si>
    <t>Pièces Rés princ Mén. emménagés entre 5-9 ans</t>
  </si>
  <si>
    <t>Pièces Rés princ Mén. emménagés depuis 10 ans ou plus</t>
  </si>
  <si>
    <t>Rés princ occupées Propriétaires</t>
  </si>
  <si>
    <t>Rés princ occupées Locataires</t>
  </si>
  <si>
    <t>Rés princ HLM louée vide</t>
  </si>
  <si>
    <t>Rés princ logé gratuit</t>
  </si>
  <si>
    <t>Personnes Rés princ</t>
  </si>
  <si>
    <t>Pers Rés princ occupées Propriétaires</t>
  </si>
  <si>
    <t>Pers Rés princ occupées Locataires</t>
  </si>
  <si>
    <t>Pers Rés princ HLM louées vides</t>
  </si>
  <si>
    <t>Pers Rés princ occupées gratuit</t>
  </si>
  <si>
    <t>Anc tot Emméngt Rés princ (années)</t>
  </si>
  <si>
    <t>Anc tot Emméngt Rés princ occ par Propriétaires (années)</t>
  </si>
  <si>
    <t>Anc tot Emméngt Rés princ occ par Locataires (années)</t>
  </si>
  <si>
    <t>Anc tot Emméngt Rés princ HLM louées vides (années)</t>
  </si>
  <si>
    <t>Anc tot Emméngt Rés princ occ gratuit (années)</t>
  </si>
  <si>
    <t>nombre de résidences principales avec combustible principal de chauffage gaz de ville - réseau de chaleur</t>
  </si>
  <si>
    <t>nombre de résidences principales avec combustible principal de chauffage fioul</t>
  </si>
  <si>
    <t>nombre de résidences principales avec combustible principal de chauffage électricité</t>
  </si>
  <si>
    <t>nombre de résidences principales avec combustible principal de chauffage gaz en bouteilles ou citerne</t>
  </si>
  <si>
    <t>nombre de résidences principales avec combustible principal de chauffage autres</t>
  </si>
  <si>
    <t>Ménages au moins un parking</t>
  </si>
  <si>
    <t>Ménages au moins une voiture</t>
  </si>
  <si>
    <t>Ménages une voiture</t>
  </si>
  <si>
    <t>Ménages deux voitures ou plus</t>
  </si>
  <si>
    <t>résidences principales en occupation dans la norm</t>
  </si>
  <si>
    <t>résidences principales en sous-occupation modérée</t>
  </si>
  <si>
    <t>résidences principales en sous-occupation accentuée</t>
  </si>
  <si>
    <t>résidences principales en sous-occupation très accentuée</t>
  </si>
  <si>
    <t>résidences principales en suroccupation modérée</t>
  </si>
  <si>
    <t>résidences principales en suroccupation accentuée</t>
  </si>
  <si>
    <t>Superficie en hectares (LOG)</t>
  </si>
  <si>
    <t>Densité de logements au km²</t>
  </si>
  <si>
    <t>Densité de logements par hectare</t>
  </si>
  <si>
    <t>Part des logements vacants (%)</t>
  </si>
  <si>
    <t>Part des logements individuels (%)</t>
  </si>
  <si>
    <t>Nombre de RP de petite typologie</t>
  </si>
  <si>
    <t>Part des RP de petite typologie (%)</t>
  </si>
  <si>
    <t>Nombre de RP de grande typologie</t>
  </si>
  <si>
    <t>Part des RP de grande typologie (%)</t>
  </si>
  <si>
    <t>Part des ménages emménagés depuis moins de 2 ans (%)</t>
  </si>
  <si>
    <t>Ménages emménagés moins 10 ans</t>
  </si>
  <si>
    <t>Part des ménages emménagés depuis moins de 10 ans (%)</t>
  </si>
  <si>
    <t>Taille moyenne des ménages</t>
  </si>
  <si>
    <t>Nombre de RP parc privé</t>
  </si>
  <si>
    <t>Part propriétaire dans les RP parc privé (%)</t>
  </si>
  <si>
    <t>Part propriétaire dans le parc de RP total (%)</t>
  </si>
  <si>
    <t>Part HLM dans RP totale (%)</t>
  </si>
  <si>
    <t>Part HLM dans les RP locataires (%)</t>
  </si>
  <si>
    <t>Part des ménages avec parking (%)</t>
  </si>
  <si>
    <t>Part des ménages avec au moins une voiture (%)</t>
  </si>
  <si>
    <t>Indicateurs de distribution des revenus déclarés des ménages par unité de consommation</t>
  </si>
  <si>
    <t>Part des ménages fiscaux imposés (%)</t>
  </si>
  <si>
    <t>Taux de bas revenus déclarés au seuil de 60 % (%)</t>
  </si>
  <si>
    <t>Incertitude sur le taux de bas revenus et la part des ménages imposés</t>
  </si>
  <si>
    <t>1er quartile (€)</t>
  </si>
  <si>
    <t>Médiane (€)</t>
  </si>
  <si>
    <t>3e quartile (€)</t>
  </si>
  <si>
    <t>Écart inter-quartile rapporté à la médiane</t>
  </si>
  <si>
    <t>1er décile (€)</t>
  </si>
  <si>
    <t>2e décile (€)</t>
  </si>
  <si>
    <t>3e décile (€)</t>
  </si>
  <si>
    <t>4e décile (€)</t>
  </si>
  <si>
    <t>6e décile (€)</t>
  </si>
  <si>
    <t>7e décile (€)</t>
  </si>
  <si>
    <t>8e décile (€)</t>
  </si>
  <si>
    <t>9e décile (€)</t>
  </si>
  <si>
    <t>Rapport interdécile D9/D1</t>
  </si>
  <si>
    <t>S80/S20</t>
  </si>
  <si>
    <t>Indice de Gini</t>
  </si>
  <si>
    <t>Part des revenus d’activité (%)</t>
  </si>
  <si>
    <t>dont part des salaires et traitements (%)</t>
  </si>
  <si>
    <t>dont part des indemnités de chômage (%)</t>
  </si>
  <si>
    <t>dont part des revenus des activités non salariées (%)</t>
  </si>
  <si>
    <t>Part des pensions, retraites et rentes (%)</t>
  </si>
  <si>
    <t>Part des autres revenus (%)</t>
  </si>
  <si>
    <t>Note de précaution (voir onglet seuils)</t>
  </si>
  <si>
    <t>Indicateurs de distribution des revenus disponibles des ménages par unité de consommation</t>
  </si>
  <si>
    <t>Taux de pauvreté au seuil de 60 % (%)</t>
  </si>
  <si>
    <t>Incertitude sur le taux de pauvreté</t>
  </si>
  <si>
    <t>Part des revenus du patrimoine et autres revenus (%)</t>
  </si>
  <si>
    <t>Part de l'ensemble des prestations sociales (%)</t>
  </si>
  <si>
    <t>dont part des prestations familiales (%)</t>
  </si>
  <si>
    <t>dont part des minima sociaux (%)</t>
  </si>
  <si>
    <t>dont part des prestations logement (%)</t>
  </si>
  <si>
    <t>Part des impôts (%)</t>
  </si>
  <si>
    <t>-10.3</t>
  </si>
  <si>
    <t>-11.7</t>
  </si>
  <si>
    <t>-6.8</t>
  </si>
  <si>
    <t>-7.9</t>
  </si>
  <si>
    <t>-8.6</t>
  </si>
  <si>
    <t>-6.5</t>
  </si>
  <si>
    <t>-7.4</t>
  </si>
  <si>
    <t>-6.9</t>
  </si>
  <si>
    <t>-9.7</t>
  </si>
  <si>
    <t>-6.4</t>
  </si>
  <si>
    <t>-8.4</t>
  </si>
  <si>
    <t>-12.1</t>
  </si>
  <si>
    <t>-11.1</t>
  </si>
  <si>
    <t>-10.7</t>
  </si>
  <si>
    <t>-8.5</t>
  </si>
  <si>
    <t>-7.1</t>
  </si>
  <si>
    <t>-20.8</t>
  </si>
  <si>
    <t>-21.6</t>
  </si>
  <si>
    <t>-13.4</t>
  </si>
  <si>
    <t>-9.1</t>
  </si>
  <si>
    <t>-8.8</t>
  </si>
  <si>
    <t>-14.3</t>
  </si>
  <si>
    <t>-9.5</t>
  </si>
  <si>
    <t>-8.0</t>
  </si>
  <si>
    <t>-6.2</t>
  </si>
  <si>
    <t>-9.8</t>
  </si>
  <si>
    <t>-11.8</t>
  </si>
  <si>
    <t>-13.0</t>
  </si>
  <si>
    <t>-12.5</t>
  </si>
  <si>
    <t>-7.6</t>
  </si>
  <si>
    <t>-7.2</t>
  </si>
  <si>
    <t>Crèches</t>
  </si>
  <si>
    <t>Contrats de Ville (CDV)</t>
  </si>
  <si>
    <t>Quartiers SIG (Grands quartiers)</t>
  </si>
  <si>
    <t>Mairies de qartiers</t>
  </si>
  <si>
    <t>Age : 0</t>
  </si>
  <si>
    <t>Age : 1</t>
  </si>
  <si>
    <t>Age : 2</t>
  </si>
  <si>
    <t>Age : 3</t>
  </si>
  <si>
    <t>Age : 4</t>
  </si>
  <si>
    <t>Age : 5</t>
  </si>
  <si>
    <t>Age : 6</t>
  </si>
  <si>
    <t>Age : 7</t>
  </si>
  <si>
    <t>Age : 8</t>
  </si>
  <si>
    <t>Age : 9</t>
  </si>
  <si>
    <t>Age : 10</t>
  </si>
  <si>
    <t>Age : 11</t>
  </si>
  <si>
    <t>Age : 12</t>
  </si>
  <si>
    <t>Age : 13</t>
  </si>
  <si>
    <t>Age : 14</t>
  </si>
  <si>
    <t>Age : 15</t>
  </si>
  <si>
    <t>Age : 16</t>
  </si>
  <si>
    <t>Age : 17</t>
  </si>
  <si>
    <t>TOTAL 0-17</t>
  </si>
  <si>
    <t>Cassel</t>
  </si>
  <si>
    <t>ALMA NORD</t>
  </si>
  <si>
    <t>ALMA SUD</t>
  </si>
  <si>
    <t>Buisine</t>
  </si>
  <si>
    <t>ANSEELE</t>
  </si>
  <si>
    <t>Fourmies</t>
  </si>
  <si>
    <t>BARBIEUX SUD</t>
  </si>
  <si>
    <t>BARBIEUX-VAUBAN</t>
  </si>
  <si>
    <t>ENTREPONT-CARTIGNY</t>
  </si>
  <si>
    <t>Montesquieu</t>
  </si>
  <si>
    <t>ESPÉRANCE CENTRE</t>
  </si>
  <si>
    <t>FOSSE AUX CHÊNES</t>
  </si>
  <si>
    <t>Quatre quartiers</t>
  </si>
  <si>
    <t>Noyon</t>
  </si>
  <si>
    <t>FRATERNITÉ</t>
  </si>
  <si>
    <t>Fresnoy-Mackellerie</t>
  </si>
  <si>
    <t>FRESNOY</t>
  </si>
  <si>
    <t>Trois Villes</t>
  </si>
  <si>
    <t>HAUTS CHAMPS - PETITES HAIES</t>
  </si>
  <si>
    <t>HAUTS CHAMPS</t>
  </si>
  <si>
    <t>HOMMELET CENTRE</t>
  </si>
  <si>
    <t>HOMMELET NORD</t>
  </si>
  <si>
    <t>HOMMELET SUD</t>
  </si>
  <si>
    <t>HUTIN-ORAN</t>
  </si>
  <si>
    <t>JUSTICE</t>
  </si>
  <si>
    <t>LINNÉ-CHEMIN NEUF</t>
  </si>
  <si>
    <t>MACKELLERIE</t>
  </si>
  <si>
    <t>MOULIN NORD</t>
  </si>
  <si>
    <t>MOULIN SUD</t>
  </si>
  <si>
    <t>NATIONS UNIES</t>
  </si>
  <si>
    <t>NOUVEAU ROUBAIX</t>
  </si>
  <si>
    <t>Pile-Sainte-Elisabeth</t>
  </si>
  <si>
    <t>PILE CENTRE</t>
  </si>
  <si>
    <t>PILE EST</t>
  </si>
  <si>
    <t>PILE NORD</t>
  </si>
  <si>
    <t>POTENNERIE</t>
  </si>
  <si>
    <t>SAINTE-ÉLISABETH CENTRE</t>
  </si>
  <si>
    <t>SAINTE-ÉLISABETH NORD</t>
  </si>
  <si>
    <t>SAINTE-ÉLISABETH SUD</t>
  </si>
  <si>
    <t>SARTEL</t>
  </si>
  <si>
    <t>TRICHON</t>
  </si>
  <si>
    <t>TROIS PONTS NORD</t>
  </si>
  <si>
    <t>TROIS PONTS SUD</t>
  </si>
  <si>
    <t>ÉDOUARD VAILLANT</t>
  </si>
  <si>
    <t>ÉPEULE CENTRE</t>
  </si>
  <si>
    <t>ÉPEULE NORD</t>
  </si>
  <si>
    <t>ÉPEULE SUD</t>
  </si>
  <si>
    <t>Nombre total d'allocataires</t>
  </si>
  <si>
    <t>Personnes couvertes</t>
  </si>
  <si>
    <t>Allocataires isolés sans enfant</t>
  </si>
  <si>
    <t>Allocataires mono-parent</t>
  </si>
  <si>
    <t>Allocataires couples sans enfant</t>
  </si>
  <si>
    <t>Allocataires couples avec enfant(s)</t>
  </si>
  <si>
    <t>Allocataires couples avec au moins 3 enfants à charge</t>
  </si>
  <si>
    <t>Enfants couverts par au moins une prestation Caf</t>
  </si>
  <si>
    <t>Enfants de moins de 3 ans</t>
  </si>
  <si>
    <t>Enfants de 3 à moins de 6 ans</t>
  </si>
  <si>
    <t>Enfants de 6 à moins de 11 ans</t>
  </si>
  <si>
    <t>Enfants de 11 à moins de 15 ans</t>
  </si>
  <si>
    <t>Enfants de 15 à moins de 18 ans</t>
  </si>
  <si>
    <t>Enfants de 18 à moins de 25 ans</t>
  </si>
  <si>
    <t>Allocataires étudiants</t>
  </si>
  <si>
    <t>Allocataires de moins de 25 ans non étudiants</t>
  </si>
  <si>
    <t>Allocataires percevant une aide au logement</t>
  </si>
  <si>
    <t>Allocataires percevant l’Aide Personnalisée au Logement (Métropole)</t>
  </si>
  <si>
    <t>Allocataires percevant l’Allocation Adulte Handicapé</t>
  </si>
  <si>
    <t>Allocataires percevant la prime d'activité</t>
  </si>
  <si>
    <t>Allocataires percevant le RSA socle</t>
  </si>
  <si>
    <t>Population (CAF)</t>
  </si>
  <si>
    <t>Part de la population couverte par une allocation CAF (%)</t>
  </si>
  <si>
    <t>Part des allocataires mono-parent (%)</t>
  </si>
  <si>
    <t>Part des allocataires percevant l’APL (%)</t>
  </si>
  <si>
    <t>Part des allocataires percevant l’AAH (%)</t>
  </si>
  <si>
    <t>Part des allocataires bénéficiant du RSA socle (%)</t>
  </si>
  <si>
    <t>Population couverte</t>
  </si>
  <si>
    <t>Hommes</t>
  </si>
  <si>
    <t>Femmes</t>
  </si>
  <si>
    <t>Moins de 18 ans</t>
  </si>
  <si>
    <t>de 18 ans à moins de 25 ans</t>
  </si>
  <si>
    <t>de 25 ans à moins de 50 ans</t>
  </si>
  <si>
    <t>de 50 ans à moins de 60 ans</t>
  </si>
  <si>
    <t>de 60 ans à moins de 75 ans</t>
  </si>
  <si>
    <t>75 ans ou plus</t>
  </si>
  <si>
    <t>Population couverte bénéficiaire de la C2S non participative</t>
  </si>
  <si>
    <t>Hommes bénéficiaires de la C2S non participative</t>
  </si>
  <si>
    <t>Femmes bénéficiaires de la C2S non participative</t>
  </si>
  <si>
    <t>Bénéficiaires de la C2S non participative de moins de 18 ans</t>
  </si>
  <si>
    <t>Bénéficiaires de la C2S non participative de 18 ans à moins de 25 ans</t>
  </si>
  <si>
    <t>Bénéficiaires de la C2S non participative de 25 ans à moins de 50 ans</t>
  </si>
  <si>
    <t>Bénéficiaires de la C2S non participative de 50 ans à moins de 60 ans</t>
  </si>
  <si>
    <t>Bénéficiaires de la C2S non participative de 60 ans ou plus</t>
  </si>
  <si>
    <t>Population couverte bénéficiaire de la C2S participative</t>
  </si>
  <si>
    <t>Hommes bénéficiaires de la C2S participative</t>
  </si>
  <si>
    <t>Femmes bénéficiaires de la C2S participative</t>
  </si>
  <si>
    <t>Bénéficiaires de la C2S participative de moins de 18 ans</t>
  </si>
  <si>
    <t>Bénéficiaires de la C2S participative de 18 ans à moins de 25 ans</t>
  </si>
  <si>
    <t>Bénéficiaires de la C2S participative de 25 ans à moins de 50 ans</t>
  </si>
  <si>
    <t>Bénéficiaires de la C2S participative de 50 ans à moins de 60 ans</t>
  </si>
  <si>
    <t>Bénéficiaires de la C2S participative de 60 ans ou plus</t>
  </si>
  <si>
    <t>Part de la population couverte bénéficiaire de la C2S non participative (%)</t>
  </si>
  <si>
    <t>Part des bénéficiaires de la C2S non participative de moins de 18 ans (%)</t>
  </si>
  <si>
    <t>Part des moins de 18 ans bénéficiaires de la C2S non participative(%)</t>
  </si>
  <si>
    <t>Part de la population couverte bénéficiaire de la C2S participative (%)</t>
  </si>
  <si>
    <t>Part des bénéficiaires de la C2S participative de moins de 18 ans (%)</t>
  </si>
  <si>
    <t>Part des moins de 18 ans bénéficiaires de la C2S participative (%)</t>
  </si>
  <si>
    <t>DEFM</t>
  </si>
  <si>
    <t>DEFM hommes</t>
  </si>
  <si>
    <t>DEFM femmes</t>
  </si>
  <si>
    <t>DEFM catégories ABC</t>
  </si>
  <si>
    <t>DEFM hommes catégories ABC</t>
  </si>
  <si>
    <t>DEFM femmes catégories ABC</t>
  </si>
  <si>
    <t>DEFM hommes catégorie A</t>
  </si>
  <si>
    <t>DEFM femmes catégorie A</t>
  </si>
  <si>
    <t>DEFM catégories ABC moins de 26 ans</t>
  </si>
  <si>
    <t>DEFM hommes catégories ABC moins de 26 ans</t>
  </si>
  <si>
    <t>DEFM femmes catégories ABC moins de 26 ans</t>
  </si>
  <si>
    <t>DEFM catégories ABC de 26 ans à moins de 50 ans</t>
  </si>
  <si>
    <t>DEFM hommes catégories ABC de 26 ans à moins de 50 ans</t>
  </si>
  <si>
    <t>DEFM femmes catégories ABC de 26 ans à moins de 50 ans</t>
  </si>
  <si>
    <t>DEFM catégories ABC de 50 ans et plus</t>
  </si>
  <si>
    <t>DEFM hommes catégories ABC de 50 ans et plus</t>
  </si>
  <si>
    <t>DEFM femmes catégories ABC de 50 ans et plus</t>
  </si>
  <si>
    <t>DEFM catégories ABC nationalité française</t>
  </si>
  <si>
    <t>DEFM catégories ABC nationalité étrangère</t>
  </si>
  <si>
    <t>DEFM catégories ABC de niveau de formation inférieur au CAP-BEP</t>
  </si>
  <si>
    <t>DEFM hommes catégories ABC de niveau de formation inférieur au CAP-BEP</t>
  </si>
  <si>
    <t>DEFM femmes catégories ABC de niveau de formation inférieur au CAP-BEP</t>
  </si>
  <si>
    <t>DEFM catégories ABC de niveau de formation CAP-BEP</t>
  </si>
  <si>
    <t>DEFM hommes catégories ABC de niveau de formation CAP-BEP</t>
  </si>
  <si>
    <t>DEFM femmes catégories ABC de niveau de formation CAP-BEP</t>
  </si>
  <si>
    <t>DEFM catégories ABC de niveau de formation BAC</t>
  </si>
  <si>
    <t>DEFM hommes catégories ABC de niveau de formation BAC</t>
  </si>
  <si>
    <t>DEFM femmes catégories ABC de niveau de formation BAC</t>
  </si>
  <si>
    <t>DEFM catégories ABC de niveau de formation supérieur au BAC</t>
  </si>
  <si>
    <t>DEFM hommes catégories ABC de niveau de formation supérieur au BAC</t>
  </si>
  <si>
    <t>DEFM femmes catégories ABC de niveau de formation supérieur au BAC</t>
  </si>
  <si>
    <t>DEFM catégories ABC d'ancienneté au chômage de moins de 6 mois</t>
  </si>
  <si>
    <t>DEFM hommes catégories ABC d'ancienneté au chômage de moins de 6 mois</t>
  </si>
  <si>
    <t>DEFM femmes catégories ABC d'ancienneté au chômage de moins de 6 mois</t>
  </si>
  <si>
    <t>DEFM catégories ABC d'ancienneté au chômage de 6 mois à moins d'1 an</t>
  </si>
  <si>
    <t>DEFM hommes catégories ABC d'ancienneté au chômage de 6 mois à moins d'1 an</t>
  </si>
  <si>
    <t>DEFM femmes catégories ABC d'ancienneté au chômage de 6 mois à moins d'1 an</t>
  </si>
  <si>
    <t>DEFM catégories ABC d'ancienneté au chômage de 1 an à moins de 2 ans</t>
  </si>
  <si>
    <t>DEFM hommes catégories ABC d'ancienneté au chômage de 1 an à moins de 2 ans</t>
  </si>
  <si>
    <t>DEFM femmes catégories ABC d'ancienneté au chômage de 1 an à moins de 2 ans</t>
  </si>
  <si>
    <t>DEFM catégories ABC d'ancienneté au chômage d'au moins 2 ans</t>
  </si>
  <si>
    <t>DEFM hommes catégories ABC d'ancienneté au chômage d'au moins 2 ans</t>
  </si>
  <si>
    <t>DEFM femmes catégories ABC d'ancienneté au chômage d'au moins 2 ans</t>
  </si>
  <si>
    <t>DEFM catégories ABC dont motif d'inscription est une 1ère entrée sur marché du travail</t>
  </si>
  <si>
    <t>DEFM catégories ABC dont motif d'inscription est un licenciement</t>
  </si>
  <si>
    <t>DEFM catégories ABC dont motif d'inscription est une fin de Contrat à Durée Déterminée</t>
  </si>
  <si>
    <t>DEFM catégories ABC dont motif d'inscription est une fin de mission d'intérim</t>
  </si>
  <si>
    <t>DEFM catégories ABC dont motif d'inscription est autre</t>
  </si>
  <si>
    <t>DEFM catégories ABC bénéficiaires du RSA</t>
  </si>
  <si>
    <t>DEFM hommes catégories ABC bénéficiaires du RSA</t>
  </si>
  <si>
    <t>DEFM femmes catégories ABC bénéficiaires du RSA</t>
  </si>
  <si>
    <t>Population (DEFM)</t>
  </si>
  <si>
    <t>Part des DEFM dans la population totale (%)</t>
  </si>
  <si>
    <t>Part des DEFM hommes (%)</t>
  </si>
  <si>
    <t>Part des DEFM femmes (%)</t>
  </si>
  <si>
    <t>Part des DEFM catégorie ABC (tenus de faire une recherche d'emploi active)</t>
  </si>
  <si>
    <t>Part des DEFM ABC de moins de 26 ans (%)</t>
  </si>
  <si>
    <t>Part des DEFM ABC de niveau ≤ au BAC dans les DEFM ABC (%)</t>
  </si>
  <si>
    <t>Part des DEFM ABC au chômage depuis plus de 2 ans parmi les DEFM ABC (%)</t>
  </si>
  <si>
    <t>Part des DEFM ABC au chômage depuis plus de 2 ans dans l'ensemble des chômeurs inscrits à PE (%)</t>
  </si>
  <si>
    <t>Part des DEFM ABC bénéficiaires du RSA parmi les DEFM ABC (%)</t>
  </si>
  <si>
    <t>Part des DEFM ABC bénéficiaires du RSA parmi l'ensemble des inscrits à PE (%)</t>
  </si>
  <si>
    <t>Nombre de logements du Parc Locatif Social</t>
  </si>
  <si>
    <t>Nombre de logements sociaux mis en service dans l’année</t>
  </si>
  <si>
    <t>Taux de vacance des logements sociaux</t>
  </si>
  <si>
    <t>Taux de vacance de plus de 3 mois des logements sociaux</t>
  </si>
  <si>
    <t>Taux de rotation des logements sociaux</t>
  </si>
  <si>
    <t>Part des logements sociaux collectifs</t>
  </si>
  <si>
    <t>Part des logements sociaux individuels</t>
  </si>
  <si>
    <t>Part des logements sociaux d’une pièce</t>
  </si>
  <si>
    <t>Part des logements sociaux de deux pièces</t>
  </si>
  <si>
    <t>Part des logements sociaux de trois pièces</t>
  </si>
  <si>
    <t>Part des logements sociaux de quatre pièces</t>
  </si>
  <si>
    <t>Part des logements sociaux de 5 pièces ou plus</t>
  </si>
  <si>
    <t>Part des logements sociaux de moins de 30 m²</t>
  </si>
  <si>
    <t>Part des logements sociaux de 30 m² à moins de 40 m²</t>
  </si>
  <si>
    <t>Part des logements sociaux de 40 m² à moins de 60 m²</t>
  </si>
  <si>
    <t>Part des logements sociaux de 60 m² à moins de 80 m²</t>
  </si>
  <si>
    <t>Part des logements sociaux de 80 m² à moins de 100 m²</t>
  </si>
  <si>
    <t>Part des logements sociaux de 100 m² à moins de 120 m²</t>
  </si>
  <si>
    <t>Part des logements sociaux de plus de 120 m²</t>
  </si>
  <si>
    <t>Part des logements sociaux construits avant 1949</t>
  </si>
  <si>
    <t>Part des logements sociaux construits entre 1949 et 1975</t>
  </si>
  <si>
    <t>Part des logements sociaux construits entre 1976 et 1988</t>
  </si>
  <si>
    <t>Part des logements sociaux construits entre 1989 et 2000</t>
  </si>
  <si>
    <t>Part des logements sociaux construits entre 2001 et 2013</t>
  </si>
  <si>
    <t>Part des logements sociaux construits après 2013</t>
  </si>
  <si>
    <t>Part des logements sociaux financés en PLAI</t>
  </si>
  <si>
    <t>Part des logements sociaux financés en PLUS (avant 1977)</t>
  </si>
  <si>
    <t>Part des logements sociaux financés en PLUS (après 1977)</t>
  </si>
  <si>
    <t>Part des logements sociaux financés en PLS</t>
  </si>
  <si>
    <t>Part des logements sociaux financés en PLI</t>
  </si>
  <si>
    <t>Loyer par m² des logements sociaux - Moyenne</t>
  </si>
  <si>
    <t>Loyer par m² des logements sociaux - 1er quartile</t>
  </si>
  <si>
    <t>Loyer par m² des logements sociaux - Médiane</t>
  </si>
  <si>
    <t>Loyer par m² des logements sociaux - 3ème quartile</t>
  </si>
  <si>
    <t>Données infra-communales - Couples - Familles - Ménages</t>
  </si>
  <si>
    <t>Données infra-communales - Population</t>
  </si>
  <si>
    <t>Données infra-communales - Activité des résidents</t>
  </si>
  <si>
    <t>Données infra-communales - Diplômes - Formation</t>
  </si>
  <si>
    <t>Données infra-communales - Logement</t>
  </si>
  <si>
    <t>Bénéficiaires des prestations légales versées par les CAF</t>
  </si>
  <si>
    <t>Bénéficiaires du régime général de l’assurance maladie, dont bénéficiaires de la complémentaire santé solidaire</t>
  </si>
  <si>
    <t>Demandeurs d'emploi au 31 décembre(données annuelles)</t>
  </si>
  <si>
    <t>Répertoire du Parc Locatif Social (RPLS)</t>
  </si>
  <si>
    <t>Onget disponible</t>
  </si>
  <si>
    <t>Annee</t>
  </si>
  <si>
    <t>Description</t>
  </si>
  <si>
    <t>Lien vers le dictionnaire de données</t>
  </si>
  <si>
    <t>POP</t>
  </si>
  <si>
    <r>
      <t>Contient des indicateurs détaillés sur la</t>
    </r>
    <r>
      <rPr>
        <b/>
        <sz val="10"/>
        <color theme="3"/>
        <rFont val="Arial"/>
        <family val="2"/>
      </rPr>
      <t xml:space="preserve"> POPULATION </t>
    </r>
    <r>
      <rPr>
        <sz val="10"/>
        <color theme="3"/>
        <rFont val="Arial"/>
        <family val="2"/>
      </rPr>
      <t>de Roubaix selon le sexe, l'âge en tranches, la catégorie socio-professionnelle, en tenant compte de la population étrangère et de la population immigrée.</t>
    </r>
  </si>
  <si>
    <t>ACT RES</t>
  </si>
  <si>
    <r>
      <t xml:space="preserve">Contient des indicateurs détaillés sur les caractéristiques des </t>
    </r>
    <r>
      <rPr>
        <b/>
        <sz val="10"/>
        <color theme="3"/>
        <rFont val="Arial"/>
        <family val="2"/>
      </rPr>
      <t>ACTIVITES DES RESIDENTS</t>
    </r>
    <r>
      <rPr>
        <sz val="10"/>
        <color theme="3"/>
        <rFont val="Arial"/>
        <family val="2"/>
      </rPr>
      <t xml:space="preserve">, </t>
    </r>
    <r>
      <rPr>
        <b/>
        <sz val="10"/>
        <color theme="3"/>
        <rFont val="Arial"/>
        <family val="2"/>
      </rPr>
      <t>des SALARIES et non-salariés</t>
    </r>
    <r>
      <rPr>
        <sz val="10"/>
        <color theme="3"/>
        <rFont val="Arial"/>
        <family val="2"/>
      </rPr>
      <t xml:space="preserve"> selon le sexe, l’âge par tranches et la catégorie socio-professionnelles.</t>
    </r>
  </si>
  <si>
    <t>COU FAM MÉNAGES</t>
  </si>
  <si>
    <r>
      <t xml:space="preserve">Contient des indicateurs détaillés sur lescaracteristiques des </t>
    </r>
    <r>
      <rPr>
        <b/>
        <sz val="10"/>
        <color theme="3"/>
        <rFont val="Arial"/>
        <family val="2"/>
      </rPr>
      <t>COUPLES, FAMILLES, MENAGES,</t>
    </r>
    <r>
      <rPr>
        <sz val="10"/>
        <color theme="3"/>
        <rFont val="Arial"/>
        <family val="2"/>
      </rPr>
      <t xml:space="preserve"> (nombre d'enfants).</t>
    </r>
  </si>
  <si>
    <t>DIP FORMATION</t>
  </si>
  <si>
    <r>
      <t>Contient des indicateurs détaillés le</t>
    </r>
    <r>
      <rPr>
        <b/>
        <sz val="10"/>
        <color theme="3"/>
        <rFont val="Arial"/>
        <family val="2"/>
      </rPr>
      <t>s DIPLOMES ET FORMATION</t>
    </r>
    <r>
      <rPr>
        <sz val="10"/>
        <color theme="3"/>
        <rFont val="Arial"/>
        <family val="2"/>
      </rPr>
      <t xml:space="preserve">, la </t>
    </r>
    <r>
      <rPr>
        <b/>
        <sz val="10"/>
        <color theme="3"/>
        <rFont val="Arial"/>
        <family val="2"/>
      </rPr>
      <t>SCOLARISATION</t>
    </r>
    <r>
      <rPr>
        <sz val="10"/>
        <color theme="3"/>
        <rFont val="Arial"/>
        <family val="2"/>
      </rPr>
      <t xml:space="preserve"> et les niveaux de </t>
    </r>
    <r>
      <rPr>
        <b/>
        <sz val="10"/>
        <color theme="3"/>
        <rFont val="Arial"/>
        <family val="2"/>
      </rPr>
      <t xml:space="preserve">DIPLOMES, </t>
    </r>
    <r>
      <rPr>
        <sz val="10"/>
        <color theme="3"/>
        <rFont val="Arial"/>
        <family val="2"/>
      </rPr>
      <t xml:space="preserve"> les personnes non scolarisées de 15 à ou plus selon le sexe.</t>
    </r>
  </si>
  <si>
    <t>LOG</t>
  </si>
  <si>
    <r>
      <t xml:space="preserve">Contient des indicateurs détaillés sur des </t>
    </r>
    <r>
      <rPr>
        <b/>
        <sz val="10"/>
        <color theme="3"/>
        <rFont val="Arial"/>
        <family val="2"/>
      </rPr>
      <t>LOGEMENTS</t>
    </r>
    <r>
      <rPr>
        <sz val="10"/>
        <color theme="3"/>
        <rFont val="Arial"/>
        <family val="2"/>
      </rPr>
      <t>, la possession d'une voiture ainsi que le parc de logements.</t>
    </r>
  </si>
  <si>
    <t>REV DEC</t>
  </si>
  <si>
    <r>
      <t>Contient des indicateurs détaillés sur les</t>
    </r>
    <r>
      <rPr>
        <b/>
        <sz val="10"/>
        <color theme="3"/>
        <rFont val="Arial"/>
        <family val="2"/>
      </rPr>
      <t>REVENUS DECLARES</t>
    </r>
    <r>
      <rPr>
        <sz val="10"/>
        <color theme="3"/>
        <rFont val="Arial"/>
        <family val="2"/>
      </rPr>
      <t xml:space="preserve"> (avant redistribution) et les niveaux de vie.(filosofi)</t>
    </r>
  </si>
  <si>
    <t>https://www.insee.fr/fr/statistiques/8229323</t>
  </si>
  <si>
    <t>REV DISP</t>
  </si>
  <si>
    <r>
      <rPr>
        <sz val="10"/>
        <color theme="3"/>
        <rFont val="Arial"/>
        <family val="2"/>
      </rPr>
      <t>Contient des indicateurs détaillés sur les</t>
    </r>
    <r>
      <rPr>
        <b/>
        <sz val="10"/>
        <color theme="3"/>
        <rFont val="Arial"/>
        <family val="2"/>
      </rPr>
      <t xml:space="preserve"> REVENU DISPONIBLE</t>
    </r>
    <r>
      <rPr>
        <sz val="10"/>
        <color theme="3"/>
        <rFont val="Arial"/>
        <family val="2"/>
      </rPr>
      <t xml:space="preserve"> (après redistribution) et le</t>
    </r>
    <r>
      <rPr>
        <b/>
        <sz val="10"/>
        <color theme="3"/>
        <rFont val="Arial"/>
        <family val="2"/>
      </rPr>
      <t xml:space="preserve"> NIVEAU DE VIE</t>
    </r>
    <r>
      <rPr>
        <sz val="10"/>
        <color theme="3"/>
        <rFont val="Arial"/>
        <family val="2"/>
      </rPr>
      <t>.(filosofi)</t>
    </r>
  </si>
  <si>
    <t>PETITE ENFANCE</t>
  </si>
  <si>
    <r>
      <t>Contient des indicateurs du nombre d</t>
    </r>
    <r>
      <rPr>
        <b/>
        <sz val="10"/>
        <color theme="3"/>
        <rFont val="Arial"/>
        <family val="2"/>
      </rPr>
      <t xml:space="preserve">'enfants de 0 à 17 ans </t>
    </r>
  </si>
  <si>
    <t>CAF</t>
  </si>
  <si>
    <r>
      <t>Contient des indicateurs sur les</t>
    </r>
    <r>
      <rPr>
        <b/>
        <sz val="10"/>
        <color theme="3"/>
        <rFont val="Arial"/>
        <family val="2"/>
      </rPr>
      <t xml:space="preserve"> bénéficiaires des prestations légales versées par les CAF</t>
    </r>
    <r>
      <rPr>
        <sz val="10"/>
        <color theme="3"/>
        <rFont val="Arial"/>
        <family val="2"/>
      </rPr>
      <t xml:space="preserve"> à l'Iris</t>
    </r>
  </si>
  <si>
    <t>CNAM</t>
  </si>
  <si>
    <r>
      <t xml:space="preserve">Contient des indicateurs sur les </t>
    </r>
    <r>
      <rPr>
        <b/>
        <sz val="10"/>
        <color theme="3"/>
        <rFont val="Arial"/>
        <family val="2"/>
      </rPr>
      <t>bénéficiaires du régime général de l'assurance maladie</t>
    </r>
    <r>
      <rPr>
        <sz val="10"/>
        <color theme="3"/>
        <rFont val="Arial"/>
        <family val="2"/>
      </rPr>
      <t xml:space="preserve"> ainsi que sur les bénéficiaires de la Complémentaire Santé Solidaire (C2S)  issus des fichiers des Caisses Primaires d’Assurance Maladie (CPAM).</t>
    </r>
  </si>
  <si>
    <r>
      <t xml:space="preserve">Contient des indicateurs sur les </t>
    </r>
    <r>
      <rPr>
        <b/>
        <sz val="10"/>
        <color theme="3"/>
        <rFont val="Arial"/>
        <family val="2"/>
      </rPr>
      <t>demandeurs d'emploi</t>
    </r>
    <r>
      <rPr>
        <sz val="10"/>
        <color theme="3"/>
        <rFont val="Arial"/>
        <family val="2"/>
      </rPr>
      <t xml:space="preserve">  à l'Iris (Pôle Emploi-Dares)</t>
    </r>
  </si>
  <si>
    <t>RPLS</t>
  </si>
  <si>
    <r>
      <t>Contient des indicateurs sur le</t>
    </r>
    <r>
      <rPr>
        <b/>
        <sz val="10"/>
        <color theme="3"/>
        <rFont val="Arial"/>
        <family val="2"/>
      </rPr>
      <t xml:space="preserve"> Parc des Logements Locatifs des Bailleurs Sociaux</t>
    </r>
    <r>
      <rPr>
        <sz val="10"/>
        <color theme="3"/>
        <rFont val="Arial"/>
        <family val="2"/>
      </rPr>
      <t xml:space="preserve"> à l'Iris</t>
    </r>
  </si>
  <si>
    <t xml:space="preserve">Précision </t>
  </si>
  <si>
    <t># Les données INSEE  sont à  l'échelle des IRIS</t>
  </si>
  <si>
    <t>Dans les onglets, chaque iris correpond à une zone des découpages étudiés. Les differents zonages  proposés ne se superposant pas au iris, il s 'agit donc d'une interprestation . Il a donc une marge d’erreur. 
Des indicateurs supplémentaires calculés sont disponibles à la fin des feuilles (tout à droite) sous fond orange</t>
  </si>
  <si>
    <t>L'ensemble des variables et définitions sont présentes sur le site de l'INSEE</t>
  </si>
  <si>
    <t>https://www.insee.fr/fr/information/2008354</t>
  </si>
  <si>
    <t># Des applications dédiées sont également disponibles sur le portail SIG</t>
  </si>
  <si>
    <t>https://carto.ville-roubaix.fr</t>
  </si>
  <si>
    <t>https://carto.ville-roubaix.fr/portal/apps/MapSeries/index.html?appid=439897abe91f40e29fa8d4ca5483c55b</t>
  </si>
  <si>
    <t># L'INSEE met également à disposition un dossier complet à l'échelle de la commune</t>
  </si>
  <si>
    <t>https://www.insee.fr/fr/statistiques/2011101?geo=COM-59512</t>
  </si>
  <si>
    <t>Pour toutes questions, contacter le service sig : sig@ville-roubaix.fr</t>
  </si>
  <si>
    <t>Mise a jour tous les ans entre octobre et decembre pour le recensement avec un decalage de 3 ans .</t>
  </si>
  <si>
    <t>Mise a jour annuelle pour caf cnam DEFEM RPLS</t>
  </si>
  <si>
    <t>Details sur les calculs de la population</t>
  </si>
  <si>
    <t>Details sur les calculs du logement</t>
  </si>
  <si>
    <t>Details sur les calculs des activités des résidents</t>
  </si>
  <si>
    <t>Details sur les calculs des couples-familles-ménages</t>
  </si>
  <si>
    <t>Details sur les calculs des diplômes et formations</t>
  </si>
  <si>
    <t>Details sur les calculs des demandeurs d'emploi</t>
  </si>
  <si>
    <t>Details sur les calculs des bénéficiaire de la CAF</t>
  </si>
  <si>
    <t>Details sur les calculs des bénéficiaire de la CNAM</t>
  </si>
  <si>
    <t>Superficie en hectares -&gt; Superficie en km²*100</t>
  </si>
  <si>
    <t>Superficie en hectares (LOG) -&gt; Superficie en km²*100</t>
  </si>
  <si>
    <t>Population (ACT RES) -&gt;  (de la feuille Pop)</t>
  </si>
  <si>
    <t>Part des ménages avec famille(s) (% -&gt;  Ménages avec famille(s)*100/Ménage</t>
  </si>
  <si>
    <t>Part pop 15 ans et plus non scol sans dip ou CEP max  -&gt;  Pop 15 ans ou plus non scol. Sans diplôme ou CEP*100/Pop 15 ans ou plus non scolarisée</t>
  </si>
  <si>
    <t>Population (DEFM) -&gt;  Population</t>
  </si>
  <si>
    <t>Population (CAF) -&gt;  Population</t>
  </si>
  <si>
    <t>Part de la population couverte bénéficiaire de la C2S non participative (%) -&gt;  Population couverte bénéficiaire de la C2S non participative*100/Population couverte</t>
  </si>
  <si>
    <t>Densité de population en hab/km² -&gt; Population/Superficie en km²</t>
  </si>
  <si>
    <t>Densité de logements au km² -&gt; Logements/Superficie en km²</t>
  </si>
  <si>
    <t>Part de la population en âge de travailler (%) -&gt;  Pop 15-64 ans*100/Population (ACT RES)</t>
  </si>
  <si>
    <t>Part des ménages famille couple avec enfant(s) (%) -&gt;  Fam Couple avec enfant(s)*100/Familles</t>
  </si>
  <si>
    <t>Pop 15 ans ou plus non scol dipl Ens Sup -&gt;  Pop 15 ans ou plus non scol. Enseignement sup de niveau bac plus 2+Pop 15 ans ou plus non scol. Enseignement sup de niveau bac plus 3 ou 4+Pop 15 ans ou plus non scol. Enseignement sup de niveau bac plus 5 ou plus</t>
  </si>
  <si>
    <t>Part des DEFM dans la population totale (%) -&gt;  DEFM*100/Population (DEFM)</t>
  </si>
  <si>
    <t>Missing content</t>
  </si>
  <si>
    <t>Part des bénéficiaires de la C2S non participative de moins de 18 ans (%) -&gt;  Bénéficiaires de la C2S non participative de moins de 18 ans*100/Population couverte bénéficiaire de la C2S non participative</t>
  </si>
  <si>
    <t>Part de la population de l’IRIS dans la population totale (%) -&gt; Population/Population total</t>
  </si>
  <si>
    <t>Densité de logements par hectare -&gt; Logements/Superficie en hectares (LOG)</t>
  </si>
  <si>
    <t>Part de la population active dans la population en âge de travailler (%) -&gt;  Actifs 15-64 ans*100/ Pop 15-64 ans</t>
  </si>
  <si>
    <t>Part de familles monoparentales (%) -&gt;  Fam Monoparentales*100/Familles</t>
  </si>
  <si>
    <t>Part pop 15 ans et plus non scol dipl Ens Sup (%) -&gt;  Pop 15 ans ou plus non scol dipl Ens Sup*100/Pop 15 ans ou plus non scolarisée</t>
  </si>
  <si>
    <t>Part des DEFM hommes (%) -&gt;  DEFM hommes*100/DEFM</t>
  </si>
  <si>
    <t>Part des allocataires mono-parent (%)-&gt;  Allocataires mono-parent*100/Nombre total d'allocataires</t>
  </si>
  <si>
    <t>Part des moins de 18 ans bénéficiaires de la C2S non participative(%) -&gt;  Bénéficiaires de la C2S non participative de moins de 18 ans*100/Moins de 18 ans</t>
  </si>
  <si>
    <t>Densité d’habitants à l’hectare -&gt; Population/Superficie en hectares</t>
  </si>
  <si>
    <t>Part des logements vacants (%)  -&gt; Logements vacants*100/Logements</t>
  </si>
  <si>
    <t>Part des actifs 15-24 ans (%) -&gt;  Actifs 15-24 ans*100/Pop 15-24 ans</t>
  </si>
  <si>
    <t>Nombre de familles nombreuses-&gt;  Fam 3 enfants moins 25 ans+Fam 4 enfants ou plus moins 25 ans</t>
  </si>
  <si>
    <t>Part des DEFM femmes (%) -&gt;   DEFM femmes*100/DEFM</t>
  </si>
  <si>
    <t>Part des allocataires percevant l’APL (%)) -&gt;  Allocataires percevant l’Aide Personnalisée au Logement (Métropole)*100/Nombre total d'allocataires</t>
  </si>
  <si>
    <t>Part de la population couverte bénéficiaire de la C2S participative (%) -&gt;  Population couverte bénéficiaire de la C2S participative*100/Population couverte</t>
  </si>
  <si>
    <t>Population de plus de 60 ans -&gt; Pop 60-74 ans+Pop 75 ans ou plus</t>
  </si>
  <si>
    <t>Part des logements individuels (%) -&gt; Maisons*100/Logements</t>
  </si>
  <si>
    <t>Taux d’emploi des 15-64 ans (%) -&gt;  Actifs occupés 15-64 ans*100/Pop 15-64 ans</t>
  </si>
  <si>
    <t>Part de familles nombreuses (%) -&gt;  (Fam 3 enfants moins 25 ans+Fam 4 enfants ou plus moins 25 ans)*100/Familles</t>
  </si>
  <si>
    <t>Part des DEFM catégorie ABC (tenus de faire une recherche d'emploi active -&gt;  DEFM catégories ABC*100/DEFM</t>
  </si>
  <si>
    <t>Part des allocataires percevant l’AAH (%) -&gt;  Allocataires percevant l’Allocation Adulte Handicapé*100/Nombre total d'allocataires</t>
  </si>
  <si>
    <t>Part des bénéficiaires de la C2S participative de moins de 18 ans (%) -&gt;  Bénéficiaires de la C2S participative de moins de 18 ans*100/Population couverte bénéficiaire de la C2S participative</t>
  </si>
  <si>
    <t>Part de la population de plus de 60 ans (%) parmi la population totale -&gt; Population de plus de 60 ans/Population</t>
  </si>
  <si>
    <t>Nombre de RP de petite typologie -&gt; Rés princ 1 pièce+Rés princ 2 pièces</t>
  </si>
  <si>
    <t>Taux d’emploi 15-24 ans (%) -&gt;  Actifs occupés 15-24 ans*100/Pop 15-24 ans</t>
  </si>
  <si>
    <t>Part des DEFM ABC de moins de 26 ans (%) -&gt;  DEFM catégories ABC moins de 26 ans*100/DEFM catégories ABC</t>
  </si>
  <si>
    <t>Part des allocataires bénéficiant du RSA socle (%)  -&gt;   Allocataires percevant le RSA socle*100/Nombre total d'allocataires</t>
  </si>
  <si>
    <t>Part des moins de 18 ans bénéficiaires de la C2S participative (%) -&gt;  Bénéficiaires de la C2S participative de moins de 18 ans*100/Moins de 18 ans</t>
  </si>
  <si>
    <t>Part de la population de moins de 20 ans (%) parmi la population totale -&gt; Pop 0-19 ans*100/Population</t>
  </si>
  <si>
    <t>Part des RP de petite typologi -&gt; Rés princ 1 pièce+Rés princ 2 pièces*100/Résidences principales</t>
  </si>
  <si>
    <t>Taux de chômage dans la pop active (%) -&gt;  Chômeurs 15-64 ans*100/Actifs 15-64 ans</t>
  </si>
  <si>
    <t>Part des DEFM ABC de niveau ≤ au BAC dans les DEFM ABC (%) -&gt; () DEFM catégories ABC de niveau de formation inférieur au CAP-BEP+DEFM catégories ABC de niveau de formation CAP-BEP+)/DEFM catégories ABC de niveau de formation BAC</t>
  </si>
  <si>
    <t>Indice de jeunesse -&gt; Pop 0-19 ans/Population de plus de 60 ans</t>
  </si>
  <si>
    <t>Nombre de RP de grande typologie  -&gt; Rés princ 3 pièces+Rés princ 4 pièces+Rés princ 5 pièces ou plus</t>
  </si>
  <si>
    <t>Taux de chômage chez les actifs 15-24 ans (%) -&gt;  Chômeurs 15-24 ans*100/Actifs 15-24 ans</t>
  </si>
  <si>
    <t>Part des DEFM ABC au chômage depuis plus de 2 ans parmi les DEFM ABC (%) -&gt;  DEFM catégories ABC d'ancienneté au chômage d'au moins 2 ans*100/DEFM catégories ABC</t>
  </si>
  <si>
    <t>Indice de vieillissement -&gt; Pop 65 ans ou plus/Pop 0-19 ans</t>
  </si>
  <si>
    <t>Part des RP de grande typologie -&gt; Rés princ 3 pièces+Rés princ 4 pièces+Rés princ 5 pièces ou plus*100/Résidences principales</t>
  </si>
  <si>
    <t>Part salariés chez les actifs occupés (%) -&gt;  Salariés 15 ans ou plus*100/Actifs occupés 15 ans ou plus</t>
  </si>
  <si>
    <t>Part des DEFM ABC bénéficiaires du RSA parmi l'ensemble des inscrits à PE (%) -&gt;  DEFM catégories ABC bénéficiaires du RSA*100/DEFM</t>
  </si>
  <si>
    <t>Part de la population étrangère parmi la population totale (%) -&gt; Pop Etrangers/Population</t>
  </si>
  <si>
    <t>Part des ménages emménagés depuis moins de 2 ans -&gt; Ménages*100/Ménages emménagés moins 2 ans</t>
  </si>
  <si>
    <t>Part des femmes chez les salariés de 15 ans et plus (%) -&gt;  Salariés 15 ans ou plus Femmes*100/Salariés 15 ans ou plus</t>
  </si>
  <si>
    <t>Part de la population immigrée parmi la population totale (%) -&gt; Pop Immigrés/Population</t>
  </si>
  <si>
    <t>Ménages emménagés moins 10 ans -&gt;  Ménages emménagés depuis 10 ans ou plus-Ménages</t>
  </si>
  <si>
    <t>Part des actifs occupés salariés en CDI ou fonction publique (%) -&gt;  Salariés 15 ans ou plus Fonct publ, CDI*100/Actifs occupés 15 ans ou plus</t>
  </si>
  <si>
    <t>Part des ménages emménagés depuis moins de 10 ans -&gt; Ménages emménagés depuis 10 ans ou plus*100/Ménages</t>
  </si>
  <si>
    <t>Part des actifs occupés travaillant dans la commune de résidence (%) -&gt;  Actif occ 15 ans ou plus travaille commune résidence*100/Actifs occupés 15 ans ou plus</t>
  </si>
  <si>
    <t>Taille moyenne des ménages -&gt; Pop Ménages/Ménages</t>
  </si>
  <si>
    <t>Nombre de RP parc privé  -&gt; Résidences principales-Rés princ HLM louée vide</t>
  </si>
  <si>
    <t>Part propriétaire dans les RP parc privé (%) -&gt; Rés princ occupées Propriétaires*100/Nombre de RP parc privé</t>
  </si>
  <si>
    <t>Part propriétaire dans le parc de RP total (%) -&gt; Rés princ occupées Propriétaires*100/Résidences principales</t>
  </si>
  <si>
    <t>Part HLM dans RP totale (%) -&gt; Rés princ HLM louée vide*100/Résidences principales</t>
  </si>
  <si>
    <t>Part HLM dans les RP locataires (%) -&gt; Rés princ HLM louée vide*100/Rés princ occupées Locataires</t>
  </si>
  <si>
    <t>Part des ménages avec parking (%) -&gt; Ménages au moins un parking*100/Ménages</t>
  </si>
  <si>
    <t>Part des ménages avec au moins une voiture (%) -&gt; Ménages au moins une voiture*100/Ménages</t>
  </si>
  <si>
    <t>Fichier des revenus date de 2021, 2022 non diffusé dû à un manque de données</t>
  </si>
  <si>
    <t>https://www.insee.fr/fr/statistiques/8647014</t>
  </si>
  <si>
    <t>https://www.insee.fr/fr/statistiques/8647008</t>
  </si>
  <si>
    <t>https://www.insee.fr/fr/statistiques/8647012</t>
  </si>
  <si>
    <t>https://www.insee.fr/fr/statistiques/8647010</t>
  </si>
  <si>
    <t>https://www.insee.fr/fr/statistiques/8647006</t>
  </si>
  <si>
    <t>https://www.insee.fr/fr/statistiques/8569601</t>
  </si>
  <si>
    <t>https://www.insee.fr/fr/statistiques/8569562</t>
  </si>
  <si>
    <t>au 01/01/2024</t>
  </si>
  <si>
    <t>https://www.insee.fr/fr/statistiques/8644875</t>
  </si>
  <si>
    <t>au 31/12/2024</t>
  </si>
  <si>
    <t>https://www.insee.fr/fr/statistiques/8584132</t>
  </si>
  <si>
    <t>https://www.insee.fr/fr/statistiques/8647104</t>
  </si>
  <si>
    <t>Base MAS - INSEE mise à jour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</si>
</sst>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00B050"/>
      <name val="Calibri"/>
    </font>
    <font>
      <b/>
      <sz val="11"/>
      <color rgb="FF800000"/>
      <name val="Calibri"/>
    </font>
    <font>
      <b/>
      <sz val="11"/>
      <color rgb="FF00B050"/>
      <name val="Calibri"/>
    </font>
    <font>
      <b/>
      <sz val="11"/>
      <name val="Calibri"/>
    </font>
    <font>
      <sz val="11"/>
      <name val="Calibri"/>
    </font>
    <font>
      <b/>
      <sz val="14"/>
      <color theme="0" tint="-4.9989318521683403E-2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3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b/>
      <sz val="10"/>
      <color theme="3" tint="-0.249977111117893"/>
      <name val="Arial"/>
      <family val="2"/>
    </font>
    <font>
      <sz val="10"/>
      <color theme="3" tint="-0.249977111117893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4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BFBFBF"/>
        <bgColor rgb="FFBFBFBF"/>
      </patternFill>
    </fill>
    <fill>
      <patternFill patternType="solid">
        <fgColor rgb="FF91DEFF"/>
        <bgColor rgb="FF91DEFF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  <fill>
      <patternFill patternType="solid">
        <fgColor rgb="FFEBF1DE"/>
        <bgColor rgb="FFEBF1DE"/>
      </patternFill>
    </fill>
    <fill>
      <patternFill patternType="solid">
        <fgColor rgb="FFBFBFBF"/>
        <bgColor rgb="FFBFBFBF"/>
      </patternFill>
    </fill>
    <fill>
      <patternFill patternType="solid">
        <fgColor rgb="FF91DEFF"/>
        <bgColor rgb="FF91DEFF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3" tint="0.39997558519241921"/>
      </left>
      <right/>
      <top style="thin">
        <color theme="3" tint="0.39997558519241921"/>
      </top>
      <bottom/>
      <diagonal/>
    </border>
    <border>
      <left/>
      <right/>
      <top style="thin">
        <color theme="3" tint="0.39997558519241921"/>
      </top>
      <bottom/>
      <diagonal/>
    </border>
    <border>
      <left style="thin">
        <color theme="3" tint="0.39997558519241921"/>
      </left>
      <right/>
      <top/>
      <bottom/>
      <diagonal/>
    </border>
    <border>
      <left style="medium">
        <color theme="3" tint="0.39997558519241921"/>
      </left>
      <right style="medium">
        <color theme="0"/>
      </right>
      <top style="medium">
        <color theme="3" tint="0.39997558519241921"/>
      </top>
      <bottom style="thin">
        <color indexed="64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theme="3" tint="0.39997558519241921"/>
      </left>
      <right/>
      <top/>
      <bottom/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double">
        <color theme="5" tint="-0.499984740745262"/>
      </bottom>
      <diagonal/>
    </border>
    <border>
      <left/>
      <right/>
      <top style="thin">
        <color theme="3" tint="0.39997558519241921"/>
      </top>
      <bottom style="double">
        <color theme="5" tint="-0.499984740745262"/>
      </bottom>
      <diagonal/>
    </border>
    <border>
      <left style="double">
        <color theme="5" tint="-0.499984740745262"/>
      </left>
      <right/>
      <top style="double">
        <color theme="5" tint="-0.499984740745262"/>
      </top>
      <bottom style="double">
        <color theme="5" tint="-0.499984740745262"/>
      </bottom>
      <diagonal/>
    </border>
    <border>
      <left/>
      <right style="double">
        <color theme="5" tint="-0.499984740745262"/>
      </right>
      <top style="double">
        <color theme="5" tint="-0.499984740745262"/>
      </top>
      <bottom style="double">
        <color theme="5" tint="-0.499984740745262"/>
      </bottom>
      <diagonal/>
    </border>
    <border>
      <left/>
      <right style="double">
        <color theme="5" tint="-0.499984740745262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10" borderId="2" xfId="0" applyFont="1" applyFill="1" applyBorder="1"/>
    <xf numFmtId="0" fontId="0" fillId="0" borderId="2" xfId="0" applyBorder="1"/>
    <xf numFmtId="0" fontId="4" fillId="0" borderId="2" xfId="0" applyFont="1" applyBorder="1" applyAlignment="1">
      <alignment horizontal="left"/>
    </xf>
    <xf numFmtId="0" fontId="9" fillId="12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right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11" fillId="0" borderId="0" xfId="0" applyFont="1"/>
    <xf numFmtId="0" fontId="9" fillId="13" borderId="7" xfId="0" applyFont="1" applyFill="1" applyBorder="1" applyAlignment="1">
      <alignment vertical="center" wrapText="1"/>
    </xf>
    <xf numFmtId="0" fontId="12" fillId="14" borderId="7" xfId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1" applyFont="1" applyBorder="1" applyAlignment="1">
      <alignment vertical="center" wrapText="1"/>
    </xf>
    <xf numFmtId="0" fontId="0" fillId="0" borderId="0" xfId="0" applyAlignment="1">
      <alignment horizontal="left" indent="2"/>
    </xf>
    <xf numFmtId="0" fontId="19" fillId="14" borderId="0" xfId="1" applyFont="1" applyFill="1" applyBorder="1" applyAlignment="1">
      <alignment vertical="center" wrapText="1"/>
    </xf>
    <xf numFmtId="0" fontId="10" fillId="13" borderId="9" xfId="0" applyFont="1" applyFill="1" applyBorder="1" applyAlignment="1">
      <alignment horizontal="left" vertical="center" wrapText="1"/>
    </xf>
    <xf numFmtId="0" fontId="12" fillId="14" borderId="0" xfId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6" fillId="0" borderId="0" xfId="1" applyFont="1" applyAlignment="1">
      <alignment vertical="center" wrapText="1"/>
    </xf>
    <xf numFmtId="0" fontId="0" fillId="0" borderId="0" xfId="0" applyAlignment="1">
      <alignment horizontal="center"/>
    </xf>
    <xf numFmtId="0" fontId="23" fillId="0" borderId="0" xfId="0" applyFont="1"/>
    <xf numFmtId="49" fontId="25" fillId="15" borderId="12" xfId="0" applyNumberFormat="1" applyFont="1" applyFill="1" applyBorder="1" applyAlignment="1">
      <alignment horizontal="center" vertical="center" wrapText="1"/>
    </xf>
    <xf numFmtId="49" fontId="25" fillId="15" borderId="13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49" fontId="26" fillId="0" borderId="14" xfId="0" applyNumberFormat="1" applyFont="1" applyBorder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2" xfId="0" applyBorder="1"/>
    <xf numFmtId="0" fontId="6" fillId="10" borderId="15" xfId="0" applyFont="1" applyFill="1" applyBorder="1"/>
    <xf numFmtId="0" fontId="0" fillId="0" borderId="16" xfId="0" applyBorder="1"/>
    <xf numFmtId="0" fontId="6" fillId="8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6" fillId="10" borderId="20" xfId="0" applyFont="1" applyFill="1" applyBorder="1"/>
    <xf numFmtId="0" fontId="6" fillId="10" borderId="21" xfId="0" applyFont="1" applyFill="1" applyBorder="1"/>
    <xf numFmtId="0" fontId="0" fillId="0" borderId="21" xfId="0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9" fillId="13" borderId="0" xfId="0" applyFont="1" applyFill="1" applyBorder="1" applyAlignment="1">
      <alignment horizontal="left" vertical="center" wrapText="1" indent="2"/>
    </xf>
    <xf numFmtId="0" fontId="8" fillId="11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4" fillId="12" borderId="0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8" fillId="14" borderId="0" xfId="0" applyFont="1" applyFill="1" applyBorder="1" applyAlignment="1">
      <alignment horizontal="left" vertical="center" wrapText="1"/>
    </xf>
    <xf numFmtId="0" fontId="19" fillId="14" borderId="0" xfId="1" applyFont="1" applyFill="1" applyBorder="1" applyAlignment="1">
      <alignment horizontal="center" vertical="center" wrapText="1"/>
    </xf>
    <xf numFmtId="0" fontId="19" fillId="14" borderId="4" xfId="1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left" vertical="center" wrapText="1" indent="2"/>
    </xf>
    <xf numFmtId="0" fontId="20" fillId="0" borderId="8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4" fillId="14" borderId="4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8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91DEFF"/>
          <bgColor rgb="FF91DE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91DEFF"/>
          <bgColor rgb="FF91DE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91DEFF"/>
          <bgColor rgb="FF91DE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91DEFF"/>
          <bgColor rgb="FF91DE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8CBAD"/>
          <bgColor rgb="FFF8CBA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au1" displayName="Tableau1" ref="A2:CM40" totalsRowShown="0" headerRowDxfId="819" dataDxfId="817" headerRowBorderDxfId="818" tableBorderDxfId="816" totalsRowBorderDxfId="815">
  <autoFilter ref="A2:CM40"/>
  <tableColumns count="91">
    <tableColumn id="1" name="Centres sociaux" dataDxfId="814"/>
    <tableColumn id="2" name="Périmètres NPNRU" dataDxfId="813"/>
    <tableColumn id="3" name="Contrats de Ville 2024 (CDV)" dataDxfId="812"/>
    <tableColumn id="4" name="Cités éducatives" dataDxfId="811"/>
    <tableColumn id="5" name="Grands quartiers" dataDxfId="810"/>
    <tableColumn id="6" name="Mairies de quartiers" dataDxfId="809"/>
    <tableColumn id="7" name="Libellé de l'Iris" dataDxfId="808"/>
    <tableColumn id="8" name="Population" dataDxfId="807" dataCellStyle="Normal"/>
    <tableColumn id="9" name="Pop 0-2 ans" dataDxfId="806" dataCellStyle="Normal"/>
    <tableColumn id="10" name="Pop 3-5 ans" dataDxfId="805" dataCellStyle="Normal"/>
    <tableColumn id="11" name="Pop 6-10 ans" dataDxfId="804" dataCellStyle="Normal"/>
    <tableColumn id="12" name="Pop 11-17 ans" dataDxfId="803" dataCellStyle="Normal"/>
    <tableColumn id="13" name="Pop 18-24 ans" dataDxfId="802" dataCellStyle="Normal"/>
    <tableColumn id="14" name="Pop 25-39 ans" dataDxfId="801" dataCellStyle="Normal"/>
    <tableColumn id="15" name="Pop 40-54 ans" dataDxfId="800" dataCellStyle="Normal"/>
    <tableColumn id="16" name="Pop 55-64 ans" dataDxfId="799" dataCellStyle="Normal"/>
    <tableColumn id="17" name="Pop 65-79 ans" dataDxfId="798" dataCellStyle="Normal"/>
    <tableColumn id="18" name="Pop 80 ans ou plus" dataDxfId="797" dataCellStyle="Normal"/>
    <tableColumn id="19" name="Pop 0-14 ans" dataDxfId="796" dataCellStyle="Normal"/>
    <tableColumn id="20" name="Pop 15-29 ans" dataDxfId="795" dataCellStyle="Normal"/>
    <tableColumn id="21" name="Pop 30-44 ans" dataDxfId="794" dataCellStyle="Normal"/>
    <tableColumn id="22" name="Pop 45-59 ans" dataDxfId="793" dataCellStyle="Normal"/>
    <tableColumn id="23" name="Pop 60-74 ans" dataDxfId="792" dataCellStyle="Normal"/>
    <tableColumn id="24" name="Pop 75 ans ou plus" dataDxfId="791" dataCellStyle="Normal"/>
    <tableColumn id="25" name="Pop 0-19 ans" dataDxfId="790" dataCellStyle="Normal"/>
    <tableColumn id="26" name="Pop 20-64 ans" dataDxfId="789" dataCellStyle="Normal"/>
    <tableColumn id="27" name="Pop 65 ans ou plus" dataDxfId="788" dataCellStyle="Normal"/>
    <tableColumn id="28" name="Pop Hommes" dataDxfId="787" dataCellStyle="Normal"/>
    <tableColumn id="29" name="Pop Hommes 0-14 ans" dataDxfId="786" dataCellStyle="Normal"/>
    <tableColumn id="30" name="Pop Hommes 15-29 ans" dataDxfId="785" dataCellStyle="Normal"/>
    <tableColumn id="31" name="Pop Hommes 30-44 ans" dataDxfId="784" dataCellStyle="Normal"/>
    <tableColumn id="32" name="Pop Hommes 45-59 ans" dataDxfId="783" dataCellStyle="Normal"/>
    <tableColumn id="33" name="Pop Hommes 60-74 ans" dataDxfId="782" dataCellStyle="Normal"/>
    <tableColumn id="34" name="Pop Hommes 75 ans ou plus" dataDxfId="781" dataCellStyle="Normal"/>
    <tableColumn id="35" name="Pop Hommes 0-19 ans" dataDxfId="780" dataCellStyle="Normal"/>
    <tableColumn id="36" name="Pop Hommes 20-64 ans" dataDxfId="779" dataCellStyle="Normal"/>
    <tableColumn id="37" name="Pop Hommes 65 ans ou plus" dataDxfId="778" dataCellStyle="Normal"/>
    <tableColumn id="38" name="Pop Femmes" dataDxfId="777" dataCellStyle="Normal"/>
    <tableColumn id="39" name="Pop Femmes 0-14 ans" dataDxfId="776" dataCellStyle="Normal"/>
    <tableColumn id="40" name="Pop Femmes 15-29 ans" dataDxfId="775" dataCellStyle="Normal"/>
    <tableColumn id="41" name="Pop Femmes 30-44 ans" dataDxfId="774" dataCellStyle="Normal"/>
    <tableColumn id="42" name="Pop Femmes 45-59 ans" dataDxfId="773" dataCellStyle="Normal"/>
    <tableColumn id="43" name="Pop Femmes 60-74 ans" dataDxfId="772" dataCellStyle="Normal"/>
    <tableColumn id="44" name="Pop Femmes 75 ans ou plus" dataDxfId="771" dataCellStyle="Normal"/>
    <tableColumn id="45" name="Pop Femmes 0-19 ans" dataDxfId="770" dataCellStyle="Normal"/>
    <tableColumn id="46" name="Pop Femmes 20-64 ans" dataDxfId="769" dataCellStyle="Normal"/>
    <tableColumn id="47" name="Pop Femmes 65 ans ou plus" dataDxfId="768" dataCellStyle="Normal"/>
    <tableColumn id="48" name="Pop 15 ans ou plus" dataDxfId="767" dataCellStyle="Normal"/>
    <tableColumn id="49" name="Pop 15 ans ou plus Agriculteurs exploitants" dataDxfId="766" dataCellStyle="Normal"/>
    <tableColumn id="50" name="Pop 15 ans ou plus Artisans, Comm., Chefs entr." dataDxfId="765" dataCellStyle="Normal"/>
    <tableColumn id="51" name="Pop 15 ans ou plus Cadres, Prof. intel. sup." dataDxfId="764" dataCellStyle="Normal"/>
    <tableColumn id="52" name="Pop 15 ans ou plus Prof. intermédiaires" dataDxfId="763" dataCellStyle="Normal"/>
    <tableColumn id="53" name="Pop 15 ans ou plus Employés" dataDxfId="762" dataCellStyle="Normal"/>
    <tableColumn id="54" name="Pop 15 ans ou plus Ouvriers" dataDxfId="761" dataCellStyle="Normal"/>
    <tableColumn id="55" name="Pop 15 ans ou plus Retraités" dataDxfId="760" dataCellStyle="Normal"/>
    <tableColumn id="56" name="Pop 15 ans ou plus Autres" dataDxfId="759" dataCellStyle="Normal"/>
    <tableColumn id="57" name="Pop 15 ans ou plus Hommes" dataDxfId="758" dataCellStyle="Normal"/>
    <tableColumn id="58" name="Pop 15 ans ou plus Hommes Agriculteurs exploitants" dataDxfId="757" dataCellStyle="Normal"/>
    <tableColumn id="59" name="Pop 15 ans ou plus Hommes Artisans, Comm., Chefs entr." dataDxfId="756" dataCellStyle="Normal"/>
    <tableColumn id="60" name="Pop 15 ans ou plus Hommes Cadres, Prof. intel. sup." dataDxfId="755" dataCellStyle="Normal"/>
    <tableColumn id="61" name="Pop 15 ans ou plus Hommes Prof. intermédiaires" dataDxfId="754" dataCellStyle="Normal"/>
    <tableColumn id="62" name="Pop 15 ans ou plus Hommes Employés" dataDxfId="753" dataCellStyle="Normal"/>
    <tableColumn id="63" name="Pop 15 ans ou plus Hommes Ouvriers" dataDxfId="752" dataCellStyle="Normal"/>
    <tableColumn id="64" name="Pop 15 ans ou plus Hommes Retraités" dataDxfId="751" dataCellStyle="Normal"/>
    <tableColumn id="65" name="Pop 15 ans ou plus Hommes Autres" dataDxfId="750" dataCellStyle="Normal"/>
    <tableColumn id="66" name="Pop 15 ans ou plus Femmes" dataDxfId="749" dataCellStyle="Normal"/>
    <tableColumn id="67" name="Pop 15 ans ou plus Femmes Agriculteurs exploitants" dataDxfId="748" dataCellStyle="Normal"/>
    <tableColumn id="68" name="Pop 15 ans ou plus Femmes Artisans, Comm., Chefs entr." dataDxfId="747" dataCellStyle="Normal"/>
    <tableColumn id="69" name="Pop 15 ans ou plus Femmes Cadres, Prof. intel. sup." dataDxfId="746" dataCellStyle="Normal"/>
    <tableColumn id="70" name="Pop 15 ans ou plus Femmes Prof. intermédiaires" dataDxfId="745" dataCellStyle="Normal"/>
    <tableColumn id="71" name="Pop 15 ans ou plus Femmes Employés" dataDxfId="744" dataCellStyle="Normal"/>
    <tableColumn id="72" name="Pop 15 ans ou plus Femmes Ouvriers" dataDxfId="743" dataCellStyle="Normal"/>
    <tableColumn id="73" name="Pop 15 ans ou plus Femmes Retraités" dataDxfId="742" dataCellStyle="Normal"/>
    <tableColumn id="74" name="Pop 15 ans ou plus Femmes Autres" dataDxfId="741" dataCellStyle="Normal"/>
    <tableColumn id="75" name="Pop Français" dataDxfId="740" dataCellStyle="Normal"/>
    <tableColumn id="76" name="Pop Etrangers" dataDxfId="739" dataCellStyle="Normal"/>
    <tableColumn id="77" name="Pop Immigrés" dataDxfId="738" dataCellStyle="Normal"/>
    <tableColumn id="78" name="Pop ménages" dataDxfId="737" dataCellStyle="Normal"/>
    <tableColumn id="79" name="Pop hors ménages" dataDxfId="736" dataCellStyle="Normal"/>
    <tableColumn id="80" name="Superficie en km²" dataDxfId="735" dataCellStyle="Normal"/>
    <tableColumn id="81" name="Superficie en hectares (POP)" dataDxfId="734" dataCellStyle="Normal"/>
    <tableColumn id="82" name="Densité de population en hab/km²" dataDxfId="733" dataCellStyle="Normal"/>
    <tableColumn id="83" name="Part de la population de l’IRIS dans la population totale (%)" dataDxfId="732" dataCellStyle="Normal"/>
    <tableColumn id="84" name="Densité d’habitants à l’hectare" dataDxfId="731" dataCellStyle="Normal"/>
    <tableColumn id="85" name="Population de plus de 60 ans" dataDxfId="730" dataCellStyle="Normal"/>
    <tableColumn id="86" name="Part de la population de plus de 60 ans (%) parmi la population iris" dataDxfId="729" dataCellStyle="Normal"/>
    <tableColumn id="87" name="Part de la population de moins de 20 ans (%) parmi la population iris" dataDxfId="728" dataCellStyle="Normal"/>
    <tableColumn id="88" name="Indice de jeunesse" dataDxfId="727" dataCellStyle="Normal"/>
    <tableColumn id="89" name="Indice de vieillissement" dataDxfId="726" dataCellStyle="Normal"/>
    <tableColumn id="90" name="Part de la population étrangère parmi la population iris (%)" dataDxfId="725" dataCellStyle="Normal"/>
    <tableColumn id="91" name="Part de la population immigrée parmi la population iris (%)" dataDxfId="724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2:EB40" totalsRowShown="0" headerRowDxfId="723" dataDxfId="721" headerRowBorderDxfId="722" tableBorderDxfId="720" totalsRowBorderDxfId="719">
  <autoFilter ref="A2:EB40"/>
  <tableColumns count="132">
    <tableColumn id="1" name="Centres sociaux" dataDxfId="718"/>
    <tableColumn id="2" name="Périmètres NPNRU" dataDxfId="717"/>
    <tableColumn id="3" name="Contrats de Ville 2024 (CDV)" dataDxfId="716"/>
    <tableColumn id="4" name="Cités éducatives" dataDxfId="715"/>
    <tableColumn id="5" name="Grands quartiers" dataDxfId="714"/>
    <tableColumn id="6" name="Mairies de quartiers" dataDxfId="713"/>
    <tableColumn id="7" name="Libellé de l'Iris" dataDxfId="712"/>
    <tableColumn id="8" name="Pop 15-64 ans" dataDxfId="711"/>
    <tableColumn id="9" name="Pop 15-24 ans" dataDxfId="710"/>
    <tableColumn id="10" name="Pop 25-54 ans" dataDxfId="709"/>
    <tableColumn id="11" name="Pop 55-64 ans" dataDxfId="708"/>
    <tableColumn id="12" name="Pop 15-64 ans Hommes" dataDxfId="707"/>
    <tableColumn id="13" name="Pop 15-24 ans Hommes" dataDxfId="706"/>
    <tableColumn id="14" name="Pop 25-54 ans Hommes" dataDxfId="705"/>
    <tableColumn id="15" name="Pop 55-64 ans Hommes" dataDxfId="704"/>
    <tableColumn id="16" name="Pop 15-64 ans Femmes" dataDxfId="703"/>
    <tableColumn id="17" name="Pop 15-24 ans Femmes" dataDxfId="702"/>
    <tableColumn id="18" name="Pop 25-54 ans Femmes" dataDxfId="701"/>
    <tableColumn id="19" name="Pop 55-64 ans Femmes" dataDxfId="700"/>
    <tableColumn id="20" name="Actifs 15-64 ans" dataDxfId="699"/>
    <tableColumn id="21" name="Actifs 15-24 ans" dataDxfId="698"/>
    <tableColumn id="22" name="Actifs 25-54 ans" dataDxfId="697"/>
    <tableColumn id="23" name="Actifs 55-64 ans" dataDxfId="696"/>
    <tableColumn id="24" name="Actifs 15-64 ans Hommes" dataDxfId="695"/>
    <tableColumn id="25" name="Actifs 15-24 ans Hommes" dataDxfId="694"/>
    <tableColumn id="26" name="Actifs 25-54 ans Hommes" dataDxfId="693"/>
    <tableColumn id="27" name="Actifs 55-64 ans Hommes" dataDxfId="692"/>
    <tableColumn id="28" name="Actifs 15-64 ans Femmes" dataDxfId="691"/>
    <tableColumn id="29" name="Actifs 15-24 ans Femmes" dataDxfId="690"/>
    <tableColumn id="30" name="Actifs 25-54 ans Femmes" dataDxfId="689"/>
    <tableColumn id="31" name="Actifs 55-64 ans Femmes" dataDxfId="688"/>
    <tableColumn id="32" name="Actifs occupés 15-64 ans" dataDxfId="687"/>
    <tableColumn id="33" name="Actifs occupés 15-24 ans" dataDxfId="686"/>
    <tableColumn id="34" name="Actifs occupés 25-54 ans" dataDxfId="685"/>
    <tableColumn id="35" name="Actifs occupés 55-64 ans" dataDxfId="684"/>
    <tableColumn id="36" name="Actifs occupés 15-64 ans Hommes" dataDxfId="683"/>
    <tableColumn id="37" name="Actifs occupés 15-24 ans Hommes" dataDxfId="682"/>
    <tableColumn id="38" name="Actifs occupés 25-54 ans Hommes" dataDxfId="681"/>
    <tableColumn id="39" name="Actifs occupés 55-64 ans Hommes" dataDxfId="680"/>
    <tableColumn id="40" name="Actifs occupés 15-64 ans Femmes" dataDxfId="679"/>
    <tableColumn id="41" name="Actifs occupés 15-24 ans Femmes" dataDxfId="678"/>
    <tableColumn id="42" name="Actifs occupés 25-54 ans Femmes" dataDxfId="677"/>
    <tableColumn id="43" name="Chômeurs CAP-BEP ou équiv." dataDxfId="676"/>
    <tableColumn id="44" name="Actifs occupés 55-64 ans Femmes" dataDxfId="675"/>
    <tableColumn id="45" name="Chômeurs Bac, brevet pro. ou équiv." dataDxfId="674"/>
    <tableColumn id="46" name="Chômeurs 15-64 ans" dataDxfId="673"/>
    <tableColumn id="47" name="Chômeurs Enseignement sup de niveau bac + 2" dataDxfId="672"/>
    <tableColumn id="48" name="Chômeurs 15-24 ans" dataDxfId="671"/>
    <tableColumn id="49" name="Chômeurs Enseignement sup de niveau bac + 3 ou 4" dataDxfId="670"/>
    <tableColumn id="50" name="Chômeurs 25-54 ans" dataDxfId="669"/>
    <tableColumn id="51" name="Chômeurs Enseignement sup de niveau bac + 5 ou plus" dataDxfId="668"/>
    <tableColumn id="52" name="Chômeurs 55-64 ans" dataDxfId="667"/>
    <tableColumn id="53" name="Actifs Sans diplôme ou CEP" dataDxfId="666"/>
    <tableColumn id="54" name="Chômeurs Sans diplôme ou CEP" dataDxfId="665"/>
    <tableColumn id="55" name="Actifs BEPC, brevet des collèges, DNB" dataDxfId="664"/>
    <tableColumn id="56" name="Chômeurs BEPC, brevet des collèges, DNB" dataDxfId="663"/>
    <tableColumn id="57" name="Actifs CAP-BEP ou équiv." dataDxfId="662"/>
    <tableColumn id="58" name="Actifs Bac, brevet pro. ou équiv." dataDxfId="661"/>
    <tableColumn id="59" name="Actifs Enseignement sup de niveau bac + 2" dataDxfId="660"/>
    <tableColumn id="60" name="Actifs Enseignement sup de niveau bac + 3 ou 4" dataDxfId="659"/>
    <tableColumn id="61" name="Actifs Enseignement sup de niveau bac + 5 ou plus" dataDxfId="658"/>
    <tableColumn id="62" name="Inactifs 15-64 ans" dataDxfId="657"/>
    <tableColumn id="63" name="Inactifs 15-64 ans Hommes" dataDxfId="656"/>
    <tableColumn id="64" name="Inactifs 15-64 ans Femmes" dataDxfId="655"/>
    <tableColumn id="65" name="Elèv. Etud. Stag. non rémunérés 15-64 ans" dataDxfId="654"/>
    <tableColumn id="66" name="Elèv. Etud. Stag. non rémunérés 15-64 ans Hommes" dataDxfId="653"/>
    <tableColumn id="67" name="Elèv. Etud. Stag. non rémunérés 15-64 ans Femmes" dataDxfId="652"/>
    <tableColumn id="68" name="Retraités Préretraités 15-64 ans" dataDxfId="651"/>
    <tableColumn id="69" name="Retraités Préretraités 15-64 ans Hommes" dataDxfId="650"/>
    <tableColumn id="70" name="Retraités Préretraités 15-64 ans Femmes" dataDxfId="649"/>
    <tableColumn id="71" name="Autres inactifs 15-64 ans" dataDxfId="648"/>
    <tableColumn id="72" name="Autres inactifs 15-64 ans Hommes" dataDxfId="647"/>
    <tableColumn id="73" name="Autres inactifs 15-64 ans Femmes" dataDxfId="646"/>
    <tableColumn id="74" name="Actifs 15-64 ans Agriculteurs exploitants" dataDxfId="645"/>
    <tableColumn id="75" name="Actifs 15-64 ans Artisans, Comm., Chefs entr." dataDxfId="644"/>
    <tableColumn id="76" name="Actifs 15-64 ans Cadres, Prof. intel. sup." dataDxfId="643"/>
    <tableColumn id="77" name="Actifs 15-64 ans Prof. intermédiaires" dataDxfId="642"/>
    <tableColumn id="78" name="Actifs 15-64 ans Employés" dataDxfId="641"/>
    <tableColumn id="79" name="Actifs 15-64 ans Ouvriers" dataDxfId="640"/>
    <tableColumn id="80" name="Actifs occ 15-64 ans Agriculteurs exploitants" dataDxfId="639"/>
    <tableColumn id="81" name="Actifs occ 15-64 ans Artisans, Comm., Chefs entr." dataDxfId="638"/>
    <tableColumn id="82" name="Actifs occ 15-64 ans Cadres Prof. intel. sup." dataDxfId="637"/>
    <tableColumn id="83" name="Actifs occ 15-64 ans Prof. intermédiaires" dataDxfId="636"/>
    <tableColumn id="84" name="Actifs occupés 15-64 ans Employés" dataDxfId="635"/>
    <tableColumn id="85" name="Actifs occupés 15-64 ans Ouvriers" dataDxfId="634"/>
    <tableColumn id="86" name="Actifs occupés 15 ans ou plus" dataDxfId="633"/>
    <tableColumn id="87" name="Actifs occupés 15 ans ou plus Hommes" dataDxfId="632"/>
    <tableColumn id="88" name="Actifs occupés 15 ans ou plus Femmes" dataDxfId="631"/>
    <tableColumn id="89" name="Salariés 15 ans ou plus" dataDxfId="630"/>
    <tableColumn id="90" name="Salariés 15 ans ou plus Hommes" dataDxfId="629"/>
    <tableColumn id="91" name="Salariés 15 ans ou plus Femmes" dataDxfId="628"/>
    <tableColumn id="92" name="Non-salariés 15 ans ou plus" dataDxfId="627"/>
    <tableColumn id="93" name="Non-salariés 15 ans ou plus Hommes" dataDxfId="626"/>
    <tableColumn id="94" name="Non-salariés 15 ans ou plus Femmes" dataDxfId="625"/>
    <tableColumn id="95" name="Actifs occ 15 ans ou plus TP" dataDxfId="624"/>
    <tableColumn id="96" name="Salariés 15 ans ou plus TP" dataDxfId="623"/>
    <tableColumn id="97" name="Salariés 15 ans ou plus TP Hommes" dataDxfId="622"/>
    <tableColumn id="98" name="Salariés 15 ans ou plus TP Femmes" dataDxfId="621"/>
    <tableColumn id="99" name="Non-salariés 15 ans ou plus TP" dataDxfId="620"/>
    <tableColumn id="100" name="Salariés 15 ans ou plus Fonct publ, CDI" dataDxfId="619"/>
    <tableColumn id="101" name="Salariés 15 ans ou plus CDD" dataDxfId="618"/>
    <tableColumn id="102" name="Salariés 15 ans ou plus Intérim" dataDxfId="617"/>
    <tableColumn id="103" name="Salariés 15 ans ou plus Emplois aidés" dataDxfId="616"/>
    <tableColumn id="104" name="Salariés 15 ans ou plus Apprentissage - Stage" dataDxfId="615"/>
    <tableColumn id="105" name="Non-salariés 15 ans ou plus Indépendants" dataDxfId="614"/>
    <tableColumn id="106" name="Non-salariés 15 ans ou plus Employeurs" dataDxfId="613"/>
    <tableColumn id="107" name="Non-salariés 15 ans ou plus Aides familiaux" dataDxfId="612"/>
    <tableColumn id="108" name="Actif occ 15 ans ou plus travaille commune résidence" dataDxfId="611"/>
    <tableColumn id="109" name="Actif occ 15 ans ou plus travaille autre commune que commune résidence" dataDxfId="610"/>
    <tableColumn id="110" name="Actif occ 15 ans ou plus travaille autre commune même dépt résidence" dataDxfId="609"/>
    <tableColumn id="111" name="Actif occ 15 ans ou plus travaille autre dépt même région résidence" dataDxfId="608"/>
    <tableColumn id="112" name="Actif occ 15 ans ou plus travaille autre région en métropole" dataDxfId="607"/>
    <tableColumn id="113" name="Actif occ 15 ans ou plus travaille autre région hors métropole" dataDxfId="606"/>
    <tableColumn id="114" name="Actifs occ 15 ans ou plus pas de transport pour travail" dataDxfId="605"/>
    <tableColumn id="115" name="Actifs occ 15 ans ou plus marche à pied pour travail" dataDxfId="604"/>
    <tableColumn id="116" name="Actifs occ 15 ans ou plus vélo" dataDxfId="603"/>
    <tableColumn id="117" name="Actifs occ 15 ans ou plus deux-roues motorisé" dataDxfId="602"/>
    <tableColumn id="118" name="Actifs occ 15 ans ou plus voiture" dataDxfId="601"/>
    <tableColumn id="119" name="Actifs occ 15 ans ou plus transport en commun" dataDxfId="600"/>
    <tableColumn id="120" name="Superficie en km²" dataDxfId="599"/>
    <tableColumn id="121" name="Population (ACT RES)" dataDxfId="598"/>
    <tableColumn id="122" name="Part de la population en âge de travailler (%)" dataDxfId="597"/>
    <tableColumn id="123" name="Part de la population active dans la population en âge de travailler (%)" dataDxfId="596"/>
    <tableColumn id="124" name="Part des actifs 15-24 ans (%)" dataDxfId="595"/>
    <tableColumn id="125" name="Taux d’emploi des 15-64 ans (%)" dataDxfId="594"/>
    <tableColumn id="126" name="Taux d’emploi des 15-24 ans (%)" dataDxfId="593"/>
    <tableColumn id="127" name="Taux de chômage dans la pop active (%)" dataDxfId="592"/>
    <tableColumn id="128" name="Taux de chômage chez les 15-24 ans dans la pop active (%)" dataDxfId="591"/>
    <tableColumn id="129" name="Part salariés chez les actifs occupés (%)" dataDxfId="590"/>
    <tableColumn id="130" name="Part des femmes chez les salariés de 15 ans et plus (%)" dataDxfId="589"/>
    <tableColumn id="131" name="Part des actifs occupés salariés en CDI ou fonction publique (%)" dataDxfId="588"/>
    <tableColumn id="132" name="Part des actifs occupés travaillant dans la commune de résidence (%)" dataDxfId="58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2:CL40" totalsRowShown="0" headerRowDxfId="586" dataDxfId="584" headerRowBorderDxfId="585" tableBorderDxfId="583" totalsRowBorderDxfId="582">
  <autoFilter ref="A2:CL40"/>
  <tableColumns count="90">
    <tableColumn id="1" name="Centres sociaux" dataDxfId="581"/>
    <tableColumn id="2" name="Périmètres NPNRU" dataDxfId="580"/>
    <tableColumn id="3" name="Contrats de Ville 2024 (CDV)" dataDxfId="579"/>
    <tableColumn id="4" name="Cités éducatives" dataDxfId="578"/>
    <tableColumn id="5" name="Grands quartiers" dataDxfId="577"/>
    <tableColumn id="6" name="Mairies de quartiers" dataDxfId="576"/>
    <tableColumn id="7" name="Libellé de l'Iris" dataDxfId="575"/>
    <tableColumn id="8" name="Ménages" dataDxfId="574"/>
    <tableColumn id="9" name="Ménages 1 personne" dataDxfId="573"/>
    <tableColumn id="10" name="Ménages Hommes seuls" dataDxfId="572"/>
    <tableColumn id="11" name="Ménages Femmes seules" dataDxfId="571"/>
    <tableColumn id="12" name="Ménages Autres sans famille" dataDxfId="570"/>
    <tableColumn id="13" name="Ménages avec famille(s)" dataDxfId="569"/>
    <tableColumn id="14" name="Mén fam princ Couple sans enfant" dataDxfId="568"/>
    <tableColumn id="15" name="Mén fam princ Couple avec enfant(s)" dataDxfId="567"/>
    <tableColumn id="16" name="Mén fam princ Famille mono" dataDxfId="566"/>
    <tableColumn id="17" name="Pop Ménages" dataDxfId="565"/>
    <tableColumn id="18" name="Pop mén Personnes seules" dataDxfId="564"/>
    <tableColumn id="19" name="Pop mén Hommes seuls" dataDxfId="563"/>
    <tableColumn id="20" name="Pop mén Femmes seules" dataDxfId="562"/>
    <tableColumn id="21" name="Pop mén Autres sans famille" dataDxfId="561"/>
    <tableColumn id="22" name="Pop mén avec famille(s)" dataDxfId="560"/>
    <tableColumn id="23" name="Pop mén fam princ Couple sans enfant" dataDxfId="559"/>
    <tableColumn id="24" name="Pop mén fam princ Couple avec enfant(s)" dataDxfId="558"/>
    <tableColumn id="25" name="Pop mén fam princ Famille mono" dataDxfId="557"/>
    <tableColumn id="26" name="Pop 15 ans ou plus" dataDxfId="556"/>
    <tableColumn id="27" name="Pop 15-24 ans" dataDxfId="555"/>
    <tableColumn id="28" name="Pop 25-54 ans" dataDxfId="554"/>
    <tableColumn id="29" name="Pop 55-79 ans" dataDxfId="553"/>
    <tableColumn id="30" name="Pop 80 ans ou plus" dataDxfId="552"/>
    <tableColumn id="31" name="Pop mén 15 ans ou plus" dataDxfId="551"/>
    <tableColumn id="32" name="Pop mén 15-24 ans" dataDxfId="550"/>
    <tableColumn id="33" name="Pop mén 25-54 ans" dataDxfId="549"/>
    <tableColumn id="34" name="Pop mén 55-79 ans" dataDxfId="548"/>
    <tableColumn id="35" name="Pop mén 80 ans ou plus" dataDxfId="547"/>
    <tableColumn id="36" name="Pop 15 ans ou plus ans vivant seule" dataDxfId="546"/>
    <tableColumn id="37" name="Pop 15-24 ans vivant seule" dataDxfId="545"/>
    <tableColumn id="38" name="Pop 25-54 ans vivant seule" dataDxfId="544"/>
    <tableColumn id="39" name="Pop 15 ans ou plus vivant seule" dataDxfId="543"/>
    <tableColumn id="40" name="Pop 80 ans ou plus vivant seule" dataDxfId="542"/>
    <tableColumn id="41" name="Pop 15 ans ou plus mariée" dataDxfId="541"/>
    <tableColumn id="42" name="Pop 15 ans ou plus pacsée" dataDxfId="540"/>
    <tableColumn id="43" name="Pop 15 ans ou plus en concubinage ou union libre" dataDxfId="539"/>
    <tableColumn id="44" name="Pop 15 ans ou plus veuves ou veufs" dataDxfId="538"/>
    <tableColumn id="45" name="Pop 15 ans ou plus divorcée" dataDxfId="537"/>
    <tableColumn id="46" name="Pop 15 ans ou plus célibataire" dataDxfId="536"/>
    <tableColumn id="47" name="Ménages Pers Réf Agri. expl." dataDxfId="535"/>
    <tableColumn id="48" name="Ménages Pers Réf Art. Comm. Chef entr." dataDxfId="534"/>
    <tableColumn id="49" name="Ménages Pers Réf Cadre Prof int sup" dataDxfId="533"/>
    <tableColumn id="50" name="Ménages Pers Réf Prof intermédiaire" dataDxfId="532"/>
    <tableColumn id="51" name="Ménages Pers Réf Employé" dataDxfId="531"/>
    <tableColumn id="52" name="Ménages Pers Réf Ouvrier" dataDxfId="530"/>
    <tableColumn id="53" name="Ménages Pers Réf Retraité" dataDxfId="529"/>
    <tableColumn id="54" name="Ménages Pers Réf Autre" dataDxfId="528"/>
    <tableColumn id="55" name="Pop mén Pers Réf Agri. expl." dataDxfId="527"/>
    <tableColumn id="56" name="Pop mén Pers Réf Art Com Chef entr." dataDxfId="526"/>
    <tableColumn id="57" name="Pop mén Pers Réf Cadre Prof int sup" dataDxfId="525"/>
    <tableColumn id="58" name="Pop mén Pers Réf Prof intermédiaire" dataDxfId="524"/>
    <tableColumn id="59" name="Pop mén Pers Réf Employé" dataDxfId="523"/>
    <tableColumn id="60" name="Pop mén Pers Réf Ouvrier" dataDxfId="522"/>
    <tableColumn id="61" name="Pop mén Pers Réf Retraité" dataDxfId="521"/>
    <tableColumn id="62" name="Pop mén Pers Réf Autre" dataDxfId="520"/>
    <tableColumn id="63" name="Familles" dataDxfId="519"/>
    <tableColumn id="64" name="Fam Couple avec enfant(s)" dataDxfId="518"/>
    <tableColumn id="65" name="Fam Monoparentales" dataDxfId="517"/>
    <tableColumn id="66" name="Fam Couple sans enfant" dataDxfId="516"/>
    <tableColumn id="67" name="Fam 0 enfant moins 25 ans" dataDxfId="515"/>
    <tableColumn id="68" name="Fam 1 enfant moins 25 ans" dataDxfId="514"/>
    <tableColumn id="69" name="Fam 2 enfants moins 25 ans" dataDxfId="513"/>
    <tableColumn id="70" name="Fam 3 enfants moins 25 ans" dataDxfId="512"/>
    <tableColumn id="71" name="Fam 4 enfants ou plus moins 25 ans" dataDxfId="511"/>
    <tableColumn id="72" name="Ménages 1 famille" dataDxfId="510"/>
    <tableColumn id="73" name="Mén fam formée Couple sans enfant" dataDxfId="509"/>
    <tableColumn id="74" name="Mén fam formée Couple avec enfant(s)" dataDxfId="508"/>
    <tableColumn id="75" name="Mén fam formée Couple avec uniq enfant(s) Couple" dataDxfId="507"/>
    <tableColumn id="76" name="Ménages Famille mono" dataDxfId="506"/>
    <tableColumn id="77" name="Pop mén famille" dataDxfId="505"/>
    <tableColumn id="78" name="Pop mén fam formée Couple sans enfant" dataDxfId="504"/>
    <tableColumn id="79" name="Pop mén fam formée Couple avec uniq enfant(s) Couple" dataDxfId="503"/>
    <tableColumn id="80" name="Pop mén fam formée Couple avec mini 1 enfant 1 des 2 Couple" dataDxfId="502"/>
    <tableColumn id="81" name="Pop Ménages Famille mono" dataDxfId="501"/>
    <tableColumn id="82" name="Fam Couple avec uniq enfant(s) Couple" dataDxfId="500"/>
    <tableColumn id="83" name="Fam Couple avec mini 1 enfant 1 des 2 Couple" dataDxfId="499"/>
    <tableColumn id="84" name="Superficie en km²" dataDxfId="498"/>
    <tableColumn id="85" name="Part des ménages avec famille(s) (%)" dataDxfId="497"/>
    <tableColumn id="86" name="Part des ménages famille couple avec enfant(s) (%)" dataDxfId="496"/>
    <tableColumn id="87" name="Part des familles couple avec enfant(s) (%)" dataDxfId="495"/>
    <tableColumn id="88" name="Part de familles monoparentales (%)" dataDxfId="494"/>
    <tableColumn id="89" name="Nombre de familles nombreuses" dataDxfId="493"/>
    <tableColumn id="90" name="Part de familles nombreuses (%)" dataDxfId="49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au4" displayName="Tableau4" ref="A2:AW40" totalsRowShown="0" headerRowDxfId="491" dataDxfId="489" headerRowBorderDxfId="490" tableBorderDxfId="488" totalsRowBorderDxfId="487">
  <autoFilter ref="A2:AW40"/>
  <tableColumns count="49">
    <tableColumn id="1" name="Centres sociaux" dataDxfId="486"/>
    <tableColumn id="2" name="Périmètres NPNRU" dataDxfId="485"/>
    <tableColumn id="3" name="Contrats de Ville 2024 (CDV)" dataDxfId="484"/>
    <tableColumn id="4" name="Cités éducatives" dataDxfId="483"/>
    <tableColumn id="5" name="Grands quartiers" dataDxfId="482"/>
    <tableColumn id="6" name="Mairies de quartiers" dataDxfId="481"/>
    <tableColumn id="7" name="Libellé de l'Iris" dataDxfId="480"/>
    <tableColumn id="8" name="Pop 2-5 ans" dataDxfId="479"/>
    <tableColumn id="9" name="Pop 6-10 ans" dataDxfId="478"/>
    <tableColumn id="10" name="Pop 11-14 ans" dataDxfId="477"/>
    <tableColumn id="11" name="Pop 15-17 ans" dataDxfId="476"/>
    <tableColumn id="12" name="Pop 18-24 ans" dataDxfId="475"/>
    <tableColumn id="13" name="Pop 25-29 ans" dataDxfId="474"/>
    <tableColumn id="14" name="Pop 30 ans ou plus" dataDxfId="473"/>
    <tableColumn id="15" name="Pop scolarisée 2-5 ans" dataDxfId="472"/>
    <tableColumn id="16" name="Pop scolarisée 6-10 ans" dataDxfId="471"/>
    <tableColumn id="17" name="Pop scolarisée 11-14 ans" dataDxfId="470"/>
    <tableColumn id="18" name="Pop scolarisée 15-17 ans" dataDxfId="469"/>
    <tableColumn id="19" name="Pop scolarisée 18-24 ans" dataDxfId="468"/>
    <tableColumn id="20" name="Pop scolarisée 25-29 ans" dataDxfId="467"/>
    <tableColumn id="21" name="Pop scolarisée 30 ans ou plus" dataDxfId="466"/>
    <tableColumn id="22" name="Pop 15 ans ou plus non scolarisée" dataDxfId="465"/>
    <tableColumn id="23" name="Pop 15 ans ou plus non scol. Sans diplôme ou CEP" dataDxfId="464"/>
    <tableColumn id="24" name="Pop 15 ans ou plus non scol. BEPC, brevet des collèges, DNB" dataDxfId="463"/>
    <tableColumn id="25" name="Pop 15 ans ou plus non scol. CAP-BEP ou équiv." dataDxfId="462"/>
    <tableColumn id="26" name="Pop 15 ans ou plus non scol. Bac, brevet pro. ou équiv." dataDxfId="461"/>
    <tableColumn id="27" name="Pop 15 ans ou plus non scol. Enseignement sup de niveau bac + 2" dataDxfId="460"/>
    <tableColumn id="28" name="Pop 15 ans ou plus non scol. Enseignement sup de niveau bac + 3 ou 4" dataDxfId="459"/>
    <tableColumn id="29" name="Pop 15 ans ou plus non scol. Enseignement sup de niveau bac + 5 ou plus" dataDxfId="458"/>
    <tableColumn id="30" name="Hommes 15 ans ou plus non scolarisée" dataDxfId="457"/>
    <tableColumn id="31" name="Hommes 15 ans ou plus non scol. Sans diplôme ou CEP" dataDxfId="456"/>
    <tableColumn id="32" name="Hommes 15 ans ou plus non scol. BEPC, brevet des collèges, DNB" dataDxfId="455"/>
    <tableColumn id="33" name="Hommes 15 ans ou plus non scol. CAP-BEP ou équiv." dataDxfId="454"/>
    <tableColumn id="34" name="Hommes 15 ans ou plus non scol. Bac, brevet pro. ou équiv." dataDxfId="453"/>
    <tableColumn id="35" name="Hommes 15 ans ou plus non scol. Enseignement sup de niveau bac + 2" dataDxfId="452"/>
    <tableColumn id="36" name="Hommes 15 ans ou plus non scol. Enseignement sup de niveau bac + 3 ou 4" dataDxfId="451"/>
    <tableColumn id="37" name="Hommes 15 ans ou plus non scol. Enseignement sup de niveau bac + 5 ou plus" dataDxfId="450"/>
    <tableColumn id="38" name="Femmes 15 ans ou plus non scolarisée" dataDxfId="449"/>
    <tableColumn id="39" name="Femmes 15 ans ou plus non scol. Sans diplôme ou CEP" dataDxfId="448"/>
    <tableColumn id="40" name="Femmes 15 ans ou plus non scol. BEPC, brevet des collèges, DNB" dataDxfId="447"/>
    <tableColumn id="41" name="Femmes 15 ans ou plus non scol. CAP-BEP ou équiv." dataDxfId="446"/>
    <tableColumn id="42" name="Femmes 15 ans ou plus non scol. Bac, brevet pro. ou équiv." dataDxfId="445"/>
    <tableColumn id="43" name="Femmes 15 ans ou plus non scol. Enseignement sup de niveau bac + 2" dataDxfId="444"/>
    <tableColumn id="44" name="Femmes 15 ans ou plus non scol. Enseignement sup de niveau bac + 3 ou 4" dataDxfId="443"/>
    <tableColumn id="45" name="Femmes 15 ans ou plus non scol. Enseignement sup de niveau bac + 5 ou plus" dataDxfId="442"/>
    <tableColumn id="46" name="Superficie en km²" dataDxfId="441"/>
    <tableColumn id="47" name="Part pop 15 ans et plus non scol sans dip ou CEP max (%)" dataDxfId="440"/>
    <tableColumn id="48" name="Pop 15 ans ou plus non scol dipl Ens Sup" dataDxfId="439"/>
    <tableColumn id="49" name="Part pop 15 ans et plus non scol dipl Ens Sup (%)" dataDxfId="43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au5" displayName="Tableau5" ref="A2:DK40" totalsRowShown="0" headerRowDxfId="437" dataDxfId="435" headerRowBorderDxfId="436" tableBorderDxfId="434" totalsRowBorderDxfId="433">
  <autoFilter ref="A2:DK40"/>
  <tableColumns count="115">
    <tableColumn id="1" name="Centres sociaux" dataDxfId="432"/>
    <tableColumn id="2" name="Périmètres NPNRU" dataDxfId="431"/>
    <tableColumn id="3" name="Contrats de Ville 2024 (CDV)" dataDxfId="430"/>
    <tableColumn id="4" name="Cités éducatives" dataDxfId="429"/>
    <tableColumn id="5" name="Grands quartiers" dataDxfId="428"/>
    <tableColumn id="6" name="Mairies de quartiers" dataDxfId="427"/>
    <tableColumn id="7" name="Libellé de l'Iris" dataDxfId="426"/>
    <tableColumn id="8" name="Logements" dataDxfId="425"/>
    <tableColumn id="9" name="Résidences principales" dataDxfId="424"/>
    <tableColumn id="10" name="Rés secondaires et logts occasionnels" dataDxfId="423"/>
    <tableColumn id="11" name="Logements vacants" dataDxfId="422"/>
    <tableColumn id="12" name="Maisons" dataDxfId="421"/>
    <tableColumn id="13" name="Appartements" dataDxfId="420"/>
    <tableColumn id="14" name="Rés princ 1 pièce" dataDxfId="419"/>
    <tableColumn id="15" name="Rés princ 2 pièces" dataDxfId="418"/>
    <tableColumn id="16" name="Rés princ 3 pièces" dataDxfId="417"/>
    <tableColumn id="17" name="Rés princ 4 pièces" dataDxfId="416"/>
    <tableColumn id="18" name="Rés princ 5 pièces ou plus" dataDxfId="415"/>
    <tableColumn id="19" name="Pièces rés princ" dataDxfId="414"/>
    <tableColumn id="20" name="Rés princ type maison" dataDxfId="413"/>
    <tableColumn id="21" name="Pièces rés princ type maison" dataDxfId="412"/>
    <tableColumn id="22" name="Rés princ type appartement" dataDxfId="411"/>
    <tableColumn id="23" name="Pièces rés princ type appartement" dataDxfId="410"/>
    <tableColumn id="24" name="Rés princ de moins de 30 m2" dataDxfId="409"/>
    <tableColumn id="25" name="Rés princ de 30 à moins de 40 m2" dataDxfId="408"/>
    <tableColumn id="26" name="Rés princ de 40 à moins de 60 m2" dataDxfId="407"/>
    <tableColumn id="27" name="Rés princ de 60 à moins de 80 m2" dataDxfId="406"/>
    <tableColumn id="28" name="Rés princ de 80 à moins de 100 m2" dataDxfId="405"/>
    <tableColumn id="29" name="Rés princ de 100 à moins de 120 m2" dataDxfId="404"/>
    <tableColumn id="30" name="Rés princ de 120 m2 ou plus" dataDxfId="403"/>
    <tableColumn id="31" name="Rés princ avt 2020" dataDxfId="402"/>
    <tableColumn id="32" name="Rés princ avt 1919" dataDxfId="401"/>
    <tableColumn id="33" name="Rés princ 1919 à 1945" dataDxfId="400"/>
    <tableColumn id="34" name="Rés princ 1946 à 1970" dataDxfId="399"/>
    <tableColumn id="35" name="Rés princ 1971 à 1990" dataDxfId="398"/>
    <tableColumn id="36" name="Rés princ 1991 à 2005" dataDxfId="397"/>
    <tableColumn id="37" name="Rés princ 2006 à 2019" dataDxfId="396"/>
    <tableColumn id="38" name="Rés princ Type maison avt 2020" dataDxfId="395"/>
    <tableColumn id="39" name="Rés princ Type maison avt 1919" dataDxfId="394"/>
    <tableColumn id="40" name="Rés princ Type maison 1919 à 1945" dataDxfId="393"/>
    <tableColumn id="41" name="Rés princ Type maison 1946 à 1970" dataDxfId="392"/>
    <tableColumn id="42" name="Rés princ Type maison 1971 à 1990" dataDxfId="391"/>
    <tableColumn id="43" name="Rés princ Type maison 1991 à 2005" dataDxfId="390"/>
    <tableColumn id="44" name="Rés princ Type maison 2006 à 2019" dataDxfId="389"/>
    <tableColumn id="45" name="Rés princ Type appart avt 2020" dataDxfId="388"/>
    <tableColumn id="46" name="Rés princ Type appart avt 1919" dataDxfId="387"/>
    <tableColumn id="47" name="Rés princ Type appart 1919 à 1945" dataDxfId="386"/>
    <tableColumn id="48" name="Rés princ Type appart 1946 à 1970" dataDxfId="385"/>
    <tableColumn id="49" name="Rés princ Type appart 1971 à 1990" dataDxfId="384"/>
    <tableColumn id="50" name="Rés princ Type appart 1991 à 2005" dataDxfId="383"/>
    <tableColumn id="51" name="Rés princ Type appart 2006 à 2019" dataDxfId="382"/>
    <tableColumn id="52" name="Ménages" dataDxfId="381"/>
    <tableColumn id="53" name="Ménages emménagés moins 2 ans" dataDxfId="380"/>
    <tableColumn id="54" name="Ménages emménagés entre 2-4 ans" dataDxfId="379"/>
    <tableColumn id="55" name="Ménages emménagés entre 5-9 ans" dataDxfId="378"/>
    <tableColumn id="56" name="Ménages emménagés depuis 10 ans ou plus" dataDxfId="377"/>
    <tableColumn id="57" name="Pop Ménages" dataDxfId="376"/>
    <tableColumn id="58" name="Pop mén emménagés moins 2 ans" dataDxfId="375"/>
    <tableColumn id="59" name="Pop mén emménagés entre 2-4 ans" dataDxfId="374"/>
    <tableColumn id="60" name="Pop mén emménagés entre 5-9 ans" dataDxfId="373"/>
    <tableColumn id="61" name="Pop mén emménagés depuis 10 ans ou plus" dataDxfId="372"/>
    <tableColumn id="62" name="Pièces Rés princ Mén. emménagés moins 2 ans" dataDxfId="371"/>
    <tableColumn id="63" name="Pièces Rés princ Mén. emménagés entre 2-4 ans" dataDxfId="370"/>
    <tableColumn id="64" name="Pièces Rés princ Mén. emménagés entre 5-9 ans" dataDxfId="369"/>
    <tableColumn id="65" name="Pièces Rés princ Mén. emménagés depuis 10 ans ou plus" dataDxfId="368"/>
    <tableColumn id="66" name="Rés princ occupées Propriétaires" dataDxfId="367"/>
    <tableColumn id="67" name="Rés princ occupées Locataires" dataDxfId="366"/>
    <tableColumn id="68" name="Rés princ HLM louée vide" dataDxfId="365"/>
    <tableColumn id="69" name="Rés princ logé gratuit" dataDxfId="364"/>
    <tableColumn id="70" name="Personnes Rés princ" dataDxfId="363"/>
    <tableColumn id="71" name="Pers Rés princ occupées Propriétaires" dataDxfId="362"/>
    <tableColumn id="72" name="Pers Rés princ occupées Locataires" dataDxfId="361"/>
    <tableColumn id="73" name="Pers Rés princ HLM louées vides" dataDxfId="360"/>
    <tableColumn id="74" name="Pers Rés princ occupées gratuit" dataDxfId="359"/>
    <tableColumn id="75" name="Anc tot Emméngt Rés princ (années)" dataDxfId="358"/>
    <tableColumn id="76" name="Anc tot Emméngt Rés princ occ par Propriétaires (années)" dataDxfId="357"/>
    <tableColumn id="77" name="Anc tot Emméngt Rés princ occ par Locataires (années)" dataDxfId="356"/>
    <tableColumn id="78" name="Anc tot Emméngt Rés princ HLM louées vides (années)" dataDxfId="355"/>
    <tableColumn id="79" name="Anc tot Emméngt Rés princ occ gratuit (années)" dataDxfId="354"/>
    <tableColumn id="80" name="nombre de résidences principales avec combustible principal de chauffage gaz de ville - réseau de chaleur" dataDxfId="353"/>
    <tableColumn id="81" name="nombre de résidences principales avec combustible principal de chauffage fioul" dataDxfId="352"/>
    <tableColumn id="82" name="nombre de résidences principales avec combustible principal de chauffage électricité" dataDxfId="351"/>
    <tableColumn id="83" name="nombre de résidences principales avec combustible principal de chauffage gaz en bouteilles ou citerne" dataDxfId="350"/>
    <tableColumn id="84" name="nombre de résidences principales avec combustible principal de chauffage autres" dataDxfId="349"/>
    <tableColumn id="85" name="Ménages au moins un parking" dataDxfId="348"/>
    <tableColumn id="86" name="Ménages au moins une voiture" dataDxfId="347"/>
    <tableColumn id="87" name="Ménages une voiture" dataDxfId="346"/>
    <tableColumn id="88" name="Ménages deux voitures ou plus" dataDxfId="345"/>
    <tableColumn id="89" name="résidences principales en occupation dans la norm" dataDxfId="344"/>
    <tableColumn id="90" name="résidences principales en sous-occupation modérée" dataDxfId="343"/>
    <tableColumn id="91" name="résidences principales en sous-occupation accentuée" dataDxfId="342"/>
    <tableColumn id="92" name="résidences principales en sous-occupation très accentuée" dataDxfId="341"/>
    <tableColumn id="93" name="résidences principales en suroccupation modérée" dataDxfId="340"/>
    <tableColumn id="94" name="résidences principales en suroccupation accentuée" dataDxfId="339"/>
    <tableColumn id="95" name="Superficie en km²" dataDxfId="338"/>
    <tableColumn id="96" name="Superficie en hectares (LOG)" dataDxfId="337"/>
    <tableColumn id="97" name="Densité de logements au km²" dataDxfId="336"/>
    <tableColumn id="98" name="Densité de logements par hectare" dataDxfId="335"/>
    <tableColumn id="99" name="Part des logements vacants (%)" dataDxfId="334"/>
    <tableColumn id="100" name="Part des logements individuels (%)" dataDxfId="333"/>
    <tableColumn id="101" name="Nombre de RP de petite typologie" dataDxfId="332"/>
    <tableColumn id="102" name="Part des RP de petite typologie (%)" dataDxfId="331"/>
    <tableColumn id="103" name="Nombre de RP de grande typologie" dataDxfId="330"/>
    <tableColumn id="104" name="Part des RP de grande typologie (%)" dataDxfId="329"/>
    <tableColumn id="105" name="Part des ménages emménagés depuis moins de 2 ans (%)" dataDxfId="328"/>
    <tableColumn id="106" name="Ménages emménagés moins 10 ans" dataDxfId="327"/>
    <tableColumn id="107" name="Part des ménages emménagés depuis moins de 10 ans (%)" dataDxfId="326"/>
    <tableColumn id="108" name="Taille moyenne des ménages" dataDxfId="325"/>
    <tableColumn id="109" name="Nombre de RP parc privé" dataDxfId="324"/>
    <tableColumn id="110" name="Part propriétaire dans les RP parc privé (%)" dataDxfId="323"/>
    <tableColumn id="111" name="Part propriétaire dans le parc de RP total (%)" dataDxfId="322"/>
    <tableColumn id="112" name="Part HLM dans RP totale (%)" dataDxfId="321"/>
    <tableColumn id="113" name="Part HLM dans les RP locataires (%)" dataDxfId="320"/>
    <tableColumn id="114" name="Part des ménages avec parking (%)" dataDxfId="319"/>
    <tableColumn id="115" name="Part des ménages avec au moins une voiture (%)" dataDxfId="31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au6" displayName="Tableau6" ref="A2:AG40" totalsRowShown="0" headerRowDxfId="317" dataDxfId="315" headerRowBorderDxfId="316" tableBorderDxfId="314" totalsRowBorderDxfId="313">
  <autoFilter ref="A2:AG40"/>
  <tableColumns count="33">
    <tableColumn id="1" name="Centres sociaux" dataDxfId="312"/>
    <tableColumn id="2" name="Périmètres NPNRU" dataDxfId="311"/>
    <tableColumn id="3" name="Contrats de Ville 2024 (CDV)" dataDxfId="310"/>
    <tableColumn id="4" name="Cités éducatives" dataDxfId="309"/>
    <tableColumn id="5" name="Grands quartiers" dataDxfId="308"/>
    <tableColumn id="6" name="Mairies de quartiers" dataDxfId="307"/>
    <tableColumn id="7" name="Libellé de l'Iris" dataDxfId="306"/>
    <tableColumn id="8" name="Part des ménages fiscaux imposés (%)" dataDxfId="305"/>
    <tableColumn id="9" name="Taux de bas revenus déclarés au seuil de 60 % (%)" dataDxfId="304"/>
    <tableColumn id="10" name="Incertitude sur le taux de bas revenus et la part des ménages imposés" dataDxfId="303"/>
    <tableColumn id="11" name="1er quartile (€)" dataDxfId="302"/>
    <tableColumn id="12" name="Médiane (€)" dataDxfId="301"/>
    <tableColumn id="13" name="3e quartile (€)" dataDxfId="300"/>
    <tableColumn id="14" name="Écart inter-quartile rapporté à la médiane" dataDxfId="299"/>
    <tableColumn id="15" name="1er décile (€)" dataDxfId="298"/>
    <tableColumn id="16" name="2e décile (€)" dataDxfId="297"/>
    <tableColumn id="17" name="3e décile (€)" dataDxfId="296"/>
    <tableColumn id="18" name="4e décile (€)" dataDxfId="295"/>
    <tableColumn id="19" name="6e décile (€)" dataDxfId="294"/>
    <tableColumn id="20" name="7e décile (€)" dataDxfId="293"/>
    <tableColumn id="21" name="8e décile (€)" dataDxfId="292"/>
    <tableColumn id="22" name="9e décile (€)" dataDxfId="291"/>
    <tableColumn id="23" name="Rapport interdécile D9/D1" dataDxfId="290"/>
    <tableColumn id="24" name="S80/S20" dataDxfId="289"/>
    <tableColumn id="25" name="Indice de Gini" dataDxfId="288"/>
    <tableColumn id="26" name="Part des revenus d’activité (%)" dataDxfId="287"/>
    <tableColumn id="27" name="dont part des salaires et traitements (%)" dataDxfId="286"/>
    <tableColumn id="28" name="dont part des indemnités de chômage (%)" dataDxfId="285"/>
    <tableColumn id="29" name="dont part des revenus des activités non salariées (%)" dataDxfId="284"/>
    <tableColumn id="30" name="Part des pensions, retraites et rentes (%)" dataDxfId="283"/>
    <tableColumn id="31" name="Part des autres revenus (%)" dataDxfId="282"/>
    <tableColumn id="32" name="Note de précaution (voir onglet seuils)" dataDxfId="281"/>
    <tableColumn id="33" name="Superficie en km²" dataDxfId="28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au7" displayName="Tableau7" ref="A2:AK40" totalsRowShown="0" headerRowDxfId="279" dataDxfId="277" headerRowBorderDxfId="278" tableBorderDxfId="276" totalsRowBorderDxfId="275">
  <autoFilter ref="A2:AK40"/>
  <tableColumns count="37">
    <tableColumn id="1" name="Centres sociaux" dataDxfId="274"/>
    <tableColumn id="2" name="Périmètres NPNRU" dataDxfId="273"/>
    <tableColumn id="3" name="Contrats de Ville 2024 (CDV)" dataDxfId="272"/>
    <tableColumn id="4" name="Cités éducatives" dataDxfId="271"/>
    <tableColumn id="5" name="Grands quartiers" dataDxfId="270"/>
    <tableColumn id="6" name="Mairies de quartiers" dataDxfId="269"/>
    <tableColumn id="7" name="Libellé de l'Iris" dataDxfId="268"/>
    <tableColumn id="8" name="Taux de pauvreté au seuil de 60 % (%)" dataDxfId="267"/>
    <tableColumn id="9" name="Incertitude sur le taux de pauvreté" dataDxfId="266"/>
    <tableColumn id="10" name="1er quartile (€)" dataDxfId="265"/>
    <tableColumn id="11" name="Médiane (€)" dataDxfId="264"/>
    <tableColumn id="12" name="3e quartile (€)" dataDxfId="263"/>
    <tableColumn id="13" name="Écart inter-quartile rapporté à la médiane" dataDxfId="262"/>
    <tableColumn id="14" name="1er décile (€)" dataDxfId="261"/>
    <tableColumn id="15" name="2e décile (€)" dataDxfId="260"/>
    <tableColumn id="16" name="3e décile (€)" dataDxfId="259"/>
    <tableColumn id="17" name="4e décile (€)" dataDxfId="258"/>
    <tableColumn id="18" name="6e décile (€)" dataDxfId="257"/>
    <tableColumn id="19" name="7e décile (€)" dataDxfId="256"/>
    <tableColumn id="20" name="8e décile (€)" dataDxfId="255"/>
    <tableColumn id="21" name="9e décile (€)" dataDxfId="254"/>
    <tableColumn id="22" name="Rapport interdécile D9/D1" dataDxfId="253"/>
    <tableColumn id="23" name="S80/S20" dataDxfId="252"/>
    <tableColumn id="24" name="Indice de Gini" dataDxfId="251"/>
    <tableColumn id="25" name="Part des revenus d’activité (%)" dataDxfId="250"/>
    <tableColumn id="26" name="dont part des salaires et traitements (%)" dataDxfId="249"/>
    <tableColumn id="27" name="dont part des indemnités de chômage (%)" dataDxfId="248"/>
    <tableColumn id="28" name="dont part des revenus des activités non salariées (%)" dataDxfId="247"/>
    <tableColumn id="29" name="Part des pensions, retraites et rentes (%)" dataDxfId="246"/>
    <tableColumn id="30" name="Part des revenus du patrimoine et autres revenus (%)" dataDxfId="245"/>
    <tableColumn id="31" name="Part de l'ensemble des prestations sociales (%)" dataDxfId="244"/>
    <tableColumn id="32" name="dont part des prestations familiales (%)" dataDxfId="243"/>
    <tableColumn id="33" name="dont part des minima sociaux (%)" dataDxfId="242"/>
    <tableColumn id="34" name="dont part des prestations logement (%)" dataDxfId="241"/>
    <tableColumn id="35" name="Part des impôts (%)" dataDxfId="240"/>
    <tableColumn id="36" name="Note de précaution (voir onglet seuils)" dataDxfId="239"/>
    <tableColumn id="37" name="Superficie en km²" dataDxfId="23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au8" displayName="Tableau8" ref="A2:AA40" totalsRowShown="0" headerRowDxfId="237" headerRowBorderDxfId="236" tableBorderDxfId="235" totalsRowBorderDxfId="234">
  <autoFilter ref="A2:AA40"/>
  <tableColumns count="27">
    <tableColumn id="1" name="Centres sociaux" dataDxfId="233"/>
    <tableColumn id="2" name="Crèches" dataDxfId="232"/>
    <tableColumn id="3" name="Périmètres NPNRU" dataDxfId="231"/>
    <tableColumn id="4" name="Contrats de Ville (CDV)" dataDxfId="230"/>
    <tableColumn id="5" name="Cités éducatives" dataDxfId="229"/>
    <tableColumn id="6" name="Quartiers SIG (Grands quartiers)" dataDxfId="228"/>
    <tableColumn id="7" name="Mairies de qartiers" dataDxfId="227"/>
    <tableColumn id="8" name="Libellé de l'Iris" dataDxfId="226"/>
    <tableColumn id="9" name="Age : 0" dataDxfId="225"/>
    <tableColumn id="10" name="Age : 1" dataDxfId="224"/>
    <tableColumn id="11" name="Age : 2" dataDxfId="223"/>
    <tableColumn id="12" name="Age : 3" dataDxfId="222"/>
    <tableColumn id="13" name="Age : 4" dataDxfId="221"/>
    <tableColumn id="14" name="Age : 5" dataDxfId="220"/>
    <tableColumn id="15" name="Age : 6" dataDxfId="219"/>
    <tableColumn id="16" name="Age : 7" dataDxfId="218"/>
    <tableColumn id="17" name="Age : 8" dataDxfId="217"/>
    <tableColumn id="18" name="Age : 9" dataDxfId="216"/>
    <tableColumn id="19" name="Age : 10" dataDxfId="215"/>
    <tableColumn id="20" name="Age : 11" dataDxfId="214"/>
    <tableColumn id="21" name="Age : 12" dataDxfId="213"/>
    <tableColumn id="22" name="Age : 13" dataDxfId="212"/>
    <tableColumn id="23" name="Age : 14" dataDxfId="211"/>
    <tableColumn id="24" name="Age : 15" dataDxfId="210"/>
    <tableColumn id="25" name="Age : 16" dataDxfId="209"/>
    <tableColumn id="26" name="Age : 17" dataDxfId="208"/>
    <tableColumn id="27" name="TOTAL 0-17" dataDxfId="20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au9" displayName="Tableau9" ref="A2:AI40" totalsRowShown="0" headerRowDxfId="206" dataDxfId="204" headerRowBorderDxfId="205" tableBorderDxfId="203" totalsRowBorderDxfId="202">
  <autoFilter ref="A2:AI40"/>
  <tableColumns count="35">
    <tableColumn id="1" name="Centres sociaux" dataDxfId="201"/>
    <tableColumn id="2" name="Périmètres NPNRU" dataDxfId="200"/>
    <tableColumn id="3" name="Contrats de Ville 2024 (CDV)" dataDxfId="199"/>
    <tableColumn id="4" name="Cités éducatives" dataDxfId="198"/>
    <tableColumn id="5" name="Grands quartiers" dataDxfId="197"/>
    <tableColumn id="6" name="Mairies de quartiers" dataDxfId="196"/>
    <tableColumn id="7" name="Libellé de l'Iris" dataDxfId="195"/>
    <tableColumn id="8" name="Nombre total d'allocataires" dataDxfId="194"/>
    <tableColumn id="9" name="Personnes couvertes" dataDxfId="193"/>
    <tableColumn id="10" name="Allocataires isolés sans enfant" dataDxfId="192"/>
    <tableColumn id="11" name="Allocataires mono-parent" dataDxfId="191"/>
    <tableColumn id="12" name="Allocataires couples sans enfant" dataDxfId="190"/>
    <tableColumn id="13" name="Allocataires couples avec enfant(s)" dataDxfId="189"/>
    <tableColumn id="14" name="Allocataires couples avec au moins 3 enfants à charge" dataDxfId="188"/>
    <tableColumn id="15" name="Enfants couverts par au moins une prestation Caf" dataDxfId="187"/>
    <tableColumn id="16" name="Enfants de moins de 3 ans" dataDxfId="186"/>
    <tableColumn id="17" name="Enfants de 3 à moins de 6 ans" dataDxfId="185"/>
    <tableColumn id="18" name="Enfants de 6 à moins de 11 ans" dataDxfId="184"/>
    <tableColumn id="19" name="Enfants de 11 à moins de 15 ans" dataDxfId="183"/>
    <tableColumn id="20" name="Enfants de 15 à moins de 18 ans" dataDxfId="182"/>
    <tableColumn id="21" name="Enfants de 18 à moins de 25 ans" dataDxfId="181"/>
    <tableColumn id="22" name="Allocataires étudiants" dataDxfId="180"/>
    <tableColumn id="23" name="Allocataires de moins de 25 ans non étudiants" dataDxfId="179"/>
    <tableColumn id="24" name="Allocataires percevant une aide au logement" dataDxfId="178"/>
    <tableColumn id="25" name="Allocataires percevant l’Aide Personnalisée au Logement (Métropole)" dataDxfId="177"/>
    <tableColumn id="26" name="Allocataires percevant l’Allocation Adulte Handicapé" dataDxfId="176"/>
    <tableColumn id="27" name="Allocataires percevant la prime d'activité" dataDxfId="175"/>
    <tableColumn id="28" name="Allocataires percevant le RSA socle" dataDxfId="174"/>
    <tableColumn id="29" name="Superficie en km²" dataDxfId="173"/>
    <tableColumn id="30" name="Population (CAF)" dataDxfId="172"/>
    <tableColumn id="31" name="Part de la population couverte par une allocation CAF (%)" dataDxfId="171"/>
    <tableColumn id="32" name="Part des allocataires mono-parent (%)" dataDxfId="170"/>
    <tableColumn id="33" name="Part des allocataires percevant l’APL (%)" dataDxfId="169"/>
    <tableColumn id="34" name="Part des allocataires percevant l’AAH (%)" dataDxfId="168"/>
    <tableColumn id="35" name="Part des allocataires bénéficiant du RSA socle (%)" dataDxfId="16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au10" displayName="Tableau10" ref="A2:AM40" totalsRowShown="0" headerRowDxfId="166" dataDxfId="164" headerRowBorderDxfId="165" tableBorderDxfId="163" totalsRowBorderDxfId="162">
  <autoFilter ref="A2:AM40"/>
  <tableColumns count="39">
    <tableColumn id="1" name="Centres sociaux" dataDxfId="161"/>
    <tableColumn id="2" name="Périmètres NPNRU" dataDxfId="160"/>
    <tableColumn id="3" name="Contrats de Ville 2024 (CDV)" dataDxfId="159"/>
    <tableColumn id="4" name="Cités éducatives" dataDxfId="158"/>
    <tableColumn id="5" name="Grands quartiers" dataDxfId="157"/>
    <tableColumn id="6" name="Mairies de quartiers" dataDxfId="156"/>
    <tableColumn id="7" name="Libellé de l'Iris" dataDxfId="155"/>
    <tableColumn id="8" name="Population couverte" dataDxfId="154"/>
    <tableColumn id="9" name="Hommes" dataDxfId="153"/>
    <tableColumn id="10" name="Femmes" dataDxfId="152"/>
    <tableColumn id="11" name="Moins de 18 ans" dataDxfId="151"/>
    <tableColumn id="12" name="de 18 ans à moins de 25 ans" dataDxfId="150"/>
    <tableColumn id="13" name="de 25 ans à moins de 50 ans" dataDxfId="149"/>
    <tableColumn id="14" name="de 50 ans à moins de 60 ans" dataDxfId="148"/>
    <tableColumn id="15" name="de 60 ans à moins de 75 ans" dataDxfId="147"/>
    <tableColumn id="16" name="75 ans ou plus" dataDxfId="146"/>
    <tableColumn id="17" name="Population couverte bénéficiaire de la C2S non participative" dataDxfId="145"/>
    <tableColumn id="18" name="Hommes bénéficiaires de la C2S non participative" dataDxfId="144"/>
    <tableColumn id="19" name="Femmes bénéficiaires de la C2S non participative" dataDxfId="143"/>
    <tableColumn id="20" name="Bénéficiaires de la C2S non participative de moins de 18 ans" dataDxfId="142"/>
    <tableColumn id="21" name="Bénéficiaires de la C2S non participative de 18 ans à moins de 25 ans" dataDxfId="141"/>
    <tableColumn id="22" name="Bénéficiaires de la C2S non participative de 25 ans à moins de 50 ans" dataDxfId="140"/>
    <tableColumn id="23" name="Bénéficiaires de la C2S non participative de 50 ans à moins de 60 ans" dataDxfId="139"/>
    <tableColumn id="24" name="Bénéficiaires de la C2S non participative de 60 ans ou plus" dataDxfId="138"/>
    <tableColumn id="25" name="Population couverte bénéficiaire de la C2S participative" dataDxfId="137"/>
    <tableColumn id="26" name="Hommes bénéficiaires de la C2S participative" dataDxfId="136"/>
    <tableColumn id="27" name="Femmes bénéficiaires de la C2S participative" dataDxfId="135"/>
    <tableColumn id="28" name="Bénéficiaires de la C2S participative de moins de 18 ans" dataDxfId="134"/>
    <tableColumn id="29" name="Bénéficiaires de la C2S participative de 18 ans à moins de 25 ans" dataDxfId="133"/>
    <tableColumn id="30" name="Bénéficiaires de la C2S participative de 25 ans à moins de 50 ans" dataDxfId="132"/>
    <tableColumn id="31" name="Bénéficiaires de la C2S participative de 50 ans à moins de 60 ans" dataDxfId="131"/>
    <tableColumn id="32" name="Bénéficiaires de la C2S participative de 60 ans ou plus" dataDxfId="130"/>
    <tableColumn id="33" name="Superficie en km²" dataDxfId="129"/>
    <tableColumn id="34" name="Part de la population couverte bénéficiaire de la C2S non participative (%)" dataDxfId="128"/>
    <tableColumn id="35" name="Part des bénéficiaires de la C2S non participative de moins de 18 ans (%)" dataDxfId="127"/>
    <tableColumn id="36" name="Part des moins de 18 ans bénéficiaires de la C2S non participative(%)" dataDxfId="126"/>
    <tableColumn id="37" name="Part de la population couverte bénéficiaire de la C2S participative (%)" dataDxfId="125"/>
    <tableColumn id="38" name="Part des bénéficiaires de la C2S participative de moins de 18 ans (%)" dataDxfId="124"/>
    <tableColumn id="39" name="Part des moins de 18 ans bénéficiaires de la C2S participative (%)" dataDxfId="12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au11" displayName="Tableau11" ref="A2:BS40" totalsRowShown="0" headerRowDxfId="122" dataDxfId="120" headerRowBorderDxfId="121" tableBorderDxfId="119" totalsRowBorderDxfId="118">
  <autoFilter ref="A2:BS40"/>
  <tableColumns count="71">
    <tableColumn id="1" name="Centres sociaux" dataDxfId="117"/>
    <tableColumn id="2" name="Périmètres NPNRU" dataDxfId="116"/>
    <tableColumn id="3" name="Contrats de Ville 2024 (CDV)" dataDxfId="115"/>
    <tableColumn id="4" name="Cités éducatives" dataDxfId="114"/>
    <tableColumn id="5" name="Grands quartiers" dataDxfId="113"/>
    <tableColumn id="6" name="Mairies de quartiers" dataDxfId="112"/>
    <tableColumn id="7" name="Libellé de l'Iris" dataDxfId="111"/>
    <tableColumn id="8" name="DEFM" dataDxfId="110"/>
    <tableColumn id="9" name="DEFM hommes" dataDxfId="109"/>
    <tableColumn id="10" name="DEFM femmes" dataDxfId="108"/>
    <tableColumn id="11" name="DEFM catégories ABC" dataDxfId="107"/>
    <tableColumn id="12" name="DEFM hommes catégories ABC" dataDxfId="106"/>
    <tableColumn id="13" name="DEFM femmes catégories ABC" dataDxfId="105"/>
    <tableColumn id="14" name="Nombre total d'allocataires" dataDxfId="104"/>
    <tableColumn id="15" name="DEFM hommes catégorie A" dataDxfId="103"/>
    <tableColumn id="16" name="DEFM femmes catégorie A" dataDxfId="102"/>
    <tableColumn id="17" name="DEFM catégories ABC moins de 26 ans" dataDxfId="101"/>
    <tableColumn id="18" name="DEFM hommes catégories ABC moins de 26 ans" dataDxfId="100"/>
    <tableColumn id="19" name="DEFM femmes catégories ABC moins de 26 ans" dataDxfId="99"/>
    <tableColumn id="20" name="DEFM catégories ABC de 26 ans à moins de 50 ans" dataDxfId="98"/>
    <tableColumn id="21" name="DEFM hommes catégories ABC de 26 ans à moins de 50 ans" dataDxfId="97"/>
    <tableColumn id="22" name="DEFM femmes catégories ABC de 26 ans à moins de 50 ans" dataDxfId="96"/>
    <tableColumn id="23" name="DEFM catégories ABC de 50 ans et plus" dataDxfId="95"/>
    <tableColumn id="24" name="DEFM hommes catégories ABC de 50 ans et plus" dataDxfId="94"/>
    <tableColumn id="25" name="DEFM femmes catégories ABC de 50 ans et plus" dataDxfId="93"/>
    <tableColumn id="26" name="DEFM catégories ABC nationalité française" dataDxfId="92"/>
    <tableColumn id="27" name="DEFM catégories ABC nationalité étrangère" dataDxfId="91"/>
    <tableColumn id="28" name="DEFM catégories ABC de niveau de formation inférieur au CAP-BEP" dataDxfId="90"/>
    <tableColumn id="29" name="DEFM hommes catégories ABC de niveau de formation inférieur au CAP-BEP" dataDxfId="89"/>
    <tableColumn id="30" name="DEFM femmes catégories ABC de niveau de formation inférieur au CAP-BEP" dataDxfId="88"/>
    <tableColumn id="31" name="DEFM catégories ABC de niveau de formation CAP-BEP" dataDxfId="87"/>
    <tableColumn id="32" name="DEFM hommes catégories ABC de niveau de formation CAP-BEP" dataDxfId="86"/>
    <tableColumn id="33" name="DEFM femmes catégories ABC de niveau de formation CAP-BEP" dataDxfId="85"/>
    <tableColumn id="34" name="DEFM catégories ABC de niveau de formation BAC" dataDxfId="84"/>
    <tableColumn id="35" name="DEFM hommes catégories ABC de niveau de formation BAC" dataDxfId="83"/>
    <tableColumn id="36" name="DEFM femmes catégories ABC de niveau de formation BAC" dataDxfId="82"/>
    <tableColumn id="37" name="DEFM catégories ABC de niveau de formation supérieur au BAC" dataDxfId="81"/>
    <tableColumn id="38" name="DEFM hommes catégories ABC de niveau de formation supérieur au BAC" dataDxfId="80"/>
    <tableColumn id="39" name="DEFM femmes catégories ABC de niveau de formation supérieur au BAC" dataDxfId="79"/>
    <tableColumn id="40" name="DEFM catégories ABC d'ancienneté au chômage de moins de 6 mois" dataDxfId="78"/>
    <tableColumn id="41" name="DEFM hommes catégories ABC d'ancienneté au chômage de moins de 6 mois" dataDxfId="77"/>
    <tableColumn id="42" name="DEFM femmes catégories ABC d'ancienneté au chômage de moins de 6 mois" dataDxfId="76"/>
    <tableColumn id="43" name="DEFM catégories ABC d'ancienneté au chômage de 6 mois à moins d'1 an" dataDxfId="75"/>
    <tableColumn id="44" name="DEFM hommes catégories ABC d'ancienneté au chômage de 6 mois à moins d'1 an" dataDxfId="74"/>
    <tableColumn id="45" name="DEFM femmes catégories ABC d'ancienneté au chômage de 6 mois à moins d'1 an" dataDxfId="73"/>
    <tableColumn id="46" name="DEFM catégories ABC d'ancienneté au chômage de 1 an à moins de 2 ans" dataDxfId="72"/>
    <tableColumn id="47" name="DEFM hommes catégories ABC d'ancienneté au chômage de 1 an à moins de 2 ans" dataDxfId="71"/>
    <tableColumn id="48" name="DEFM femmes catégories ABC d'ancienneté au chômage de 1 an à moins de 2 ans" dataDxfId="70"/>
    <tableColumn id="49" name="DEFM catégories ABC d'ancienneté au chômage d'au moins 2 ans" dataDxfId="69"/>
    <tableColumn id="50" name="DEFM hommes catégories ABC d'ancienneté au chômage d'au moins 2 ans" dataDxfId="68"/>
    <tableColumn id="51" name="DEFM femmes catégories ABC d'ancienneté au chômage d'au moins 2 ans" dataDxfId="67"/>
    <tableColumn id="52" name="DEFM catégories ABC dont motif d'inscription est une 1ère entrée sur marché du travail" dataDxfId="66"/>
    <tableColumn id="53" name="DEFM catégories ABC dont motif d'inscription est un licenciement" dataDxfId="65"/>
    <tableColumn id="54" name="DEFM catégories ABC dont motif d'inscription est une fin de Contrat à Durée Déterminée" dataDxfId="64"/>
    <tableColumn id="55" name="DEFM catégories ABC dont motif d'inscription est une fin de mission d'intérim" dataDxfId="63"/>
    <tableColumn id="56" name="DEFM catégories ABC dont motif d'inscription est autre" dataDxfId="62"/>
    <tableColumn id="57" name="DEFM catégories ABC bénéficiaires du RSA" dataDxfId="61"/>
    <tableColumn id="58" name="DEFM hommes catégories ABC bénéficiaires du RSA" dataDxfId="60"/>
    <tableColumn id="59" name="DEFM femmes catégories ABC bénéficiaires du RSA" dataDxfId="59"/>
    <tableColumn id="60" name="Superficie en km²" dataDxfId="58"/>
    <tableColumn id="61" name="Population (DEFM)" dataDxfId="57"/>
    <tableColumn id="62" name="Part des DEFM dans la population totale (%)" dataDxfId="56"/>
    <tableColumn id="63" name="Part des DEFM hommes (%)" dataDxfId="55"/>
    <tableColumn id="64" name="Part des DEFM femmes (%)" dataDxfId="54"/>
    <tableColumn id="65" name="Part des DEFM catégorie ABC (tenus de faire une recherche d'emploi active)" dataDxfId="53"/>
    <tableColumn id="66" name="Part des DEFM ABC de moins de 26 ans (%)" dataDxfId="52"/>
    <tableColumn id="67" name="Part des DEFM ABC de niveau ≤ au BAC dans les DEFM ABC (%)" dataDxfId="51"/>
    <tableColumn id="68" name="Part des DEFM ABC au chômage depuis plus de 2 ans parmi les DEFM ABC (%)" dataDxfId="50"/>
    <tableColumn id="69" name="Part des DEFM ABC au chômage depuis plus de 2 ans dans l'ensemble des chômeurs inscrits à PE (%)" dataDxfId="49"/>
    <tableColumn id="70" name="Part des DEFM ABC bénéficiaires du RSA parmi les DEFM ABC (%)" dataDxfId="48"/>
    <tableColumn id="71" name="Part des DEFM ABC bénéficiaires du RSA parmi l'ensemble des inscrits à PE (%)" dataDxfId="4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4" name="Tableau14" displayName="Tableau14" ref="A2:AP40" totalsRowShown="0" headerRowDxfId="46" dataDxfId="44" headerRowBorderDxfId="45" tableBorderDxfId="43" totalsRowBorderDxfId="42">
  <autoFilter ref="A2:AP40"/>
  <tableColumns count="42">
    <tableColumn id="1" name="Centres sociaux" dataDxfId="41"/>
    <tableColumn id="2" name="Périmètres NPNRU" dataDxfId="40"/>
    <tableColumn id="3" name="Contrats de Ville 2024 (CDV)" dataDxfId="39"/>
    <tableColumn id="4" name="Cités éducatives" dataDxfId="38"/>
    <tableColumn id="5" name="Grands quartiers" dataDxfId="37"/>
    <tableColumn id="6" name="Mairies de quartiers" dataDxfId="36"/>
    <tableColumn id="7" name="Libellé de l'Iris" dataDxfId="35"/>
    <tableColumn id="8" name="Nombre de logements du Parc Locatif Social" dataDxfId="34"/>
    <tableColumn id="9" name="Nombre de logements sociaux mis en service dans l’année" dataDxfId="33"/>
    <tableColumn id="10" name="Taux de vacance des logements sociaux" dataDxfId="32"/>
    <tableColumn id="11" name="Taux de vacance de plus de 3 mois des logements sociaux" dataDxfId="31"/>
    <tableColumn id="12" name="Taux de rotation des logements sociaux" dataDxfId="30"/>
    <tableColumn id="13" name="Part des logements sociaux collectifs" dataDxfId="29"/>
    <tableColumn id="14" name="Part des logements sociaux individuels" dataDxfId="28"/>
    <tableColumn id="15" name="Part des logements sociaux d’une pièce" dataDxfId="27"/>
    <tableColumn id="16" name="Part des logements sociaux de deux pièces" dataDxfId="26"/>
    <tableColumn id="17" name="Part des logements sociaux de trois pièces" dataDxfId="25"/>
    <tableColumn id="18" name="Part des logements sociaux de quatre pièces" dataDxfId="24"/>
    <tableColumn id="19" name="Part des logements sociaux de 5 pièces ou plus" dataDxfId="23"/>
    <tableColumn id="20" name="Part des logements sociaux de moins de 30 m²" dataDxfId="22"/>
    <tableColumn id="21" name="Part des logements sociaux de 30 m² à moins de 40 m²" dataDxfId="21"/>
    <tableColumn id="22" name="Part des logements sociaux de 40 m² à moins de 60 m²" dataDxfId="20"/>
    <tableColumn id="23" name="Part des logements sociaux de 60 m² à moins de 80 m²" dataDxfId="19"/>
    <tableColumn id="24" name="Part des logements sociaux de 80 m² à moins de 100 m²" dataDxfId="18"/>
    <tableColumn id="25" name="Part des logements sociaux de 100 m² à moins de 120 m²" dataDxfId="17"/>
    <tableColumn id="26" name="Part des logements sociaux de plus de 120 m²" dataDxfId="16"/>
    <tableColumn id="27" name="Part des logements sociaux construits avant 1949" dataDxfId="15"/>
    <tableColumn id="28" name="Part des logements sociaux construits entre 1949 et 1975" dataDxfId="14"/>
    <tableColumn id="29" name="Part des logements sociaux construits entre 1976 et 1988" dataDxfId="13"/>
    <tableColumn id="30" name="Part des logements sociaux construits entre 1989 et 2000" dataDxfId="12"/>
    <tableColumn id="31" name="Part des logements sociaux construits entre 2001 et 2013" dataDxfId="11"/>
    <tableColumn id="32" name="Part des logements sociaux construits après 2013" dataDxfId="10"/>
    <tableColumn id="33" name="Part des logements sociaux financés en PLAI" dataDxfId="9"/>
    <tableColumn id="34" name="Part des logements sociaux financés en PLUS (avant 1977)" dataDxfId="8"/>
    <tableColumn id="35" name="Part des logements sociaux financés en PLUS (après 1977)" dataDxfId="7"/>
    <tableColumn id="36" name="Part des logements sociaux financés en PLS" dataDxfId="6"/>
    <tableColumn id="37" name="Part des logements sociaux financés en PLI" dataDxfId="5"/>
    <tableColumn id="38" name="Loyer par m² des logements sociaux - Moyenne" dataDxfId="4"/>
    <tableColumn id="39" name="Loyer par m² des logements sociaux - 1er quartile" dataDxfId="3"/>
    <tableColumn id="40" name="Loyer par m² des logements sociaux - Médiane" dataDxfId="2"/>
    <tableColumn id="41" name="Loyer par m² des logements sociaux - 3ème quartile" dataDxfId="1"/>
    <tableColumn id="42" name="Superficie en km²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ee.fr/fr/statistiques/8569562" TargetMode="External"/><Relationship Id="rId3" Type="http://schemas.openxmlformats.org/officeDocument/2006/relationships/hyperlink" Target="https://www.insee.fr/fr/statistiques/8229323" TargetMode="External"/><Relationship Id="rId7" Type="http://schemas.openxmlformats.org/officeDocument/2006/relationships/hyperlink" Target="https://www.insee.fr/fr/statistiques/8569601" TargetMode="External"/><Relationship Id="rId2" Type="http://schemas.openxmlformats.org/officeDocument/2006/relationships/hyperlink" Target="https://www.insee.fr/fr/statistiques/8229323" TargetMode="External"/><Relationship Id="rId1" Type="http://schemas.openxmlformats.org/officeDocument/2006/relationships/hyperlink" Target="https://www.insee.fr/fr/statistiques/8647104" TargetMode="External"/><Relationship Id="rId6" Type="http://schemas.openxmlformats.org/officeDocument/2006/relationships/hyperlink" Target="https://www.insee.fr/fr/statistiques/2011101?geo=COM-5951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arto.ville-roubaix.fr/portal/apps/MapSeries/index.html?appid=439897abe91f40e29fa8d4ca5483c55b" TargetMode="External"/><Relationship Id="rId10" Type="http://schemas.openxmlformats.org/officeDocument/2006/relationships/hyperlink" Target="https://www.insee.fr/fr/statistiques/8584132" TargetMode="External"/><Relationship Id="rId4" Type="http://schemas.openxmlformats.org/officeDocument/2006/relationships/hyperlink" Target="https://www.insee.fr/fr/information/2008354" TargetMode="External"/><Relationship Id="rId9" Type="http://schemas.openxmlformats.org/officeDocument/2006/relationships/hyperlink" Target="https://www.insee.fr/fr/statistiques/86448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tabSelected="1" zoomScaleNormal="100" workbookViewId="0">
      <selection sqref="A1:E2"/>
    </sheetView>
  </sheetViews>
  <sheetFormatPr baseColWidth="10" defaultColWidth="8.85546875" defaultRowHeight="15"/>
  <cols>
    <col min="1" max="1" width="17" bestFit="1" customWidth="1"/>
    <col min="2" max="2" width="8.5703125" style="35" customWidth="1"/>
    <col min="3" max="3" width="10.85546875" style="36" bestFit="1" customWidth="1"/>
    <col min="4" max="4" width="70.5703125" customWidth="1"/>
    <col min="5" max="5" width="44.140625" customWidth="1"/>
  </cols>
  <sheetData>
    <row r="1" spans="1:5" ht="18" customHeight="1">
      <c r="A1" s="66" t="s">
        <v>947</v>
      </c>
      <c r="B1" s="67"/>
      <c r="C1" s="67"/>
      <c r="D1" s="67"/>
      <c r="E1" s="67"/>
    </row>
    <row r="2" spans="1:5" ht="8.25" customHeight="1" thickBot="1">
      <c r="A2" s="68"/>
      <c r="B2" s="69"/>
      <c r="C2" s="69"/>
      <c r="D2" s="69"/>
      <c r="E2" s="69"/>
    </row>
    <row r="3" spans="1:5">
      <c r="A3" s="11" t="s">
        <v>813</v>
      </c>
      <c r="B3" s="11" t="s">
        <v>814</v>
      </c>
      <c r="C3" s="12"/>
      <c r="D3" s="13" t="s">
        <v>815</v>
      </c>
      <c r="E3" s="11" t="s">
        <v>816</v>
      </c>
    </row>
    <row r="4" spans="1:5" s="18" customFormat="1" ht="38.25">
      <c r="A4" s="14" t="s">
        <v>817</v>
      </c>
      <c r="B4" s="15">
        <v>2022</v>
      </c>
      <c r="C4" s="16"/>
      <c r="D4" s="16" t="s">
        <v>818</v>
      </c>
      <c r="E4" s="20" t="s">
        <v>935</v>
      </c>
    </row>
    <row r="5" spans="1:5" s="18" customFormat="1" ht="38.25">
      <c r="A5" s="14" t="s">
        <v>819</v>
      </c>
      <c r="B5" s="15">
        <v>2022</v>
      </c>
      <c r="C5" s="16"/>
      <c r="D5" s="16" t="s">
        <v>820</v>
      </c>
      <c r="E5" s="17" t="s">
        <v>939</v>
      </c>
    </row>
    <row r="6" spans="1:5" s="18" customFormat="1" ht="25.5">
      <c r="A6" s="14" t="s">
        <v>821</v>
      </c>
      <c r="B6" s="15">
        <v>2022</v>
      </c>
      <c r="C6" s="16"/>
      <c r="D6" s="16" t="s">
        <v>822</v>
      </c>
      <c r="E6" s="17" t="s">
        <v>936</v>
      </c>
    </row>
    <row r="7" spans="1:5" s="18" customFormat="1" ht="38.25">
      <c r="A7" s="14" t="s">
        <v>823</v>
      </c>
      <c r="B7" s="15">
        <v>2022</v>
      </c>
      <c r="C7" s="16"/>
      <c r="D7" s="16" t="s">
        <v>824</v>
      </c>
      <c r="E7" s="17" t="s">
        <v>938</v>
      </c>
    </row>
    <row r="8" spans="1:5" s="18" customFormat="1" ht="25.5">
      <c r="A8" s="14" t="s">
        <v>825</v>
      </c>
      <c r="B8" s="15">
        <v>2022</v>
      </c>
      <c r="C8" s="16"/>
      <c r="D8" s="16" t="s">
        <v>826</v>
      </c>
      <c r="E8" s="17" t="s">
        <v>937</v>
      </c>
    </row>
    <row r="9" spans="1:5" s="18" customFormat="1" ht="25.5">
      <c r="A9" s="14" t="s">
        <v>827</v>
      </c>
      <c r="B9" s="15">
        <v>2021</v>
      </c>
      <c r="C9" s="16"/>
      <c r="D9" s="16" t="s">
        <v>828</v>
      </c>
      <c r="E9" s="17" t="s">
        <v>829</v>
      </c>
    </row>
    <row r="10" spans="1:5" s="18" customFormat="1" ht="25.5">
      <c r="A10" s="14" t="s">
        <v>830</v>
      </c>
      <c r="B10" s="15">
        <v>2021</v>
      </c>
      <c r="C10" s="16"/>
      <c r="D10" s="19" t="s">
        <v>831</v>
      </c>
      <c r="E10" s="20" t="s">
        <v>829</v>
      </c>
    </row>
    <row r="11" spans="1:5" s="18" customFormat="1">
      <c r="A11" s="14" t="s">
        <v>832</v>
      </c>
      <c r="B11" s="15">
        <v>2022</v>
      </c>
      <c r="C11" s="16"/>
      <c r="D11" s="16" t="s">
        <v>833</v>
      </c>
      <c r="E11" s="20" t="s">
        <v>946</v>
      </c>
    </row>
    <row r="12" spans="1:5" s="18" customFormat="1" ht="25.5">
      <c r="A12" s="14" t="s">
        <v>834</v>
      </c>
      <c r="B12" s="15">
        <v>2024</v>
      </c>
      <c r="C12" s="21" t="s">
        <v>944</v>
      </c>
      <c r="D12" s="16" t="s">
        <v>835</v>
      </c>
      <c r="E12" s="20" t="s">
        <v>940</v>
      </c>
    </row>
    <row r="13" spans="1:5" s="18" customFormat="1" ht="51">
      <c r="A13" s="14" t="s">
        <v>836</v>
      </c>
      <c r="B13" s="15">
        <v>2024</v>
      </c>
      <c r="C13" s="21" t="s">
        <v>942</v>
      </c>
      <c r="D13" s="16" t="s">
        <v>837</v>
      </c>
      <c r="E13" s="20" t="s">
        <v>941</v>
      </c>
    </row>
    <row r="14" spans="1:5" s="18" customFormat="1" ht="25.5">
      <c r="A14" s="14" t="s">
        <v>708</v>
      </c>
      <c r="B14" s="15">
        <v>2024</v>
      </c>
      <c r="C14" s="21" t="s">
        <v>944</v>
      </c>
      <c r="D14" s="16" t="s">
        <v>838</v>
      </c>
      <c r="E14" s="20" t="s">
        <v>943</v>
      </c>
    </row>
    <row r="15" spans="1:5" s="18" customFormat="1" ht="25.5">
      <c r="A15" s="14" t="s">
        <v>839</v>
      </c>
      <c r="B15" s="15">
        <v>2024</v>
      </c>
      <c r="C15" s="21" t="s">
        <v>942</v>
      </c>
      <c r="D15" s="16" t="s">
        <v>840</v>
      </c>
      <c r="E15" s="20" t="s">
        <v>945</v>
      </c>
    </row>
    <row r="16" spans="1:5" ht="8.4499999999999993" customHeight="1">
      <c r="A16" s="22"/>
      <c r="B16" s="23"/>
      <c r="C16" s="24"/>
      <c r="D16" s="25"/>
      <c r="E16" s="26"/>
    </row>
    <row r="17" spans="1:6">
      <c r="A17" s="70" t="s">
        <v>841</v>
      </c>
      <c r="B17" s="71"/>
      <c r="C17" s="71"/>
      <c r="D17" s="71"/>
      <c r="E17" s="71"/>
    </row>
    <row r="18" spans="1:6" s="27" customFormat="1" ht="15" customHeight="1">
      <c r="A18" s="65" t="s">
        <v>842</v>
      </c>
      <c r="B18" s="65"/>
      <c r="C18" s="65"/>
      <c r="D18" s="65"/>
      <c r="E18" s="65"/>
    </row>
    <row r="19" spans="1:6" ht="39" customHeight="1">
      <c r="A19" s="72" t="s">
        <v>843</v>
      </c>
      <c r="B19" s="73"/>
      <c r="C19" s="73"/>
      <c r="D19" s="73"/>
      <c r="E19" s="73"/>
    </row>
    <row r="20" spans="1:6" ht="15.75" customHeight="1">
      <c r="A20" s="74" t="s">
        <v>844</v>
      </c>
      <c r="B20" s="74"/>
      <c r="C20" s="74"/>
      <c r="D20" s="74"/>
      <c r="E20" s="28" t="s">
        <v>845</v>
      </c>
    </row>
    <row r="21" spans="1:6" ht="15.75" customHeight="1">
      <c r="A21" s="65" t="s">
        <v>846</v>
      </c>
      <c r="B21" s="65"/>
      <c r="C21" s="65"/>
      <c r="D21" s="65"/>
      <c r="E21" s="29" t="s">
        <v>847</v>
      </c>
    </row>
    <row r="22" spans="1:6" ht="15.75" customHeight="1">
      <c r="A22" s="75" t="s">
        <v>848</v>
      </c>
      <c r="B22" s="75"/>
      <c r="C22" s="75"/>
      <c r="D22" s="75"/>
      <c r="E22" s="76"/>
    </row>
    <row r="23" spans="1:6">
      <c r="A23" s="77" t="s">
        <v>849</v>
      </c>
      <c r="B23" s="65"/>
      <c r="C23" s="65"/>
      <c r="D23" s="65"/>
      <c r="E23" s="65"/>
      <c r="F23" s="30"/>
    </row>
    <row r="24" spans="1:6" ht="15.75" customHeight="1">
      <c r="A24" s="75" t="s">
        <v>850</v>
      </c>
      <c r="B24" s="75"/>
      <c r="C24" s="75"/>
      <c r="D24" s="75"/>
      <c r="E24" s="75"/>
    </row>
    <row r="25" spans="1:6" ht="15.75" customHeight="1">
      <c r="A25" s="78" t="s">
        <v>851</v>
      </c>
      <c r="B25" s="79"/>
      <c r="C25" s="79"/>
      <c r="D25" s="79"/>
      <c r="E25" s="79"/>
    </row>
    <row r="26" spans="1:6">
      <c r="A26" s="31"/>
      <c r="B26" s="32"/>
      <c r="C26" s="33"/>
      <c r="D26" s="25"/>
      <c r="E26" s="34"/>
    </row>
    <row r="27" spans="1:6">
      <c r="A27" t="s">
        <v>852</v>
      </c>
    </row>
    <row r="28" spans="1:6">
      <c r="A28" t="s">
        <v>853</v>
      </c>
    </row>
    <row r="29" spans="1:6">
      <c r="A29" t="s">
        <v>934</v>
      </c>
    </row>
    <row r="30" spans="1:6">
      <c r="A30" s="80"/>
      <c r="B30" s="80"/>
      <c r="C30" s="80"/>
      <c r="D30" s="80"/>
    </row>
  </sheetData>
  <mergeCells count="11">
    <mergeCell ref="A22:E22"/>
    <mergeCell ref="A23:E23"/>
    <mergeCell ref="A24:E24"/>
    <mergeCell ref="A25:E25"/>
    <mergeCell ref="A30:D30"/>
    <mergeCell ref="A21:D21"/>
    <mergeCell ref="A1:E2"/>
    <mergeCell ref="A17:E17"/>
    <mergeCell ref="A18:E18"/>
    <mergeCell ref="A19:E19"/>
    <mergeCell ref="A20:D20"/>
  </mergeCells>
  <hyperlinks>
    <hyperlink ref="E11" r:id="rId1"/>
    <hyperlink ref="E9" r:id="rId2"/>
    <hyperlink ref="E10" r:id="rId3"/>
    <hyperlink ref="E20" r:id="rId4"/>
    <hyperlink ref="A22" r:id="rId5"/>
    <hyperlink ref="A24" r:id="rId6"/>
    <hyperlink ref="E12" r:id="rId7"/>
    <hyperlink ref="E13" r:id="rId8"/>
    <hyperlink ref="E14" r:id="rId9"/>
    <hyperlink ref="E15" r:id="rId10"/>
  </hyperlinks>
  <pageMargins left="0.25" right="0.25" top="0.75" bottom="0.75" header="0.3" footer="0.3"/>
  <pageSetup paperSize="9" scale="95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selection sqref="A1:H1"/>
    </sheetView>
  </sheetViews>
  <sheetFormatPr baseColWidth="10" defaultRowHeight="15"/>
  <cols>
    <col min="1" max="8" width="31.5703125" customWidth="1"/>
  </cols>
  <sheetData>
    <row r="1" spans="1:8" ht="18.75" thickBot="1">
      <c r="A1" s="81" t="s">
        <v>947</v>
      </c>
      <c r="B1" s="82"/>
      <c r="C1" s="82"/>
      <c r="D1" s="82"/>
      <c r="E1" s="82"/>
      <c r="F1" s="82"/>
      <c r="G1" s="82"/>
      <c r="H1" s="82"/>
    </row>
    <row r="2" spans="1:8" ht="31.5" thickTop="1" thickBot="1">
      <c r="A2" s="37" t="s">
        <v>854</v>
      </c>
      <c r="B2" s="38" t="s">
        <v>855</v>
      </c>
      <c r="C2" s="38" t="s">
        <v>856</v>
      </c>
      <c r="D2" s="38" t="s">
        <v>857</v>
      </c>
      <c r="E2" s="38" t="s">
        <v>858</v>
      </c>
      <c r="F2" s="38" t="s">
        <v>859</v>
      </c>
      <c r="G2" s="38" t="s">
        <v>860</v>
      </c>
      <c r="H2" s="38" t="s">
        <v>861</v>
      </c>
    </row>
    <row r="3" spans="1:8" ht="45.75" thickTop="1">
      <c r="A3" s="39" t="s">
        <v>862</v>
      </c>
      <c r="B3" s="40" t="s">
        <v>863</v>
      </c>
      <c r="C3" s="40" t="s">
        <v>864</v>
      </c>
      <c r="D3" s="40" t="s">
        <v>865</v>
      </c>
      <c r="E3" s="40" t="s">
        <v>866</v>
      </c>
      <c r="F3" s="40" t="s">
        <v>867</v>
      </c>
      <c r="G3" s="40" t="s">
        <v>868</v>
      </c>
      <c r="H3" s="40" t="s">
        <v>869</v>
      </c>
    </row>
    <row r="4" spans="1:8" ht="90">
      <c r="A4" s="39" t="s">
        <v>870</v>
      </c>
      <c r="B4" s="40" t="s">
        <v>871</v>
      </c>
      <c r="C4" s="40" t="s">
        <v>872</v>
      </c>
      <c r="D4" s="40" t="s">
        <v>873</v>
      </c>
      <c r="E4" s="40" t="s">
        <v>874</v>
      </c>
      <c r="F4" s="40" t="s">
        <v>875</v>
      </c>
      <c r="G4" s="40" t="s">
        <v>876</v>
      </c>
      <c r="H4" s="40" t="s">
        <v>877</v>
      </c>
    </row>
    <row r="5" spans="1:8" ht="45">
      <c r="A5" s="39" t="s">
        <v>878</v>
      </c>
      <c r="B5" s="40" t="s">
        <v>879</v>
      </c>
      <c r="C5" s="40" t="s">
        <v>880</v>
      </c>
      <c r="D5" s="40" t="s">
        <v>881</v>
      </c>
      <c r="E5" s="40" t="s">
        <v>882</v>
      </c>
      <c r="F5" s="40" t="s">
        <v>883</v>
      </c>
      <c r="G5" s="40" t="s">
        <v>884</v>
      </c>
      <c r="H5" s="40" t="s">
        <v>885</v>
      </c>
    </row>
    <row r="6" spans="1:8" ht="45">
      <c r="A6" s="39" t="s">
        <v>886</v>
      </c>
      <c r="B6" s="40" t="s">
        <v>887</v>
      </c>
      <c r="C6" s="40" t="s">
        <v>888</v>
      </c>
      <c r="D6" s="40" t="s">
        <v>889</v>
      </c>
      <c r="E6" s="40"/>
      <c r="F6" s="40" t="s">
        <v>890</v>
      </c>
      <c r="G6" s="40" t="s">
        <v>891</v>
      </c>
      <c r="H6" s="40" t="s">
        <v>892</v>
      </c>
    </row>
    <row r="7" spans="1:8" ht="56.25">
      <c r="A7" s="39" t="s">
        <v>893</v>
      </c>
      <c r="B7" s="40" t="s">
        <v>894</v>
      </c>
      <c r="C7" s="40" t="s">
        <v>895</v>
      </c>
      <c r="D7" s="40" t="s">
        <v>896</v>
      </c>
      <c r="E7" s="40"/>
      <c r="F7" s="40" t="s">
        <v>897</v>
      </c>
      <c r="G7" s="40" t="s">
        <v>898</v>
      </c>
      <c r="H7" s="40" t="s">
        <v>899</v>
      </c>
    </row>
    <row r="8" spans="1:8" ht="45">
      <c r="A8" s="39" t="s">
        <v>900</v>
      </c>
      <c r="B8" s="40" t="s">
        <v>901</v>
      </c>
      <c r="C8" s="40" t="s">
        <v>902</v>
      </c>
      <c r="D8" s="40"/>
      <c r="E8" s="40"/>
      <c r="F8" s="40" t="s">
        <v>903</v>
      </c>
      <c r="G8" s="40" t="s">
        <v>904</v>
      </c>
      <c r="H8" s="40" t="s">
        <v>905</v>
      </c>
    </row>
    <row r="9" spans="1:8" ht="78.75">
      <c r="A9" s="39" t="s">
        <v>906</v>
      </c>
      <c r="B9" s="40" t="s">
        <v>907</v>
      </c>
      <c r="C9" s="40" t="s">
        <v>908</v>
      </c>
      <c r="D9" s="40"/>
      <c r="E9" s="40"/>
      <c r="F9" s="40" t="s">
        <v>909</v>
      </c>
      <c r="G9" s="40"/>
      <c r="H9" s="40"/>
    </row>
    <row r="10" spans="1:8" ht="56.25">
      <c r="A10" s="39" t="s">
        <v>910</v>
      </c>
      <c r="B10" s="40" t="s">
        <v>911</v>
      </c>
      <c r="C10" s="40" t="s">
        <v>912</v>
      </c>
      <c r="D10" s="40"/>
      <c r="E10" s="40"/>
      <c r="F10" s="40" t="s">
        <v>913</v>
      </c>
      <c r="G10" s="40"/>
      <c r="H10" s="40"/>
    </row>
    <row r="11" spans="1:8" ht="45">
      <c r="A11" s="39" t="s">
        <v>914</v>
      </c>
      <c r="B11" s="40" t="s">
        <v>915</v>
      </c>
      <c r="C11" s="40" t="s">
        <v>916</v>
      </c>
      <c r="D11" s="40"/>
      <c r="E11" s="40"/>
      <c r="F11" s="40" t="s">
        <v>917</v>
      </c>
      <c r="G11" s="40"/>
      <c r="H11" s="40"/>
    </row>
    <row r="12" spans="1:8" ht="33.75">
      <c r="A12" s="39" t="s">
        <v>918</v>
      </c>
      <c r="B12" s="40" t="s">
        <v>919</v>
      </c>
      <c r="C12" s="40" t="s">
        <v>920</v>
      </c>
      <c r="D12" s="40"/>
      <c r="E12" s="40"/>
      <c r="F12" s="40"/>
      <c r="G12" s="40"/>
      <c r="H12" s="40"/>
    </row>
    <row r="13" spans="1:8" ht="45">
      <c r="A13" s="39" t="s">
        <v>921</v>
      </c>
      <c r="B13" s="40" t="s">
        <v>922</v>
      </c>
      <c r="C13" s="40" t="s">
        <v>923</v>
      </c>
      <c r="D13" s="40"/>
      <c r="E13" s="40"/>
      <c r="F13" s="40"/>
      <c r="G13" s="40"/>
      <c r="H13" s="40"/>
    </row>
    <row r="14" spans="1:8" ht="56.25">
      <c r="A14" s="41"/>
      <c r="B14" s="40" t="s">
        <v>924</v>
      </c>
      <c r="C14" s="40" t="s">
        <v>925</v>
      </c>
      <c r="D14" s="40"/>
      <c r="E14" s="40"/>
      <c r="F14" s="40"/>
      <c r="G14" s="40"/>
      <c r="H14" s="40"/>
    </row>
    <row r="15" spans="1:8" ht="22.5">
      <c r="A15" s="41"/>
      <c r="B15" s="40" t="s">
        <v>926</v>
      </c>
      <c r="C15" s="40"/>
      <c r="D15" s="40"/>
      <c r="E15" s="40"/>
      <c r="F15" s="40"/>
      <c r="G15" s="40"/>
      <c r="H15" s="40"/>
    </row>
    <row r="16" spans="1:8" ht="22.5">
      <c r="A16" s="41"/>
      <c r="B16" s="40" t="s">
        <v>927</v>
      </c>
      <c r="C16" s="40"/>
      <c r="D16" s="40"/>
      <c r="E16" s="40"/>
      <c r="F16" s="40"/>
      <c r="G16" s="40"/>
      <c r="H16" s="40"/>
    </row>
    <row r="17" spans="1:8" ht="33.75">
      <c r="A17" s="41"/>
      <c r="B17" s="40" t="s">
        <v>928</v>
      </c>
      <c r="C17" s="40"/>
      <c r="D17" s="40"/>
      <c r="E17" s="40"/>
      <c r="F17" s="40"/>
      <c r="G17" s="40"/>
      <c r="H17" s="40"/>
    </row>
    <row r="18" spans="1:8" ht="33.75">
      <c r="A18" s="41"/>
      <c r="B18" s="40" t="s">
        <v>929</v>
      </c>
      <c r="C18" s="40"/>
      <c r="D18" s="40"/>
      <c r="E18" s="40"/>
      <c r="F18" s="40"/>
      <c r="G18" s="40"/>
      <c r="H18" s="40"/>
    </row>
    <row r="19" spans="1:8" ht="22.5">
      <c r="A19" s="41"/>
      <c r="B19" s="40" t="s">
        <v>930</v>
      </c>
      <c r="C19" s="40"/>
      <c r="D19" s="40"/>
      <c r="E19" s="40"/>
      <c r="F19" s="40"/>
      <c r="G19" s="40"/>
      <c r="H19" s="40"/>
    </row>
    <row r="20" spans="1:8" ht="33.75">
      <c r="A20" s="41"/>
      <c r="B20" s="40" t="s">
        <v>931</v>
      </c>
      <c r="C20" s="40"/>
      <c r="D20" s="40"/>
      <c r="E20" s="40"/>
      <c r="F20" s="40"/>
      <c r="G20" s="40"/>
      <c r="H20" s="40"/>
    </row>
    <row r="21" spans="1:8" ht="33.75">
      <c r="A21" s="41"/>
      <c r="B21" s="40" t="s">
        <v>932</v>
      </c>
      <c r="C21" s="40"/>
      <c r="D21" s="40"/>
      <c r="E21" s="40"/>
      <c r="F21" s="40"/>
      <c r="G21" s="40"/>
      <c r="H21" s="40"/>
    </row>
    <row r="22" spans="1:8" ht="33.75">
      <c r="A22" s="41"/>
      <c r="B22" s="40" t="s">
        <v>933</v>
      </c>
      <c r="C22" s="40"/>
      <c r="D22" s="40"/>
      <c r="E22" s="40"/>
      <c r="F22" s="40"/>
      <c r="G22" s="40"/>
      <c r="H22" s="40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0"/>
  <sheetViews>
    <sheetView workbookViewId="0">
      <pane xSplit="7" ySplit="2" topLeftCell="H25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11" width="15" customWidth="1"/>
    <col min="12" max="17" width="15.140625" customWidth="1"/>
    <col min="18" max="18" width="19.28515625" customWidth="1"/>
    <col min="19" max="19" width="15" customWidth="1"/>
    <col min="20" max="23" width="15.140625" customWidth="1"/>
    <col min="24" max="24" width="19.28515625" customWidth="1"/>
    <col min="25" max="25" width="15" customWidth="1"/>
    <col min="26" max="26" width="15.140625" customWidth="1"/>
    <col min="27" max="27" width="19.28515625" customWidth="1"/>
    <col min="28" max="28" width="15" customWidth="1"/>
    <col min="29" max="29" width="22.42578125" customWidth="1"/>
    <col min="30" max="33" width="23.42578125" customWidth="1"/>
    <col min="34" max="34" width="27.5703125" customWidth="1"/>
    <col min="35" max="35" width="22.42578125" customWidth="1"/>
    <col min="36" max="36" width="23.42578125" customWidth="1"/>
    <col min="37" max="37" width="27.5703125" customWidth="1"/>
    <col min="38" max="38" width="15" customWidth="1"/>
    <col min="39" max="39" width="22.140625" customWidth="1"/>
    <col min="40" max="43" width="23.140625" customWidth="1"/>
    <col min="44" max="44" width="27.28515625" customWidth="1"/>
    <col min="45" max="45" width="22.140625" customWidth="1"/>
    <col min="46" max="46" width="23.140625" customWidth="1"/>
    <col min="47" max="47" width="27.28515625" customWidth="1"/>
    <col min="48" max="48" width="19.28515625" customWidth="1"/>
    <col min="49" max="49" width="40.85546875" customWidth="1"/>
    <col min="50" max="50" width="44.85546875" customWidth="1"/>
    <col min="51" max="51" width="40.28515625" customWidth="1"/>
    <col min="52" max="52" width="37.5703125" customWidth="1"/>
    <col min="53" max="53" width="28.28515625" customWidth="1"/>
    <col min="54" max="54" width="27.28515625" customWidth="1"/>
    <col min="55" max="55" width="27.7109375" customWidth="1"/>
    <col min="56" max="56" width="25.5703125" customWidth="1"/>
    <col min="57" max="57" width="27.5703125" customWidth="1"/>
    <col min="58" max="58" width="49.140625" customWidth="1"/>
    <col min="59" max="59" width="53.140625" customWidth="1"/>
    <col min="60" max="60" width="48.5703125" customWidth="1"/>
    <col min="61" max="61" width="45.85546875" customWidth="1"/>
    <col min="62" max="62" width="36.5703125" customWidth="1"/>
    <col min="63" max="63" width="35.5703125" customWidth="1"/>
    <col min="64" max="64" width="36" customWidth="1"/>
    <col min="65" max="65" width="33.85546875" customWidth="1"/>
    <col min="66" max="66" width="27.28515625" customWidth="1"/>
    <col min="67" max="67" width="48.85546875" customWidth="1"/>
    <col min="68" max="68" width="52.85546875" customWidth="1"/>
    <col min="69" max="69" width="48.28515625" customWidth="1"/>
    <col min="70" max="70" width="45.5703125" customWidth="1"/>
    <col min="71" max="71" width="36.28515625" customWidth="1"/>
    <col min="72" max="72" width="35.28515625" customWidth="1"/>
    <col min="73" max="73" width="35.7109375" customWidth="1"/>
    <col min="74" max="74" width="33.5703125" customWidth="1"/>
    <col min="75" max="75" width="15" customWidth="1"/>
    <col min="76" max="77" width="15.28515625" customWidth="1"/>
    <col min="78" max="78" width="15" customWidth="1"/>
    <col min="79" max="79" width="19.28515625" customWidth="1"/>
    <col min="80" max="80" width="18.7109375" customWidth="1"/>
    <col min="81" max="81" width="28.42578125" customWidth="1"/>
    <col min="82" max="82" width="33.5703125" customWidth="1"/>
    <col min="83" max="83" width="55" customWidth="1"/>
    <col min="84" max="84" width="30.140625" customWidth="1"/>
    <col min="85" max="85" width="28.28515625" customWidth="1"/>
    <col min="86" max="86" width="61.28515625" customWidth="1"/>
    <col min="87" max="87" width="63" customWidth="1"/>
    <col min="88" max="88" width="19.7109375" customWidth="1"/>
    <col min="89" max="89" width="24.28515625" customWidth="1"/>
    <col min="90" max="90" width="55" customWidth="1"/>
    <col min="91" max="91" width="54.85546875" customWidth="1"/>
  </cols>
  <sheetData>
    <row r="1" spans="1:91">
      <c r="A1" s="10" t="s">
        <v>805</v>
      </c>
      <c r="B1" s="1"/>
      <c r="C1" s="1"/>
      <c r="D1" s="1"/>
      <c r="E1" s="1"/>
      <c r="F1" s="1"/>
      <c r="G1" s="2" t="s">
        <v>0</v>
      </c>
      <c r="H1" s="2">
        <f t="shared" ref="H1:AM1" si="0">SUBTOTAL(9,H3:H40)</f>
        <v>99506</v>
      </c>
      <c r="I1" s="2">
        <f t="shared" si="0"/>
        <v>4547</v>
      </c>
      <c r="J1" s="2">
        <f t="shared" si="0"/>
        <v>4987</v>
      </c>
      <c r="K1" s="2">
        <f t="shared" si="0"/>
        <v>8728</v>
      </c>
      <c r="L1" s="2">
        <f t="shared" si="0"/>
        <v>11249</v>
      </c>
      <c r="M1" s="2">
        <f t="shared" si="0"/>
        <v>11832</v>
      </c>
      <c r="N1" s="2">
        <f t="shared" si="0"/>
        <v>18440</v>
      </c>
      <c r="O1" s="2">
        <f t="shared" si="0"/>
        <v>18509</v>
      </c>
      <c r="P1" s="2">
        <f t="shared" si="0"/>
        <v>9035</v>
      </c>
      <c r="Q1" s="2">
        <f t="shared" si="0"/>
        <v>8742</v>
      </c>
      <c r="R1" s="2">
        <f t="shared" si="0"/>
        <v>3431</v>
      </c>
      <c r="S1" s="2">
        <f t="shared" si="0"/>
        <v>24798</v>
      </c>
      <c r="T1" s="2">
        <f t="shared" si="0"/>
        <v>22994</v>
      </c>
      <c r="U1" s="2">
        <f t="shared" si="0"/>
        <v>18328</v>
      </c>
      <c r="V1" s="2">
        <f t="shared" si="0"/>
        <v>17080</v>
      </c>
      <c r="W1" s="2">
        <f t="shared" si="0"/>
        <v>10782</v>
      </c>
      <c r="X1" s="2">
        <f t="shared" si="0"/>
        <v>5528</v>
      </c>
      <c r="Y1" s="2">
        <f t="shared" si="0"/>
        <v>33194</v>
      </c>
      <c r="Z1" s="2">
        <f t="shared" si="0"/>
        <v>54136</v>
      </c>
      <c r="AA1" s="2">
        <f t="shared" si="0"/>
        <v>12177</v>
      </c>
      <c r="AB1" s="2">
        <f t="shared" si="0"/>
        <v>48709</v>
      </c>
      <c r="AC1" s="2">
        <f t="shared" si="0"/>
        <v>12726</v>
      </c>
      <c r="AD1" s="2">
        <f t="shared" si="0"/>
        <v>11455</v>
      </c>
      <c r="AE1" s="2">
        <f t="shared" si="0"/>
        <v>8667</v>
      </c>
      <c r="AF1" s="2">
        <f t="shared" si="0"/>
        <v>8674</v>
      </c>
      <c r="AG1" s="2">
        <f t="shared" si="0"/>
        <v>5067</v>
      </c>
      <c r="AH1" s="2">
        <f t="shared" si="0"/>
        <v>2118</v>
      </c>
      <c r="AI1" s="2">
        <f t="shared" si="0"/>
        <v>16935</v>
      </c>
      <c r="AJ1" s="2">
        <f t="shared" si="0"/>
        <v>26504</v>
      </c>
      <c r="AK1" s="2">
        <f t="shared" si="0"/>
        <v>5270</v>
      </c>
      <c r="AL1" s="2">
        <f t="shared" si="0"/>
        <v>50800</v>
      </c>
      <c r="AM1" s="2">
        <f t="shared" si="0"/>
        <v>12067</v>
      </c>
      <c r="AN1" s="2">
        <f t="shared" ref="AN1:BS1" si="1">SUBTOTAL(9,AN3:AN40)</f>
        <v>11541</v>
      </c>
      <c r="AO1" s="2">
        <f t="shared" si="1"/>
        <v>9660</v>
      </c>
      <c r="AP1" s="2">
        <f t="shared" si="1"/>
        <v>8404</v>
      </c>
      <c r="AQ1" s="2">
        <f t="shared" si="1"/>
        <v>5715</v>
      </c>
      <c r="AR1" s="2">
        <f t="shared" si="1"/>
        <v>3407</v>
      </c>
      <c r="AS1" s="2">
        <f t="shared" si="1"/>
        <v>16260</v>
      </c>
      <c r="AT1" s="2">
        <f t="shared" si="1"/>
        <v>27637</v>
      </c>
      <c r="AU1" s="2">
        <f t="shared" si="1"/>
        <v>6911</v>
      </c>
      <c r="AV1" s="2">
        <f t="shared" si="1"/>
        <v>74637</v>
      </c>
      <c r="AW1" s="2">
        <f t="shared" si="1"/>
        <v>0</v>
      </c>
      <c r="AX1" s="2">
        <f t="shared" si="1"/>
        <v>1683</v>
      </c>
      <c r="AY1" s="2">
        <f t="shared" si="1"/>
        <v>4090</v>
      </c>
      <c r="AZ1" s="2">
        <f t="shared" si="1"/>
        <v>7409</v>
      </c>
      <c r="BA1" s="2">
        <f t="shared" si="1"/>
        <v>11333</v>
      </c>
      <c r="BB1" s="2">
        <f t="shared" si="1"/>
        <v>11951</v>
      </c>
      <c r="BC1" s="2">
        <f t="shared" si="1"/>
        <v>13455</v>
      </c>
      <c r="BD1" s="2">
        <f t="shared" si="1"/>
        <v>24720</v>
      </c>
      <c r="BE1" s="2">
        <f t="shared" si="1"/>
        <v>35832</v>
      </c>
      <c r="BF1" s="2">
        <f t="shared" si="1"/>
        <v>0</v>
      </c>
      <c r="BG1" s="2">
        <f t="shared" si="1"/>
        <v>1284</v>
      </c>
      <c r="BH1" s="2">
        <f t="shared" si="1"/>
        <v>2427</v>
      </c>
      <c r="BI1" s="2">
        <f t="shared" si="1"/>
        <v>3390</v>
      </c>
      <c r="BJ1" s="2">
        <f t="shared" si="1"/>
        <v>3786</v>
      </c>
      <c r="BK1" s="2">
        <f t="shared" si="1"/>
        <v>9358</v>
      </c>
      <c r="BL1" s="2">
        <f t="shared" si="1"/>
        <v>5893</v>
      </c>
      <c r="BM1" s="2">
        <f t="shared" si="1"/>
        <v>9695</v>
      </c>
      <c r="BN1" s="2">
        <f t="shared" si="1"/>
        <v>38801</v>
      </c>
      <c r="BO1" s="2">
        <f t="shared" si="1"/>
        <v>0</v>
      </c>
      <c r="BP1" s="2">
        <f t="shared" si="1"/>
        <v>399</v>
      </c>
      <c r="BQ1" s="2">
        <f t="shared" si="1"/>
        <v>1662</v>
      </c>
      <c r="BR1" s="2">
        <f t="shared" si="1"/>
        <v>4015</v>
      </c>
      <c r="BS1" s="2">
        <f t="shared" si="1"/>
        <v>7545</v>
      </c>
      <c r="BT1" s="2">
        <f t="shared" ref="BT1:CG1" si="2">SUBTOTAL(9,BT3:BT40)</f>
        <v>2593</v>
      </c>
      <c r="BU1" s="2">
        <f t="shared" si="2"/>
        <v>7561</v>
      </c>
      <c r="BV1" s="2">
        <f t="shared" si="2"/>
        <v>15031</v>
      </c>
      <c r="BW1" s="2">
        <f t="shared" si="2"/>
        <v>79792</v>
      </c>
      <c r="BX1" s="2">
        <f t="shared" si="2"/>
        <v>19715</v>
      </c>
      <c r="BY1" s="2">
        <f t="shared" si="2"/>
        <v>22039</v>
      </c>
      <c r="BZ1" s="2">
        <f t="shared" si="2"/>
        <v>98000</v>
      </c>
      <c r="CA1" s="2">
        <f t="shared" si="2"/>
        <v>1506</v>
      </c>
      <c r="CB1" s="2">
        <f t="shared" si="2"/>
        <v>13.399999999999995</v>
      </c>
      <c r="CC1" s="2">
        <f t="shared" si="2"/>
        <v>1340</v>
      </c>
      <c r="CD1" s="2">
        <f t="shared" si="2"/>
        <v>381283.39999999997</v>
      </c>
      <c r="CE1" s="2">
        <f>SUBTOTAL(1,CE3:CE40)</f>
        <v>2.6368421052631583</v>
      </c>
      <c r="CF1" s="2">
        <f t="shared" si="2"/>
        <v>3812.8000000000006</v>
      </c>
      <c r="CG1" s="2">
        <f t="shared" si="2"/>
        <v>16310</v>
      </c>
      <c r="CH1" s="2">
        <f>SUBTOTAL(1,CH3:CH40)</f>
        <v>16.426315789473684</v>
      </c>
      <c r="CI1" s="2">
        <f t="shared" ref="CI1:CM1" si="3">SUBTOTAL(1,CI3:CI40)</f>
        <v>33.56315789473684</v>
      </c>
      <c r="CJ1" s="2">
        <f t="shared" si="3"/>
        <v>2.2894736842105261</v>
      </c>
      <c r="CK1" s="2">
        <f t="shared" si="3"/>
        <v>0.40789473684210542</v>
      </c>
      <c r="CL1" s="2">
        <f t="shared" si="3"/>
        <v>20.749999999999996</v>
      </c>
      <c r="CM1" s="2">
        <f t="shared" si="3"/>
        <v>23.057894736842105</v>
      </c>
    </row>
    <row r="2" spans="1:91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6" t="s">
        <v>12</v>
      </c>
      <c r="M2" s="46" t="s">
        <v>13</v>
      </c>
      <c r="N2" s="46" t="s">
        <v>14</v>
      </c>
      <c r="O2" s="46" t="s">
        <v>15</v>
      </c>
      <c r="P2" s="46" t="s">
        <v>16</v>
      </c>
      <c r="Q2" s="46" t="s">
        <v>17</v>
      </c>
      <c r="R2" s="46" t="s">
        <v>18</v>
      </c>
      <c r="S2" s="46" t="s">
        <v>19</v>
      </c>
      <c r="T2" s="46" t="s">
        <v>20</v>
      </c>
      <c r="U2" s="46" t="s">
        <v>21</v>
      </c>
      <c r="V2" s="46" t="s">
        <v>22</v>
      </c>
      <c r="W2" s="46" t="s">
        <v>23</v>
      </c>
      <c r="X2" s="46" t="s">
        <v>24</v>
      </c>
      <c r="Y2" s="46" t="s">
        <v>25</v>
      </c>
      <c r="Z2" s="46" t="s">
        <v>26</v>
      </c>
      <c r="AA2" s="46" t="s">
        <v>27</v>
      </c>
      <c r="AB2" s="46" t="s">
        <v>28</v>
      </c>
      <c r="AC2" s="46" t="s">
        <v>29</v>
      </c>
      <c r="AD2" s="46" t="s">
        <v>30</v>
      </c>
      <c r="AE2" s="46" t="s">
        <v>31</v>
      </c>
      <c r="AF2" s="46" t="s">
        <v>32</v>
      </c>
      <c r="AG2" s="46" t="s">
        <v>33</v>
      </c>
      <c r="AH2" s="46" t="s">
        <v>34</v>
      </c>
      <c r="AI2" s="46" t="s">
        <v>35</v>
      </c>
      <c r="AJ2" s="46" t="s">
        <v>36</v>
      </c>
      <c r="AK2" s="46" t="s">
        <v>37</v>
      </c>
      <c r="AL2" s="46" t="s">
        <v>38</v>
      </c>
      <c r="AM2" s="46" t="s">
        <v>39</v>
      </c>
      <c r="AN2" s="46" t="s">
        <v>40</v>
      </c>
      <c r="AO2" s="46" t="s">
        <v>41</v>
      </c>
      <c r="AP2" s="46" t="s">
        <v>42</v>
      </c>
      <c r="AQ2" s="46" t="s">
        <v>43</v>
      </c>
      <c r="AR2" s="46" t="s">
        <v>44</v>
      </c>
      <c r="AS2" s="46" t="s">
        <v>45</v>
      </c>
      <c r="AT2" s="46" t="s">
        <v>46</v>
      </c>
      <c r="AU2" s="46" t="s">
        <v>47</v>
      </c>
      <c r="AV2" s="46" t="s">
        <v>48</v>
      </c>
      <c r="AW2" s="46" t="s">
        <v>49</v>
      </c>
      <c r="AX2" s="46" t="s">
        <v>50</v>
      </c>
      <c r="AY2" s="46" t="s">
        <v>51</v>
      </c>
      <c r="AZ2" s="46" t="s">
        <v>52</v>
      </c>
      <c r="BA2" s="46" t="s">
        <v>53</v>
      </c>
      <c r="BB2" s="46" t="s">
        <v>54</v>
      </c>
      <c r="BC2" s="46" t="s">
        <v>55</v>
      </c>
      <c r="BD2" s="46" t="s">
        <v>56</v>
      </c>
      <c r="BE2" s="46" t="s">
        <v>57</v>
      </c>
      <c r="BF2" s="46" t="s">
        <v>58</v>
      </c>
      <c r="BG2" s="46" t="s">
        <v>59</v>
      </c>
      <c r="BH2" s="46" t="s">
        <v>60</v>
      </c>
      <c r="BI2" s="46" t="s">
        <v>61</v>
      </c>
      <c r="BJ2" s="46" t="s">
        <v>62</v>
      </c>
      <c r="BK2" s="46" t="s">
        <v>63</v>
      </c>
      <c r="BL2" s="46" t="s">
        <v>64</v>
      </c>
      <c r="BM2" s="46" t="s">
        <v>65</v>
      </c>
      <c r="BN2" s="46" t="s">
        <v>66</v>
      </c>
      <c r="BO2" s="46" t="s">
        <v>67</v>
      </c>
      <c r="BP2" s="46" t="s">
        <v>68</v>
      </c>
      <c r="BQ2" s="46" t="s">
        <v>69</v>
      </c>
      <c r="BR2" s="46" t="s">
        <v>70</v>
      </c>
      <c r="BS2" s="46" t="s">
        <v>71</v>
      </c>
      <c r="BT2" s="46" t="s">
        <v>72</v>
      </c>
      <c r="BU2" s="46" t="s">
        <v>73</v>
      </c>
      <c r="BV2" s="46" t="s">
        <v>74</v>
      </c>
      <c r="BW2" s="46" t="s">
        <v>75</v>
      </c>
      <c r="BX2" s="46" t="s">
        <v>76</v>
      </c>
      <c r="BY2" s="46" t="s">
        <v>77</v>
      </c>
      <c r="BZ2" s="46" t="s">
        <v>78</v>
      </c>
      <c r="CA2" s="46" t="s">
        <v>79</v>
      </c>
      <c r="CB2" s="47" t="s">
        <v>80</v>
      </c>
      <c r="CC2" s="47" t="s">
        <v>81</v>
      </c>
      <c r="CD2" s="47" t="s">
        <v>82</v>
      </c>
      <c r="CE2" s="47" t="s">
        <v>83</v>
      </c>
      <c r="CF2" s="47" t="s">
        <v>84</v>
      </c>
      <c r="CG2" s="47" t="s">
        <v>85</v>
      </c>
      <c r="CH2" s="47" t="s">
        <v>86</v>
      </c>
      <c r="CI2" s="47" t="s">
        <v>87</v>
      </c>
      <c r="CJ2" s="47" t="s">
        <v>88</v>
      </c>
      <c r="CK2" s="47" t="s">
        <v>89</v>
      </c>
      <c r="CL2" s="47" t="s">
        <v>90</v>
      </c>
      <c r="CM2" s="48" t="s">
        <v>91</v>
      </c>
    </row>
    <row r="3" spans="1:91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63">
        <v>2497</v>
      </c>
      <c r="I3" s="63">
        <v>136</v>
      </c>
      <c r="J3" s="63">
        <v>148</v>
      </c>
      <c r="K3" s="63">
        <v>240</v>
      </c>
      <c r="L3" s="63">
        <v>340</v>
      </c>
      <c r="M3" s="63">
        <v>235</v>
      </c>
      <c r="N3" s="63">
        <v>501</v>
      </c>
      <c r="O3" s="63">
        <v>451</v>
      </c>
      <c r="P3" s="63">
        <v>206</v>
      </c>
      <c r="Q3" s="63">
        <v>178</v>
      </c>
      <c r="R3" s="63">
        <v>62</v>
      </c>
      <c r="S3" s="63">
        <v>727</v>
      </c>
      <c r="T3" s="63">
        <v>533</v>
      </c>
      <c r="U3" s="63">
        <v>515</v>
      </c>
      <c r="V3" s="63">
        <v>400</v>
      </c>
      <c r="W3" s="63">
        <v>235</v>
      </c>
      <c r="X3" s="63">
        <v>87</v>
      </c>
      <c r="Y3" s="63">
        <v>928</v>
      </c>
      <c r="Z3" s="63">
        <v>1329</v>
      </c>
      <c r="AA3" s="63">
        <v>240</v>
      </c>
      <c r="AB3" s="63">
        <v>1266</v>
      </c>
      <c r="AC3" s="63">
        <v>403</v>
      </c>
      <c r="AD3" s="63">
        <v>262</v>
      </c>
      <c r="AE3" s="63">
        <v>236</v>
      </c>
      <c r="AF3" s="63">
        <v>199</v>
      </c>
      <c r="AG3" s="63">
        <v>131</v>
      </c>
      <c r="AH3" s="63">
        <v>35</v>
      </c>
      <c r="AI3" s="63">
        <v>517</v>
      </c>
      <c r="AJ3" s="63">
        <v>626</v>
      </c>
      <c r="AK3" s="63">
        <v>123</v>
      </c>
      <c r="AL3" s="63">
        <v>1231</v>
      </c>
      <c r="AM3" s="63">
        <v>324</v>
      </c>
      <c r="AN3" s="63">
        <v>272</v>
      </c>
      <c r="AO3" s="63">
        <v>280</v>
      </c>
      <c r="AP3" s="63">
        <v>200</v>
      </c>
      <c r="AQ3" s="63">
        <v>104</v>
      </c>
      <c r="AR3" s="63">
        <v>52</v>
      </c>
      <c r="AS3" s="63">
        <v>411</v>
      </c>
      <c r="AT3" s="63">
        <v>703</v>
      </c>
      <c r="AU3" s="63">
        <v>117</v>
      </c>
      <c r="AV3" s="63">
        <v>1823</v>
      </c>
      <c r="AW3" s="63">
        <v>0</v>
      </c>
      <c r="AX3" s="63">
        <v>28</v>
      </c>
      <c r="AY3" s="63">
        <v>62</v>
      </c>
      <c r="AZ3" s="63">
        <v>141</v>
      </c>
      <c r="BA3" s="63">
        <v>310</v>
      </c>
      <c r="BB3" s="63">
        <v>405</v>
      </c>
      <c r="BC3" s="63">
        <v>308</v>
      </c>
      <c r="BD3" s="63">
        <v>569</v>
      </c>
      <c r="BE3" s="63">
        <v>867</v>
      </c>
      <c r="BF3" s="63">
        <v>0</v>
      </c>
      <c r="BG3" s="63">
        <v>9</v>
      </c>
      <c r="BH3" s="63">
        <v>40</v>
      </c>
      <c r="BI3" s="63">
        <v>64</v>
      </c>
      <c r="BJ3" s="63">
        <v>106</v>
      </c>
      <c r="BK3" s="63">
        <v>317</v>
      </c>
      <c r="BL3" s="63">
        <v>151</v>
      </c>
      <c r="BM3" s="63">
        <v>181</v>
      </c>
      <c r="BN3" s="63">
        <v>957</v>
      </c>
      <c r="BO3" s="63">
        <v>0</v>
      </c>
      <c r="BP3" s="63">
        <v>19</v>
      </c>
      <c r="BQ3" s="63">
        <v>22</v>
      </c>
      <c r="BR3" s="63">
        <v>77</v>
      </c>
      <c r="BS3" s="63">
        <v>204</v>
      </c>
      <c r="BT3" s="63">
        <v>89</v>
      </c>
      <c r="BU3" s="63">
        <v>157</v>
      </c>
      <c r="BV3" s="63">
        <v>389</v>
      </c>
      <c r="BW3" s="63">
        <v>2090</v>
      </c>
      <c r="BX3" s="63">
        <v>407</v>
      </c>
      <c r="BY3" s="63">
        <v>500</v>
      </c>
      <c r="BZ3" s="63">
        <v>2450</v>
      </c>
      <c r="CA3" s="63">
        <v>47</v>
      </c>
      <c r="CB3" s="63">
        <v>0.3</v>
      </c>
      <c r="CC3" s="63">
        <v>30</v>
      </c>
      <c r="CD3" s="63">
        <v>8323.2999999999993</v>
      </c>
      <c r="CE3" s="63">
        <v>2.5</v>
      </c>
      <c r="CF3" s="63">
        <v>83.2</v>
      </c>
      <c r="CG3" s="63">
        <v>322</v>
      </c>
      <c r="CH3" s="63">
        <v>12.9</v>
      </c>
      <c r="CI3" s="63">
        <v>37.200000000000003</v>
      </c>
      <c r="CJ3" s="63">
        <v>2.9</v>
      </c>
      <c r="CK3" s="63">
        <v>0.3</v>
      </c>
      <c r="CL3" s="63">
        <v>16.3</v>
      </c>
      <c r="CM3" s="63">
        <v>20</v>
      </c>
    </row>
    <row r="4" spans="1:91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63">
        <v>4255</v>
      </c>
      <c r="I4" s="63">
        <v>147</v>
      </c>
      <c r="J4" s="63">
        <v>157</v>
      </c>
      <c r="K4" s="63">
        <v>356</v>
      </c>
      <c r="L4" s="63">
        <v>452</v>
      </c>
      <c r="M4" s="63">
        <v>745</v>
      </c>
      <c r="N4" s="63">
        <v>792</v>
      </c>
      <c r="O4" s="63">
        <v>803</v>
      </c>
      <c r="P4" s="63">
        <v>403</v>
      </c>
      <c r="Q4" s="63">
        <v>312</v>
      </c>
      <c r="R4" s="63">
        <v>87</v>
      </c>
      <c r="S4" s="63">
        <v>920</v>
      </c>
      <c r="T4" s="63">
        <v>1265</v>
      </c>
      <c r="U4" s="63">
        <v>682</v>
      </c>
      <c r="V4" s="63">
        <v>824</v>
      </c>
      <c r="W4" s="63">
        <v>397</v>
      </c>
      <c r="X4" s="63">
        <v>168</v>
      </c>
      <c r="Y4" s="63">
        <v>1354</v>
      </c>
      <c r="Z4" s="63">
        <v>2502</v>
      </c>
      <c r="AA4" s="63">
        <v>399</v>
      </c>
      <c r="AB4" s="63">
        <v>2165</v>
      </c>
      <c r="AC4" s="63">
        <v>532</v>
      </c>
      <c r="AD4" s="63">
        <v>595</v>
      </c>
      <c r="AE4" s="63">
        <v>340</v>
      </c>
      <c r="AF4" s="63">
        <v>388</v>
      </c>
      <c r="AG4" s="63">
        <v>232</v>
      </c>
      <c r="AH4" s="63">
        <v>78</v>
      </c>
      <c r="AI4" s="63">
        <v>728</v>
      </c>
      <c r="AJ4" s="63">
        <v>1240</v>
      </c>
      <c r="AK4" s="63">
        <v>197</v>
      </c>
      <c r="AL4" s="63">
        <v>2090</v>
      </c>
      <c r="AM4" s="63">
        <v>388</v>
      </c>
      <c r="AN4" s="63">
        <v>670</v>
      </c>
      <c r="AO4" s="63">
        <v>342</v>
      </c>
      <c r="AP4" s="63">
        <v>436</v>
      </c>
      <c r="AQ4" s="63">
        <v>165</v>
      </c>
      <c r="AR4" s="63">
        <v>90</v>
      </c>
      <c r="AS4" s="63">
        <v>626</v>
      </c>
      <c r="AT4" s="63">
        <v>1263</v>
      </c>
      <c r="AU4" s="63">
        <v>202</v>
      </c>
      <c r="AV4" s="63">
        <v>3394</v>
      </c>
      <c r="AW4" s="63">
        <v>0</v>
      </c>
      <c r="AX4" s="63">
        <v>91</v>
      </c>
      <c r="AY4" s="63">
        <v>275</v>
      </c>
      <c r="AZ4" s="63">
        <v>386</v>
      </c>
      <c r="BA4" s="63">
        <v>606</v>
      </c>
      <c r="BB4" s="63">
        <v>469</v>
      </c>
      <c r="BC4" s="63">
        <v>431</v>
      </c>
      <c r="BD4" s="63">
        <v>1136</v>
      </c>
      <c r="BE4" s="63">
        <v>1654</v>
      </c>
      <c r="BF4" s="63">
        <v>0</v>
      </c>
      <c r="BG4" s="63">
        <v>67</v>
      </c>
      <c r="BH4" s="63">
        <v>183</v>
      </c>
      <c r="BI4" s="63">
        <v>197</v>
      </c>
      <c r="BJ4" s="63">
        <v>243</v>
      </c>
      <c r="BK4" s="63">
        <v>359</v>
      </c>
      <c r="BL4" s="63">
        <v>185</v>
      </c>
      <c r="BM4" s="63">
        <v>421</v>
      </c>
      <c r="BN4" s="63">
        <v>1740</v>
      </c>
      <c r="BO4" s="63">
        <v>0</v>
      </c>
      <c r="BP4" s="63">
        <v>24</v>
      </c>
      <c r="BQ4" s="63">
        <v>92</v>
      </c>
      <c r="BR4" s="63">
        <v>189</v>
      </c>
      <c r="BS4" s="63">
        <v>363</v>
      </c>
      <c r="BT4" s="63">
        <v>110</v>
      </c>
      <c r="BU4" s="63">
        <v>246</v>
      </c>
      <c r="BV4" s="63">
        <v>715</v>
      </c>
      <c r="BW4" s="63">
        <v>3581</v>
      </c>
      <c r="BX4" s="63">
        <v>674</v>
      </c>
      <c r="BY4" s="63">
        <v>900</v>
      </c>
      <c r="BZ4" s="63">
        <v>4255</v>
      </c>
      <c r="CA4" s="63">
        <v>0</v>
      </c>
      <c r="CB4" s="63">
        <v>0.1</v>
      </c>
      <c r="CC4" s="63">
        <v>10</v>
      </c>
      <c r="CD4" s="63">
        <v>42550</v>
      </c>
      <c r="CE4" s="63">
        <v>4.3</v>
      </c>
      <c r="CF4" s="63">
        <v>425.5</v>
      </c>
      <c r="CG4" s="63">
        <v>565</v>
      </c>
      <c r="CH4" s="63">
        <v>13.3</v>
      </c>
      <c r="CI4" s="63">
        <v>31.8</v>
      </c>
      <c r="CJ4" s="63">
        <v>2.4</v>
      </c>
      <c r="CK4" s="63">
        <v>0.3</v>
      </c>
      <c r="CL4" s="63">
        <v>15.8</v>
      </c>
      <c r="CM4" s="63">
        <v>21.2</v>
      </c>
    </row>
    <row r="5" spans="1:91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63">
        <v>3027</v>
      </c>
      <c r="I5" s="63">
        <v>184</v>
      </c>
      <c r="J5" s="63">
        <v>156</v>
      </c>
      <c r="K5" s="63">
        <v>201</v>
      </c>
      <c r="L5" s="63">
        <v>326</v>
      </c>
      <c r="M5" s="63">
        <v>332</v>
      </c>
      <c r="N5" s="63">
        <v>556</v>
      </c>
      <c r="O5" s="63">
        <v>589</v>
      </c>
      <c r="P5" s="63">
        <v>280</v>
      </c>
      <c r="Q5" s="63">
        <v>259</v>
      </c>
      <c r="R5" s="63">
        <v>144</v>
      </c>
      <c r="S5" s="63">
        <v>726</v>
      </c>
      <c r="T5" s="63">
        <v>683</v>
      </c>
      <c r="U5" s="63">
        <v>565</v>
      </c>
      <c r="V5" s="63">
        <v>540</v>
      </c>
      <c r="W5" s="63">
        <v>309</v>
      </c>
      <c r="X5" s="63">
        <v>204</v>
      </c>
      <c r="Y5" s="63">
        <v>967</v>
      </c>
      <c r="Z5" s="63">
        <v>1657</v>
      </c>
      <c r="AA5" s="63">
        <v>403</v>
      </c>
      <c r="AB5" s="63">
        <v>1501</v>
      </c>
      <c r="AC5" s="63">
        <v>391</v>
      </c>
      <c r="AD5" s="63">
        <v>311</v>
      </c>
      <c r="AE5" s="63">
        <v>283</v>
      </c>
      <c r="AF5" s="63">
        <v>297</v>
      </c>
      <c r="AG5" s="63">
        <v>139</v>
      </c>
      <c r="AH5" s="63">
        <v>80</v>
      </c>
      <c r="AI5" s="63">
        <v>509</v>
      </c>
      <c r="AJ5" s="63">
        <v>820</v>
      </c>
      <c r="AK5" s="63">
        <v>172</v>
      </c>
      <c r="AL5" s="63">
        <v>1526</v>
      </c>
      <c r="AM5" s="63">
        <v>335</v>
      </c>
      <c r="AN5" s="63">
        <v>372</v>
      </c>
      <c r="AO5" s="63">
        <v>282</v>
      </c>
      <c r="AP5" s="63">
        <v>243</v>
      </c>
      <c r="AQ5" s="63">
        <v>170</v>
      </c>
      <c r="AR5" s="63">
        <v>124</v>
      </c>
      <c r="AS5" s="63">
        <v>459</v>
      </c>
      <c r="AT5" s="63">
        <v>837</v>
      </c>
      <c r="AU5" s="63">
        <v>231</v>
      </c>
      <c r="AV5" s="63">
        <v>2004</v>
      </c>
      <c r="AW5" s="63">
        <v>0</v>
      </c>
      <c r="AX5" s="63">
        <v>29</v>
      </c>
      <c r="AY5" s="63">
        <v>30</v>
      </c>
      <c r="AZ5" s="63">
        <v>98</v>
      </c>
      <c r="BA5" s="63">
        <v>254</v>
      </c>
      <c r="BB5" s="63">
        <v>344</v>
      </c>
      <c r="BC5" s="63">
        <v>384</v>
      </c>
      <c r="BD5" s="63">
        <v>865</v>
      </c>
      <c r="BE5" s="63">
        <v>957</v>
      </c>
      <c r="BF5" s="63">
        <v>0</v>
      </c>
      <c r="BG5" s="63">
        <v>26</v>
      </c>
      <c r="BH5" s="63">
        <v>10</v>
      </c>
      <c r="BI5" s="63">
        <v>40</v>
      </c>
      <c r="BJ5" s="63">
        <v>66</v>
      </c>
      <c r="BK5" s="63">
        <v>281</v>
      </c>
      <c r="BL5" s="63">
        <v>194</v>
      </c>
      <c r="BM5" s="63">
        <v>342</v>
      </c>
      <c r="BN5" s="63">
        <v>1046</v>
      </c>
      <c r="BO5" s="63">
        <v>0</v>
      </c>
      <c r="BP5" s="63">
        <v>3</v>
      </c>
      <c r="BQ5" s="63">
        <v>20</v>
      </c>
      <c r="BR5" s="63">
        <v>58</v>
      </c>
      <c r="BS5" s="63">
        <v>188</v>
      </c>
      <c r="BT5" s="63">
        <v>63</v>
      </c>
      <c r="BU5" s="63">
        <v>190</v>
      </c>
      <c r="BV5" s="63">
        <v>524</v>
      </c>
      <c r="BW5" s="63">
        <v>2246</v>
      </c>
      <c r="BX5" s="63">
        <v>781</v>
      </c>
      <c r="BY5" s="63">
        <v>915</v>
      </c>
      <c r="BZ5" s="63">
        <v>2889</v>
      </c>
      <c r="CA5" s="63">
        <v>138</v>
      </c>
      <c r="CB5" s="63">
        <v>0.4</v>
      </c>
      <c r="CC5" s="63">
        <v>40</v>
      </c>
      <c r="CD5" s="63">
        <v>7567.5</v>
      </c>
      <c r="CE5" s="63">
        <v>3</v>
      </c>
      <c r="CF5" s="63">
        <v>75.7</v>
      </c>
      <c r="CG5" s="63">
        <v>513</v>
      </c>
      <c r="CH5" s="63">
        <v>16.899999999999999</v>
      </c>
      <c r="CI5" s="63">
        <v>31.9</v>
      </c>
      <c r="CJ5" s="63">
        <v>1.9</v>
      </c>
      <c r="CK5" s="63">
        <v>0.4</v>
      </c>
      <c r="CL5" s="63">
        <v>25.8</v>
      </c>
      <c r="CM5" s="63">
        <v>30.2</v>
      </c>
    </row>
    <row r="6" spans="1:91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63">
        <v>2019</v>
      </c>
      <c r="I6" s="63">
        <v>112</v>
      </c>
      <c r="J6" s="63">
        <v>135</v>
      </c>
      <c r="K6" s="63">
        <v>233</v>
      </c>
      <c r="L6" s="63">
        <v>223</v>
      </c>
      <c r="M6" s="63">
        <v>314</v>
      </c>
      <c r="N6" s="63">
        <v>363</v>
      </c>
      <c r="O6" s="63">
        <v>289</v>
      </c>
      <c r="P6" s="63">
        <v>209</v>
      </c>
      <c r="Q6" s="63">
        <v>129</v>
      </c>
      <c r="R6" s="63">
        <v>14</v>
      </c>
      <c r="S6" s="63">
        <v>595</v>
      </c>
      <c r="T6" s="63">
        <v>544</v>
      </c>
      <c r="U6" s="63">
        <v>329</v>
      </c>
      <c r="V6" s="63">
        <v>318</v>
      </c>
      <c r="W6" s="63">
        <v>178</v>
      </c>
      <c r="X6" s="63">
        <v>56</v>
      </c>
      <c r="Y6" s="63">
        <v>800</v>
      </c>
      <c r="Z6" s="63">
        <v>1077</v>
      </c>
      <c r="AA6" s="63">
        <v>143</v>
      </c>
      <c r="AB6" s="63">
        <v>1038</v>
      </c>
      <c r="AC6" s="63">
        <v>331</v>
      </c>
      <c r="AD6" s="63">
        <v>264</v>
      </c>
      <c r="AE6" s="63">
        <v>172</v>
      </c>
      <c r="AF6" s="63">
        <v>153</v>
      </c>
      <c r="AG6" s="63">
        <v>94</v>
      </c>
      <c r="AH6" s="63">
        <v>24</v>
      </c>
      <c r="AI6" s="63">
        <v>438</v>
      </c>
      <c r="AJ6" s="63">
        <v>528</v>
      </c>
      <c r="AK6" s="63">
        <v>72</v>
      </c>
      <c r="AL6" s="63">
        <v>981</v>
      </c>
      <c r="AM6" s="63">
        <v>263</v>
      </c>
      <c r="AN6" s="63">
        <v>280</v>
      </c>
      <c r="AO6" s="63">
        <v>156</v>
      </c>
      <c r="AP6" s="63">
        <v>165</v>
      </c>
      <c r="AQ6" s="63">
        <v>84</v>
      </c>
      <c r="AR6" s="63">
        <v>32</v>
      </c>
      <c r="AS6" s="63">
        <v>362</v>
      </c>
      <c r="AT6" s="63">
        <v>549</v>
      </c>
      <c r="AU6" s="63">
        <v>71</v>
      </c>
      <c r="AV6" s="63">
        <v>1518</v>
      </c>
      <c r="AW6" s="63">
        <v>0</v>
      </c>
      <c r="AX6" s="63">
        <v>26</v>
      </c>
      <c r="AY6" s="63">
        <v>17</v>
      </c>
      <c r="AZ6" s="63">
        <v>43</v>
      </c>
      <c r="BA6" s="63">
        <v>184</v>
      </c>
      <c r="BB6" s="63">
        <v>321</v>
      </c>
      <c r="BC6" s="63">
        <v>163</v>
      </c>
      <c r="BD6" s="63">
        <v>764</v>
      </c>
      <c r="BE6" s="63">
        <v>759</v>
      </c>
      <c r="BF6" s="63">
        <v>0</v>
      </c>
      <c r="BG6" s="63">
        <v>19</v>
      </c>
      <c r="BH6" s="63">
        <v>5</v>
      </c>
      <c r="BI6" s="63">
        <v>17</v>
      </c>
      <c r="BJ6" s="63">
        <v>66</v>
      </c>
      <c r="BK6" s="63">
        <v>252</v>
      </c>
      <c r="BL6" s="63">
        <v>88</v>
      </c>
      <c r="BM6" s="63">
        <v>312</v>
      </c>
      <c r="BN6" s="63">
        <v>759</v>
      </c>
      <c r="BO6" s="63">
        <v>0</v>
      </c>
      <c r="BP6" s="63">
        <v>7</v>
      </c>
      <c r="BQ6" s="63">
        <v>12</v>
      </c>
      <c r="BR6" s="63">
        <v>26</v>
      </c>
      <c r="BS6" s="63">
        <v>119</v>
      </c>
      <c r="BT6" s="63">
        <v>69</v>
      </c>
      <c r="BU6" s="63">
        <v>74</v>
      </c>
      <c r="BV6" s="63">
        <v>452</v>
      </c>
      <c r="BW6" s="63">
        <v>1303</v>
      </c>
      <c r="BX6" s="63">
        <v>716</v>
      </c>
      <c r="BY6" s="63">
        <v>755</v>
      </c>
      <c r="BZ6" s="63">
        <v>2019</v>
      </c>
      <c r="CA6" s="63">
        <v>0</v>
      </c>
      <c r="CB6" s="63">
        <v>0.1</v>
      </c>
      <c r="CC6" s="63">
        <v>10</v>
      </c>
      <c r="CD6" s="63">
        <v>20190</v>
      </c>
      <c r="CE6" s="63">
        <v>2</v>
      </c>
      <c r="CF6" s="63">
        <v>201.9</v>
      </c>
      <c r="CG6" s="63">
        <v>234</v>
      </c>
      <c r="CH6" s="63">
        <v>11.6</v>
      </c>
      <c r="CI6" s="63">
        <v>39.6</v>
      </c>
      <c r="CJ6" s="63">
        <v>3.4</v>
      </c>
      <c r="CK6" s="63">
        <v>0.2</v>
      </c>
      <c r="CL6" s="63">
        <v>35.5</v>
      </c>
      <c r="CM6" s="63">
        <v>37.4</v>
      </c>
    </row>
    <row r="7" spans="1:91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63">
        <v>1683</v>
      </c>
      <c r="I7" s="63">
        <v>67</v>
      </c>
      <c r="J7" s="63">
        <v>108</v>
      </c>
      <c r="K7" s="63">
        <v>165</v>
      </c>
      <c r="L7" s="63">
        <v>237</v>
      </c>
      <c r="M7" s="63">
        <v>168</v>
      </c>
      <c r="N7" s="63">
        <v>307</v>
      </c>
      <c r="O7" s="63">
        <v>317</v>
      </c>
      <c r="P7" s="63">
        <v>154</v>
      </c>
      <c r="Q7" s="63">
        <v>138</v>
      </c>
      <c r="R7" s="63">
        <v>23</v>
      </c>
      <c r="S7" s="63">
        <v>459</v>
      </c>
      <c r="T7" s="63">
        <v>391</v>
      </c>
      <c r="U7" s="63">
        <v>286</v>
      </c>
      <c r="V7" s="63">
        <v>334</v>
      </c>
      <c r="W7" s="63">
        <v>150</v>
      </c>
      <c r="X7" s="63">
        <v>64</v>
      </c>
      <c r="Y7" s="63">
        <v>630</v>
      </c>
      <c r="Z7" s="63">
        <v>892</v>
      </c>
      <c r="AA7" s="63">
        <v>161</v>
      </c>
      <c r="AB7" s="63">
        <v>861</v>
      </c>
      <c r="AC7" s="63">
        <v>261</v>
      </c>
      <c r="AD7" s="63">
        <v>173</v>
      </c>
      <c r="AE7" s="63">
        <v>149</v>
      </c>
      <c r="AF7" s="63">
        <v>160</v>
      </c>
      <c r="AG7" s="63">
        <v>84</v>
      </c>
      <c r="AH7" s="63">
        <v>33</v>
      </c>
      <c r="AI7" s="63">
        <v>332</v>
      </c>
      <c r="AJ7" s="63">
        <v>438</v>
      </c>
      <c r="AK7" s="63">
        <v>91</v>
      </c>
      <c r="AL7" s="63">
        <v>822</v>
      </c>
      <c r="AM7" s="63">
        <v>197</v>
      </c>
      <c r="AN7" s="63">
        <v>218</v>
      </c>
      <c r="AO7" s="63">
        <v>136</v>
      </c>
      <c r="AP7" s="63">
        <v>173</v>
      </c>
      <c r="AQ7" s="63">
        <v>66</v>
      </c>
      <c r="AR7" s="63">
        <v>31</v>
      </c>
      <c r="AS7" s="63">
        <v>298</v>
      </c>
      <c r="AT7" s="63">
        <v>455</v>
      </c>
      <c r="AU7" s="63">
        <v>69</v>
      </c>
      <c r="AV7" s="63">
        <v>1126</v>
      </c>
      <c r="AW7" s="63">
        <v>0</v>
      </c>
      <c r="AX7" s="63">
        <v>17</v>
      </c>
      <c r="AY7" s="63">
        <v>23</v>
      </c>
      <c r="AZ7" s="63">
        <v>44</v>
      </c>
      <c r="BA7" s="63">
        <v>102</v>
      </c>
      <c r="BB7" s="63">
        <v>204</v>
      </c>
      <c r="BC7" s="63">
        <v>159</v>
      </c>
      <c r="BD7" s="63">
        <v>578</v>
      </c>
      <c r="BE7" s="63">
        <v>562</v>
      </c>
      <c r="BF7" s="63">
        <v>0</v>
      </c>
      <c r="BG7" s="63">
        <v>12</v>
      </c>
      <c r="BH7" s="63">
        <v>12</v>
      </c>
      <c r="BI7" s="63">
        <v>19</v>
      </c>
      <c r="BJ7" s="63">
        <v>31</v>
      </c>
      <c r="BK7" s="63">
        <v>168</v>
      </c>
      <c r="BL7" s="63">
        <v>89</v>
      </c>
      <c r="BM7" s="63">
        <v>232</v>
      </c>
      <c r="BN7" s="63">
        <v>563</v>
      </c>
      <c r="BO7" s="63">
        <v>0</v>
      </c>
      <c r="BP7" s="63">
        <v>5</v>
      </c>
      <c r="BQ7" s="63">
        <v>11</v>
      </c>
      <c r="BR7" s="63">
        <v>25</v>
      </c>
      <c r="BS7" s="63">
        <v>71</v>
      </c>
      <c r="BT7" s="63">
        <v>36</v>
      </c>
      <c r="BU7" s="63">
        <v>70</v>
      </c>
      <c r="BV7" s="63">
        <v>346</v>
      </c>
      <c r="BW7" s="63">
        <v>1206</v>
      </c>
      <c r="BX7" s="63">
        <v>476</v>
      </c>
      <c r="BY7" s="63">
        <v>544</v>
      </c>
      <c r="BZ7" s="63">
        <v>1683</v>
      </c>
      <c r="CA7" s="63">
        <v>0</v>
      </c>
      <c r="CB7" s="63">
        <v>0.4</v>
      </c>
      <c r="CC7" s="63">
        <v>40</v>
      </c>
      <c r="CD7" s="63">
        <v>4207.5</v>
      </c>
      <c r="CE7" s="63">
        <v>1.7</v>
      </c>
      <c r="CF7" s="63">
        <v>42.1</v>
      </c>
      <c r="CG7" s="63">
        <v>214</v>
      </c>
      <c r="CH7" s="63">
        <v>12.7</v>
      </c>
      <c r="CI7" s="63">
        <v>37.4</v>
      </c>
      <c r="CJ7" s="63">
        <v>2.9</v>
      </c>
      <c r="CK7" s="63">
        <v>0.3</v>
      </c>
      <c r="CL7" s="63">
        <v>28.3</v>
      </c>
      <c r="CM7" s="63">
        <v>32.299999999999997</v>
      </c>
    </row>
    <row r="8" spans="1:91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63">
        <v>2609</v>
      </c>
      <c r="I8" s="63">
        <v>88</v>
      </c>
      <c r="J8" s="63">
        <v>137</v>
      </c>
      <c r="K8" s="63">
        <v>279</v>
      </c>
      <c r="L8" s="63">
        <v>340</v>
      </c>
      <c r="M8" s="63">
        <v>262</v>
      </c>
      <c r="N8" s="63">
        <v>516</v>
      </c>
      <c r="O8" s="63">
        <v>516</v>
      </c>
      <c r="P8" s="63">
        <v>182</v>
      </c>
      <c r="Q8" s="63">
        <v>227</v>
      </c>
      <c r="R8" s="63">
        <v>63</v>
      </c>
      <c r="S8" s="63">
        <v>697</v>
      </c>
      <c r="T8" s="63">
        <v>590</v>
      </c>
      <c r="U8" s="63">
        <v>551</v>
      </c>
      <c r="V8" s="63">
        <v>387</v>
      </c>
      <c r="W8" s="63">
        <v>282</v>
      </c>
      <c r="X8" s="63">
        <v>103</v>
      </c>
      <c r="Y8" s="63">
        <v>946</v>
      </c>
      <c r="Z8" s="63">
        <v>1372</v>
      </c>
      <c r="AA8" s="63">
        <v>290</v>
      </c>
      <c r="AB8" s="63">
        <v>1320</v>
      </c>
      <c r="AC8" s="63">
        <v>390</v>
      </c>
      <c r="AD8" s="63">
        <v>313</v>
      </c>
      <c r="AE8" s="63">
        <v>264</v>
      </c>
      <c r="AF8" s="63">
        <v>172</v>
      </c>
      <c r="AG8" s="63">
        <v>136</v>
      </c>
      <c r="AH8" s="63">
        <v>46</v>
      </c>
      <c r="AI8" s="63">
        <v>545</v>
      </c>
      <c r="AJ8" s="63">
        <v>637</v>
      </c>
      <c r="AK8" s="63">
        <v>138</v>
      </c>
      <c r="AL8" s="63">
        <v>1289</v>
      </c>
      <c r="AM8" s="63">
        <v>307</v>
      </c>
      <c r="AN8" s="63">
        <v>277</v>
      </c>
      <c r="AO8" s="63">
        <v>286</v>
      </c>
      <c r="AP8" s="63">
        <v>216</v>
      </c>
      <c r="AQ8" s="63">
        <v>146</v>
      </c>
      <c r="AR8" s="63">
        <v>57</v>
      </c>
      <c r="AS8" s="63">
        <v>401</v>
      </c>
      <c r="AT8" s="63">
        <v>735</v>
      </c>
      <c r="AU8" s="63">
        <v>153</v>
      </c>
      <c r="AV8" s="63">
        <v>1970</v>
      </c>
      <c r="AW8" s="63">
        <v>0</v>
      </c>
      <c r="AX8" s="63">
        <v>22</v>
      </c>
      <c r="AY8" s="63">
        <v>25</v>
      </c>
      <c r="AZ8" s="63">
        <v>156</v>
      </c>
      <c r="BA8" s="63">
        <v>323</v>
      </c>
      <c r="BB8" s="63">
        <v>458</v>
      </c>
      <c r="BC8" s="63">
        <v>293</v>
      </c>
      <c r="BD8" s="63">
        <v>692</v>
      </c>
      <c r="BE8" s="63">
        <v>971</v>
      </c>
      <c r="BF8" s="63">
        <v>0</v>
      </c>
      <c r="BG8" s="63">
        <v>18</v>
      </c>
      <c r="BH8" s="63">
        <v>14</v>
      </c>
      <c r="BI8" s="63">
        <v>73</v>
      </c>
      <c r="BJ8" s="63">
        <v>81</v>
      </c>
      <c r="BK8" s="63">
        <v>360</v>
      </c>
      <c r="BL8" s="63">
        <v>149</v>
      </c>
      <c r="BM8" s="63">
        <v>276</v>
      </c>
      <c r="BN8" s="63">
        <v>999</v>
      </c>
      <c r="BO8" s="63">
        <v>0</v>
      </c>
      <c r="BP8" s="63">
        <v>4</v>
      </c>
      <c r="BQ8" s="63">
        <v>11</v>
      </c>
      <c r="BR8" s="63">
        <v>83</v>
      </c>
      <c r="BS8" s="63">
        <v>242</v>
      </c>
      <c r="BT8" s="63">
        <v>98</v>
      </c>
      <c r="BU8" s="63">
        <v>144</v>
      </c>
      <c r="BV8" s="63">
        <v>417</v>
      </c>
      <c r="BW8" s="63">
        <v>2016</v>
      </c>
      <c r="BX8" s="63">
        <v>593</v>
      </c>
      <c r="BY8" s="63">
        <v>614</v>
      </c>
      <c r="BZ8" s="63">
        <v>2603</v>
      </c>
      <c r="CA8" s="63">
        <v>6</v>
      </c>
      <c r="CB8" s="63">
        <v>0.9</v>
      </c>
      <c r="CC8" s="63">
        <v>90</v>
      </c>
      <c r="CD8" s="63">
        <v>2898.9</v>
      </c>
      <c r="CE8" s="63">
        <v>2.6</v>
      </c>
      <c r="CF8" s="63">
        <v>29</v>
      </c>
      <c r="CG8" s="63">
        <v>385</v>
      </c>
      <c r="CH8" s="63">
        <v>14.8</v>
      </c>
      <c r="CI8" s="63">
        <v>36.299999999999997</v>
      </c>
      <c r="CJ8" s="63">
        <v>2.5</v>
      </c>
      <c r="CK8" s="63">
        <v>0.3</v>
      </c>
      <c r="CL8" s="63">
        <v>22.7</v>
      </c>
      <c r="CM8" s="63">
        <v>23.5</v>
      </c>
    </row>
    <row r="9" spans="1:91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63">
        <v>2224</v>
      </c>
      <c r="I9" s="63">
        <v>121</v>
      </c>
      <c r="J9" s="63">
        <v>116</v>
      </c>
      <c r="K9" s="63">
        <v>191</v>
      </c>
      <c r="L9" s="63">
        <v>309</v>
      </c>
      <c r="M9" s="63">
        <v>199</v>
      </c>
      <c r="N9" s="63">
        <v>387</v>
      </c>
      <c r="O9" s="63">
        <v>424</v>
      </c>
      <c r="P9" s="63">
        <v>151</v>
      </c>
      <c r="Q9" s="63">
        <v>265</v>
      </c>
      <c r="R9" s="63">
        <v>61</v>
      </c>
      <c r="S9" s="63">
        <v>635</v>
      </c>
      <c r="T9" s="63">
        <v>403</v>
      </c>
      <c r="U9" s="63">
        <v>447</v>
      </c>
      <c r="V9" s="63">
        <v>328</v>
      </c>
      <c r="W9" s="63">
        <v>316</v>
      </c>
      <c r="X9" s="63">
        <v>95</v>
      </c>
      <c r="Y9" s="63">
        <v>803</v>
      </c>
      <c r="Z9" s="63">
        <v>1095</v>
      </c>
      <c r="AA9" s="63">
        <v>326</v>
      </c>
      <c r="AB9" s="63">
        <v>1075</v>
      </c>
      <c r="AC9" s="63">
        <v>313</v>
      </c>
      <c r="AD9" s="63">
        <v>185</v>
      </c>
      <c r="AE9" s="63">
        <v>222</v>
      </c>
      <c r="AF9" s="63">
        <v>170</v>
      </c>
      <c r="AG9" s="63">
        <v>166</v>
      </c>
      <c r="AH9" s="63">
        <v>18</v>
      </c>
      <c r="AI9" s="63">
        <v>392</v>
      </c>
      <c r="AJ9" s="63">
        <v>547</v>
      </c>
      <c r="AK9" s="63">
        <v>135</v>
      </c>
      <c r="AL9" s="63">
        <v>1150</v>
      </c>
      <c r="AM9" s="63">
        <v>322</v>
      </c>
      <c r="AN9" s="63">
        <v>218</v>
      </c>
      <c r="AO9" s="63">
        <v>225</v>
      </c>
      <c r="AP9" s="63">
        <v>158</v>
      </c>
      <c r="AQ9" s="63">
        <v>150</v>
      </c>
      <c r="AR9" s="63">
        <v>77</v>
      </c>
      <c r="AS9" s="63">
        <v>411</v>
      </c>
      <c r="AT9" s="63">
        <v>548</v>
      </c>
      <c r="AU9" s="63">
        <v>191</v>
      </c>
      <c r="AV9" s="63">
        <v>1547</v>
      </c>
      <c r="AW9" s="63">
        <v>0</v>
      </c>
      <c r="AX9" s="63">
        <v>17</v>
      </c>
      <c r="AY9" s="63">
        <v>31</v>
      </c>
      <c r="AZ9" s="63">
        <v>132</v>
      </c>
      <c r="BA9" s="63">
        <v>203</v>
      </c>
      <c r="BB9" s="63">
        <v>335</v>
      </c>
      <c r="BC9" s="63">
        <v>337</v>
      </c>
      <c r="BD9" s="63">
        <v>493</v>
      </c>
      <c r="BE9" s="63">
        <v>749</v>
      </c>
      <c r="BF9" s="63">
        <v>0</v>
      </c>
      <c r="BG9" s="63">
        <v>17</v>
      </c>
      <c r="BH9" s="63">
        <v>7</v>
      </c>
      <c r="BI9" s="63">
        <v>69</v>
      </c>
      <c r="BJ9" s="63">
        <v>72</v>
      </c>
      <c r="BK9" s="63">
        <v>269</v>
      </c>
      <c r="BL9" s="63">
        <v>141</v>
      </c>
      <c r="BM9" s="63">
        <v>175</v>
      </c>
      <c r="BN9" s="63">
        <v>798</v>
      </c>
      <c r="BO9" s="63">
        <v>0</v>
      </c>
      <c r="BP9" s="63">
        <v>1</v>
      </c>
      <c r="BQ9" s="63">
        <v>25</v>
      </c>
      <c r="BR9" s="63">
        <v>63</v>
      </c>
      <c r="BS9" s="63">
        <v>131</v>
      </c>
      <c r="BT9" s="63">
        <v>66</v>
      </c>
      <c r="BU9" s="63">
        <v>196</v>
      </c>
      <c r="BV9" s="63">
        <v>317</v>
      </c>
      <c r="BW9" s="63">
        <v>1819</v>
      </c>
      <c r="BX9" s="63">
        <v>405</v>
      </c>
      <c r="BY9" s="63">
        <v>512</v>
      </c>
      <c r="BZ9" s="63">
        <v>2224</v>
      </c>
      <c r="CA9" s="63">
        <v>0</v>
      </c>
      <c r="CB9" s="63">
        <v>0.4</v>
      </c>
      <c r="CC9" s="63">
        <v>40</v>
      </c>
      <c r="CD9" s="63">
        <v>5560</v>
      </c>
      <c r="CE9" s="63">
        <v>2.2000000000000002</v>
      </c>
      <c r="CF9" s="63">
        <v>55.6</v>
      </c>
      <c r="CG9" s="63">
        <v>411</v>
      </c>
      <c r="CH9" s="63">
        <v>18.5</v>
      </c>
      <c r="CI9" s="63">
        <v>36.1</v>
      </c>
      <c r="CJ9" s="63">
        <v>2</v>
      </c>
      <c r="CK9" s="63">
        <v>0.4</v>
      </c>
      <c r="CL9" s="63">
        <v>18.2</v>
      </c>
      <c r="CM9" s="63">
        <v>23</v>
      </c>
    </row>
    <row r="10" spans="1:91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63">
        <v>3518</v>
      </c>
      <c r="I10" s="63">
        <v>160</v>
      </c>
      <c r="J10" s="63">
        <v>210</v>
      </c>
      <c r="K10" s="63">
        <v>325</v>
      </c>
      <c r="L10" s="63">
        <v>535</v>
      </c>
      <c r="M10" s="63">
        <v>430</v>
      </c>
      <c r="N10" s="63">
        <v>580</v>
      </c>
      <c r="O10" s="63">
        <v>669</v>
      </c>
      <c r="P10" s="63">
        <v>280</v>
      </c>
      <c r="Q10" s="63">
        <v>241</v>
      </c>
      <c r="R10" s="63">
        <v>88</v>
      </c>
      <c r="S10" s="63">
        <v>1009</v>
      </c>
      <c r="T10" s="63">
        <v>858</v>
      </c>
      <c r="U10" s="63">
        <v>571</v>
      </c>
      <c r="V10" s="63">
        <v>639</v>
      </c>
      <c r="W10" s="63">
        <v>295</v>
      </c>
      <c r="X10" s="63">
        <v>147</v>
      </c>
      <c r="Y10" s="63">
        <v>1365</v>
      </c>
      <c r="Z10" s="63">
        <v>1825</v>
      </c>
      <c r="AA10" s="63">
        <v>329</v>
      </c>
      <c r="AB10" s="63">
        <v>1796</v>
      </c>
      <c r="AC10" s="63">
        <v>551</v>
      </c>
      <c r="AD10" s="63">
        <v>477</v>
      </c>
      <c r="AE10" s="63">
        <v>248</v>
      </c>
      <c r="AF10" s="63">
        <v>317</v>
      </c>
      <c r="AG10" s="63">
        <v>128</v>
      </c>
      <c r="AH10" s="63">
        <v>75</v>
      </c>
      <c r="AI10" s="63">
        <v>728</v>
      </c>
      <c r="AJ10" s="63">
        <v>911</v>
      </c>
      <c r="AK10" s="63">
        <v>157</v>
      </c>
      <c r="AL10" s="63">
        <v>1722</v>
      </c>
      <c r="AM10" s="63">
        <v>458</v>
      </c>
      <c r="AN10" s="63">
        <v>381</v>
      </c>
      <c r="AO10" s="63">
        <v>323</v>
      </c>
      <c r="AP10" s="63">
        <v>321</v>
      </c>
      <c r="AQ10" s="63">
        <v>166</v>
      </c>
      <c r="AR10" s="63">
        <v>73</v>
      </c>
      <c r="AS10" s="63">
        <v>637</v>
      </c>
      <c r="AT10" s="63">
        <v>914</v>
      </c>
      <c r="AU10" s="63">
        <v>172</v>
      </c>
      <c r="AV10" s="63">
        <v>2530</v>
      </c>
      <c r="AW10" s="63">
        <v>0</v>
      </c>
      <c r="AX10" s="63">
        <v>22</v>
      </c>
      <c r="AY10" s="63">
        <v>50</v>
      </c>
      <c r="AZ10" s="63">
        <v>135</v>
      </c>
      <c r="BA10" s="63">
        <v>318</v>
      </c>
      <c r="BB10" s="63">
        <v>500</v>
      </c>
      <c r="BC10" s="63">
        <v>337</v>
      </c>
      <c r="BD10" s="63">
        <v>1167</v>
      </c>
      <c r="BE10" s="63">
        <v>1246</v>
      </c>
      <c r="BF10" s="63">
        <v>0</v>
      </c>
      <c r="BG10" s="63">
        <v>22</v>
      </c>
      <c r="BH10" s="63">
        <v>34</v>
      </c>
      <c r="BI10" s="63">
        <v>83</v>
      </c>
      <c r="BJ10" s="63">
        <v>125</v>
      </c>
      <c r="BK10" s="63">
        <v>399</v>
      </c>
      <c r="BL10" s="63">
        <v>139</v>
      </c>
      <c r="BM10" s="63">
        <v>444</v>
      </c>
      <c r="BN10" s="63">
        <v>1284</v>
      </c>
      <c r="BO10" s="63">
        <v>0</v>
      </c>
      <c r="BP10" s="63">
        <v>0</v>
      </c>
      <c r="BQ10" s="63">
        <v>15</v>
      </c>
      <c r="BR10" s="63">
        <v>52</v>
      </c>
      <c r="BS10" s="63">
        <v>194</v>
      </c>
      <c r="BT10" s="63">
        <v>101</v>
      </c>
      <c r="BU10" s="63">
        <v>199</v>
      </c>
      <c r="BV10" s="63">
        <v>723</v>
      </c>
      <c r="BW10" s="63">
        <v>2642</v>
      </c>
      <c r="BX10" s="63">
        <v>877</v>
      </c>
      <c r="BY10" s="63">
        <v>946</v>
      </c>
      <c r="BZ10" s="63">
        <v>3518</v>
      </c>
      <c r="CA10" s="63">
        <v>0</v>
      </c>
      <c r="CB10" s="63">
        <v>0.6</v>
      </c>
      <c r="CC10" s="63">
        <v>60</v>
      </c>
      <c r="CD10" s="63">
        <v>5863.3</v>
      </c>
      <c r="CE10" s="63">
        <v>3.5</v>
      </c>
      <c r="CF10" s="63">
        <v>58.6</v>
      </c>
      <c r="CG10" s="63">
        <v>442</v>
      </c>
      <c r="CH10" s="63">
        <v>12.6</v>
      </c>
      <c r="CI10" s="63">
        <v>38.799999999999997</v>
      </c>
      <c r="CJ10" s="63">
        <v>3.1</v>
      </c>
      <c r="CK10" s="63">
        <v>0.2</v>
      </c>
      <c r="CL10" s="63">
        <v>24.9</v>
      </c>
      <c r="CM10" s="63">
        <v>26.9</v>
      </c>
    </row>
    <row r="11" spans="1:91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63">
        <v>2462</v>
      </c>
      <c r="I11" s="63">
        <v>138</v>
      </c>
      <c r="J11" s="63">
        <v>159</v>
      </c>
      <c r="K11" s="63">
        <v>253</v>
      </c>
      <c r="L11" s="63">
        <v>326</v>
      </c>
      <c r="M11" s="63">
        <v>272</v>
      </c>
      <c r="N11" s="63">
        <v>486</v>
      </c>
      <c r="O11" s="63">
        <v>414</v>
      </c>
      <c r="P11" s="63">
        <v>184</v>
      </c>
      <c r="Q11" s="63">
        <v>220</v>
      </c>
      <c r="R11" s="63">
        <v>11</v>
      </c>
      <c r="S11" s="63">
        <v>758</v>
      </c>
      <c r="T11" s="63">
        <v>536</v>
      </c>
      <c r="U11" s="63">
        <v>507</v>
      </c>
      <c r="V11" s="63">
        <v>334</v>
      </c>
      <c r="W11" s="63">
        <v>278</v>
      </c>
      <c r="X11" s="63">
        <v>49</v>
      </c>
      <c r="Y11" s="63">
        <v>952</v>
      </c>
      <c r="Z11" s="63">
        <v>1279</v>
      </c>
      <c r="AA11" s="63">
        <v>232</v>
      </c>
      <c r="AB11" s="63">
        <v>1161</v>
      </c>
      <c r="AC11" s="63">
        <v>337</v>
      </c>
      <c r="AD11" s="63">
        <v>240</v>
      </c>
      <c r="AE11" s="63">
        <v>236</v>
      </c>
      <c r="AF11" s="63">
        <v>193</v>
      </c>
      <c r="AG11" s="63">
        <v>128</v>
      </c>
      <c r="AH11" s="63">
        <v>27</v>
      </c>
      <c r="AI11" s="63">
        <v>424</v>
      </c>
      <c r="AJ11" s="63">
        <v>631</v>
      </c>
      <c r="AK11" s="63">
        <v>105</v>
      </c>
      <c r="AL11" s="63">
        <v>1302</v>
      </c>
      <c r="AM11" s="63">
        <v>420</v>
      </c>
      <c r="AN11" s="63">
        <v>296</v>
      </c>
      <c r="AO11" s="63">
        <v>272</v>
      </c>
      <c r="AP11" s="63">
        <v>141</v>
      </c>
      <c r="AQ11" s="63">
        <v>150</v>
      </c>
      <c r="AR11" s="63">
        <v>22</v>
      </c>
      <c r="AS11" s="63">
        <v>527</v>
      </c>
      <c r="AT11" s="63">
        <v>648</v>
      </c>
      <c r="AU11" s="63">
        <v>126</v>
      </c>
      <c r="AV11" s="63">
        <v>1801</v>
      </c>
      <c r="AW11" s="63">
        <v>0</v>
      </c>
      <c r="AX11" s="63">
        <v>47</v>
      </c>
      <c r="AY11" s="63">
        <v>95</v>
      </c>
      <c r="AZ11" s="63">
        <v>131</v>
      </c>
      <c r="BA11" s="63">
        <v>210</v>
      </c>
      <c r="BB11" s="63">
        <v>374</v>
      </c>
      <c r="BC11" s="63">
        <v>298</v>
      </c>
      <c r="BD11" s="63">
        <v>646</v>
      </c>
      <c r="BE11" s="63">
        <v>845</v>
      </c>
      <c r="BF11" s="63">
        <v>0</v>
      </c>
      <c r="BG11" s="63">
        <v>38</v>
      </c>
      <c r="BH11" s="63">
        <v>50</v>
      </c>
      <c r="BI11" s="63">
        <v>71</v>
      </c>
      <c r="BJ11" s="63">
        <v>54</v>
      </c>
      <c r="BK11" s="63">
        <v>275</v>
      </c>
      <c r="BL11" s="63">
        <v>149</v>
      </c>
      <c r="BM11" s="63">
        <v>207</v>
      </c>
      <c r="BN11" s="63">
        <v>956</v>
      </c>
      <c r="BO11" s="63">
        <v>0</v>
      </c>
      <c r="BP11" s="63">
        <v>8</v>
      </c>
      <c r="BQ11" s="63">
        <v>44</v>
      </c>
      <c r="BR11" s="63">
        <v>60</v>
      </c>
      <c r="BS11" s="63">
        <v>156</v>
      </c>
      <c r="BT11" s="63">
        <v>99</v>
      </c>
      <c r="BU11" s="63">
        <v>148</v>
      </c>
      <c r="BV11" s="63">
        <v>440</v>
      </c>
      <c r="BW11" s="63">
        <v>1890</v>
      </c>
      <c r="BX11" s="63">
        <v>572</v>
      </c>
      <c r="BY11" s="63">
        <v>620</v>
      </c>
      <c r="BZ11" s="63">
        <v>2462</v>
      </c>
      <c r="CA11" s="63">
        <v>0</v>
      </c>
      <c r="CB11" s="63">
        <v>0.2</v>
      </c>
      <c r="CC11" s="63">
        <v>20</v>
      </c>
      <c r="CD11" s="63">
        <v>12310</v>
      </c>
      <c r="CE11" s="63">
        <v>2.5</v>
      </c>
      <c r="CF11" s="63">
        <v>123.1</v>
      </c>
      <c r="CG11" s="63">
        <v>327</v>
      </c>
      <c r="CH11" s="63">
        <v>13.3</v>
      </c>
      <c r="CI11" s="63">
        <v>38.700000000000003</v>
      </c>
      <c r="CJ11" s="63">
        <v>2.9</v>
      </c>
      <c r="CK11" s="63">
        <v>0.2</v>
      </c>
      <c r="CL11" s="63">
        <v>23.2</v>
      </c>
      <c r="CM11" s="63">
        <v>25.2</v>
      </c>
    </row>
    <row r="12" spans="1:91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63">
        <v>2783</v>
      </c>
      <c r="I12" s="63">
        <v>113</v>
      </c>
      <c r="J12" s="63">
        <v>155</v>
      </c>
      <c r="K12" s="63">
        <v>273</v>
      </c>
      <c r="L12" s="63">
        <v>413</v>
      </c>
      <c r="M12" s="63">
        <v>267</v>
      </c>
      <c r="N12" s="63">
        <v>364</v>
      </c>
      <c r="O12" s="63">
        <v>563</v>
      </c>
      <c r="P12" s="63">
        <v>256</v>
      </c>
      <c r="Q12" s="63">
        <v>252</v>
      </c>
      <c r="R12" s="63">
        <v>127</v>
      </c>
      <c r="S12" s="63">
        <v>765</v>
      </c>
      <c r="T12" s="63">
        <v>566</v>
      </c>
      <c r="U12" s="63">
        <v>425</v>
      </c>
      <c r="V12" s="63">
        <v>543</v>
      </c>
      <c r="W12" s="63">
        <v>296</v>
      </c>
      <c r="X12" s="63">
        <v>188</v>
      </c>
      <c r="Y12" s="63">
        <v>1037</v>
      </c>
      <c r="Z12" s="63">
        <v>1367</v>
      </c>
      <c r="AA12" s="63">
        <v>379</v>
      </c>
      <c r="AB12" s="63">
        <v>1251</v>
      </c>
      <c r="AC12" s="63">
        <v>374</v>
      </c>
      <c r="AD12" s="63">
        <v>263</v>
      </c>
      <c r="AE12" s="63">
        <v>157</v>
      </c>
      <c r="AF12" s="63">
        <v>268</v>
      </c>
      <c r="AG12" s="63">
        <v>128</v>
      </c>
      <c r="AH12" s="63">
        <v>62</v>
      </c>
      <c r="AI12" s="63">
        <v>511</v>
      </c>
      <c r="AJ12" s="63">
        <v>599</v>
      </c>
      <c r="AK12" s="63">
        <v>141</v>
      </c>
      <c r="AL12" s="63">
        <v>1532</v>
      </c>
      <c r="AM12" s="63">
        <v>392</v>
      </c>
      <c r="AN12" s="63">
        <v>303</v>
      </c>
      <c r="AO12" s="63">
        <v>269</v>
      </c>
      <c r="AP12" s="63">
        <v>275</v>
      </c>
      <c r="AQ12" s="63">
        <v>168</v>
      </c>
      <c r="AR12" s="63">
        <v>126</v>
      </c>
      <c r="AS12" s="63">
        <v>527</v>
      </c>
      <c r="AT12" s="63">
        <v>768</v>
      </c>
      <c r="AU12" s="63">
        <v>238</v>
      </c>
      <c r="AV12" s="63">
        <v>2062</v>
      </c>
      <c r="AW12" s="63">
        <v>0</v>
      </c>
      <c r="AX12" s="63">
        <v>47</v>
      </c>
      <c r="AY12" s="63">
        <v>42</v>
      </c>
      <c r="AZ12" s="63">
        <v>107</v>
      </c>
      <c r="BA12" s="63">
        <v>297</v>
      </c>
      <c r="BB12" s="63">
        <v>388</v>
      </c>
      <c r="BC12" s="63">
        <v>419</v>
      </c>
      <c r="BD12" s="63">
        <v>762</v>
      </c>
      <c r="BE12" s="63">
        <v>906</v>
      </c>
      <c r="BF12" s="63">
        <v>0</v>
      </c>
      <c r="BG12" s="63">
        <v>34</v>
      </c>
      <c r="BH12" s="63">
        <v>22</v>
      </c>
      <c r="BI12" s="63">
        <v>60</v>
      </c>
      <c r="BJ12" s="63">
        <v>117</v>
      </c>
      <c r="BK12" s="63">
        <v>270</v>
      </c>
      <c r="BL12" s="63">
        <v>159</v>
      </c>
      <c r="BM12" s="63">
        <v>244</v>
      </c>
      <c r="BN12" s="63">
        <v>1156</v>
      </c>
      <c r="BO12" s="63">
        <v>0</v>
      </c>
      <c r="BP12" s="63">
        <v>13</v>
      </c>
      <c r="BQ12" s="63">
        <v>20</v>
      </c>
      <c r="BR12" s="63">
        <v>47</v>
      </c>
      <c r="BS12" s="63">
        <v>180</v>
      </c>
      <c r="BT12" s="63">
        <v>118</v>
      </c>
      <c r="BU12" s="63">
        <v>260</v>
      </c>
      <c r="BV12" s="63">
        <v>519</v>
      </c>
      <c r="BW12" s="63">
        <v>2068</v>
      </c>
      <c r="BX12" s="63">
        <v>714</v>
      </c>
      <c r="BY12" s="63">
        <v>822</v>
      </c>
      <c r="BZ12" s="63">
        <v>2711</v>
      </c>
      <c r="CA12" s="63">
        <v>72</v>
      </c>
      <c r="CB12" s="63">
        <v>0.3</v>
      </c>
      <c r="CC12" s="63">
        <v>30</v>
      </c>
      <c r="CD12" s="63">
        <v>9276.7000000000007</v>
      </c>
      <c r="CE12" s="63">
        <v>2.8</v>
      </c>
      <c r="CF12" s="63">
        <v>92.8</v>
      </c>
      <c r="CG12" s="63">
        <v>484</v>
      </c>
      <c r="CH12" s="63">
        <v>17.399999999999999</v>
      </c>
      <c r="CI12" s="63">
        <v>37.299999999999997</v>
      </c>
      <c r="CJ12" s="63">
        <v>2.1</v>
      </c>
      <c r="CK12" s="63">
        <v>0.4</v>
      </c>
      <c r="CL12" s="63">
        <v>25.7</v>
      </c>
      <c r="CM12" s="63">
        <v>29.5</v>
      </c>
    </row>
    <row r="13" spans="1:91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63">
        <v>2293</v>
      </c>
      <c r="I13" s="63">
        <v>91</v>
      </c>
      <c r="J13" s="63">
        <v>99</v>
      </c>
      <c r="K13" s="63">
        <v>210</v>
      </c>
      <c r="L13" s="63">
        <v>292</v>
      </c>
      <c r="M13" s="63">
        <v>299</v>
      </c>
      <c r="N13" s="63">
        <v>398</v>
      </c>
      <c r="O13" s="63">
        <v>442</v>
      </c>
      <c r="P13" s="63">
        <v>210</v>
      </c>
      <c r="Q13" s="63">
        <v>190</v>
      </c>
      <c r="R13" s="63">
        <v>61</v>
      </c>
      <c r="S13" s="63">
        <v>551</v>
      </c>
      <c r="T13" s="63">
        <v>570</v>
      </c>
      <c r="U13" s="63">
        <v>413</v>
      </c>
      <c r="V13" s="63">
        <v>436</v>
      </c>
      <c r="W13" s="63">
        <v>192</v>
      </c>
      <c r="X13" s="63">
        <v>131</v>
      </c>
      <c r="Y13" s="63">
        <v>780</v>
      </c>
      <c r="Z13" s="63">
        <v>1261</v>
      </c>
      <c r="AA13" s="63">
        <v>251</v>
      </c>
      <c r="AB13" s="63">
        <v>1184</v>
      </c>
      <c r="AC13" s="63">
        <v>277</v>
      </c>
      <c r="AD13" s="63">
        <v>296</v>
      </c>
      <c r="AE13" s="63">
        <v>236</v>
      </c>
      <c r="AF13" s="63">
        <v>210</v>
      </c>
      <c r="AG13" s="63">
        <v>106</v>
      </c>
      <c r="AH13" s="63">
        <v>59</v>
      </c>
      <c r="AI13" s="63">
        <v>385</v>
      </c>
      <c r="AJ13" s="63">
        <v>673</v>
      </c>
      <c r="AK13" s="63">
        <v>127</v>
      </c>
      <c r="AL13" s="63">
        <v>1109</v>
      </c>
      <c r="AM13" s="63">
        <v>274</v>
      </c>
      <c r="AN13" s="63">
        <v>274</v>
      </c>
      <c r="AO13" s="63">
        <v>177</v>
      </c>
      <c r="AP13" s="63">
        <v>226</v>
      </c>
      <c r="AQ13" s="63">
        <v>86</v>
      </c>
      <c r="AR13" s="63">
        <v>72</v>
      </c>
      <c r="AS13" s="63">
        <v>396</v>
      </c>
      <c r="AT13" s="63">
        <v>588</v>
      </c>
      <c r="AU13" s="63">
        <v>125</v>
      </c>
      <c r="AV13" s="63">
        <v>1765</v>
      </c>
      <c r="AW13" s="63">
        <v>0</v>
      </c>
      <c r="AX13" s="63">
        <v>51</v>
      </c>
      <c r="AY13" s="63">
        <v>33</v>
      </c>
      <c r="AZ13" s="63">
        <v>86</v>
      </c>
      <c r="BA13" s="63">
        <v>266</v>
      </c>
      <c r="BB13" s="63">
        <v>377</v>
      </c>
      <c r="BC13" s="63">
        <v>259</v>
      </c>
      <c r="BD13" s="63">
        <v>693</v>
      </c>
      <c r="BE13" s="63">
        <v>896</v>
      </c>
      <c r="BF13" s="63">
        <v>0</v>
      </c>
      <c r="BG13" s="63">
        <v>28</v>
      </c>
      <c r="BH13" s="63">
        <v>16</v>
      </c>
      <c r="BI13" s="63">
        <v>43</v>
      </c>
      <c r="BJ13" s="63">
        <v>97</v>
      </c>
      <c r="BK13" s="63">
        <v>298</v>
      </c>
      <c r="BL13" s="63">
        <v>133</v>
      </c>
      <c r="BM13" s="63">
        <v>281</v>
      </c>
      <c r="BN13" s="63">
        <v>869</v>
      </c>
      <c r="BO13" s="63">
        <v>0</v>
      </c>
      <c r="BP13" s="63">
        <v>23</v>
      </c>
      <c r="BQ13" s="63">
        <v>17</v>
      </c>
      <c r="BR13" s="63">
        <v>42</v>
      </c>
      <c r="BS13" s="63">
        <v>169</v>
      </c>
      <c r="BT13" s="63">
        <v>80</v>
      </c>
      <c r="BU13" s="63">
        <v>126</v>
      </c>
      <c r="BV13" s="63">
        <v>412</v>
      </c>
      <c r="BW13" s="63">
        <v>1561</v>
      </c>
      <c r="BX13" s="63">
        <v>732</v>
      </c>
      <c r="BY13" s="63">
        <v>744</v>
      </c>
      <c r="BZ13" s="63">
        <v>2178</v>
      </c>
      <c r="CA13" s="63">
        <v>115</v>
      </c>
      <c r="CB13" s="63">
        <v>0.2</v>
      </c>
      <c r="CC13" s="63">
        <v>20</v>
      </c>
      <c r="CD13" s="63">
        <v>11465</v>
      </c>
      <c r="CE13" s="63">
        <v>2.2999999999999998</v>
      </c>
      <c r="CF13" s="63">
        <v>114.6</v>
      </c>
      <c r="CG13" s="63">
        <v>323</v>
      </c>
      <c r="CH13" s="63">
        <v>14.1</v>
      </c>
      <c r="CI13" s="63">
        <v>34</v>
      </c>
      <c r="CJ13" s="63">
        <v>2.4</v>
      </c>
      <c r="CK13" s="63">
        <v>0.3</v>
      </c>
      <c r="CL13" s="63">
        <v>31.9</v>
      </c>
      <c r="CM13" s="63">
        <v>32.4</v>
      </c>
    </row>
    <row r="14" spans="1:91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63">
        <v>1973</v>
      </c>
      <c r="I14" s="63">
        <v>86</v>
      </c>
      <c r="J14" s="63">
        <v>93</v>
      </c>
      <c r="K14" s="63">
        <v>178</v>
      </c>
      <c r="L14" s="63">
        <v>222</v>
      </c>
      <c r="M14" s="63">
        <v>250</v>
      </c>
      <c r="N14" s="63">
        <v>323</v>
      </c>
      <c r="O14" s="63">
        <v>375</v>
      </c>
      <c r="P14" s="63">
        <v>239</v>
      </c>
      <c r="Q14" s="63">
        <v>176</v>
      </c>
      <c r="R14" s="63">
        <v>31</v>
      </c>
      <c r="S14" s="63">
        <v>482</v>
      </c>
      <c r="T14" s="63">
        <v>472</v>
      </c>
      <c r="U14" s="63">
        <v>313</v>
      </c>
      <c r="V14" s="63">
        <v>388</v>
      </c>
      <c r="W14" s="63">
        <v>268</v>
      </c>
      <c r="X14" s="63">
        <v>51</v>
      </c>
      <c r="Y14" s="63">
        <v>659</v>
      </c>
      <c r="Z14" s="63">
        <v>1107</v>
      </c>
      <c r="AA14" s="63">
        <v>207</v>
      </c>
      <c r="AB14" s="63">
        <v>970</v>
      </c>
      <c r="AC14" s="63">
        <v>234</v>
      </c>
      <c r="AD14" s="63">
        <v>237</v>
      </c>
      <c r="AE14" s="63">
        <v>156</v>
      </c>
      <c r="AF14" s="63">
        <v>181</v>
      </c>
      <c r="AG14" s="63">
        <v>134</v>
      </c>
      <c r="AH14" s="63">
        <v>28</v>
      </c>
      <c r="AI14" s="63">
        <v>324</v>
      </c>
      <c r="AJ14" s="63">
        <v>527</v>
      </c>
      <c r="AK14" s="63">
        <v>118</v>
      </c>
      <c r="AL14" s="63">
        <v>1004</v>
      </c>
      <c r="AM14" s="63">
        <v>248</v>
      </c>
      <c r="AN14" s="63">
        <v>235</v>
      </c>
      <c r="AO14" s="63">
        <v>156</v>
      </c>
      <c r="AP14" s="63">
        <v>207</v>
      </c>
      <c r="AQ14" s="63">
        <v>134</v>
      </c>
      <c r="AR14" s="63">
        <v>23</v>
      </c>
      <c r="AS14" s="63">
        <v>335</v>
      </c>
      <c r="AT14" s="63">
        <v>581</v>
      </c>
      <c r="AU14" s="63">
        <v>88</v>
      </c>
      <c r="AV14" s="63">
        <v>1300</v>
      </c>
      <c r="AW14" s="63">
        <v>0</v>
      </c>
      <c r="AX14" s="63">
        <v>24</v>
      </c>
      <c r="AY14" s="63">
        <v>3</v>
      </c>
      <c r="AZ14" s="63">
        <v>80</v>
      </c>
      <c r="BA14" s="63">
        <v>205</v>
      </c>
      <c r="BB14" s="63">
        <v>206</v>
      </c>
      <c r="BC14" s="63">
        <v>208</v>
      </c>
      <c r="BD14" s="63">
        <v>575</v>
      </c>
      <c r="BE14" s="63">
        <v>659</v>
      </c>
      <c r="BF14" s="63">
        <v>0</v>
      </c>
      <c r="BG14" s="63">
        <v>21</v>
      </c>
      <c r="BH14" s="63">
        <v>0</v>
      </c>
      <c r="BI14" s="63">
        <v>43</v>
      </c>
      <c r="BJ14" s="63">
        <v>94</v>
      </c>
      <c r="BK14" s="63">
        <v>164</v>
      </c>
      <c r="BL14" s="63">
        <v>106</v>
      </c>
      <c r="BM14" s="63">
        <v>231</v>
      </c>
      <c r="BN14" s="63">
        <v>642</v>
      </c>
      <c r="BO14" s="63">
        <v>0</v>
      </c>
      <c r="BP14" s="63">
        <v>3</v>
      </c>
      <c r="BQ14" s="63">
        <v>3</v>
      </c>
      <c r="BR14" s="63">
        <v>37</v>
      </c>
      <c r="BS14" s="63">
        <v>111</v>
      </c>
      <c r="BT14" s="63">
        <v>43</v>
      </c>
      <c r="BU14" s="63">
        <v>101</v>
      </c>
      <c r="BV14" s="63">
        <v>344</v>
      </c>
      <c r="BW14" s="63">
        <v>1305</v>
      </c>
      <c r="BX14" s="63">
        <v>669</v>
      </c>
      <c r="BY14" s="63">
        <v>695</v>
      </c>
      <c r="BZ14" s="63">
        <v>1973</v>
      </c>
      <c r="CA14" s="63">
        <v>0</v>
      </c>
      <c r="CB14" s="63">
        <v>0.3</v>
      </c>
      <c r="CC14" s="63">
        <v>30</v>
      </c>
      <c r="CD14" s="63">
        <v>6576.7</v>
      </c>
      <c r="CE14" s="63">
        <v>2</v>
      </c>
      <c r="CF14" s="63">
        <v>65.8</v>
      </c>
      <c r="CG14" s="63">
        <v>319</v>
      </c>
      <c r="CH14" s="63">
        <v>16.2</v>
      </c>
      <c r="CI14" s="63">
        <v>33.4</v>
      </c>
      <c r="CJ14" s="63">
        <v>2.1</v>
      </c>
      <c r="CK14" s="63">
        <v>0.3</v>
      </c>
      <c r="CL14" s="63">
        <v>33.9</v>
      </c>
      <c r="CM14" s="63">
        <v>35.200000000000003</v>
      </c>
    </row>
    <row r="15" spans="1:91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63">
        <v>2533</v>
      </c>
      <c r="I15" s="63">
        <v>117</v>
      </c>
      <c r="J15" s="63">
        <v>169</v>
      </c>
      <c r="K15" s="63">
        <v>228</v>
      </c>
      <c r="L15" s="63">
        <v>308</v>
      </c>
      <c r="M15" s="63">
        <v>246</v>
      </c>
      <c r="N15" s="63">
        <v>474</v>
      </c>
      <c r="O15" s="63">
        <v>472</v>
      </c>
      <c r="P15" s="63">
        <v>222</v>
      </c>
      <c r="Q15" s="63">
        <v>226</v>
      </c>
      <c r="R15" s="63">
        <v>72</v>
      </c>
      <c r="S15" s="63">
        <v>695</v>
      </c>
      <c r="T15" s="63">
        <v>534</v>
      </c>
      <c r="U15" s="63">
        <v>487</v>
      </c>
      <c r="V15" s="63">
        <v>417</v>
      </c>
      <c r="W15" s="63">
        <v>260</v>
      </c>
      <c r="X15" s="63">
        <v>139</v>
      </c>
      <c r="Y15" s="63">
        <v>886</v>
      </c>
      <c r="Z15" s="63">
        <v>1349</v>
      </c>
      <c r="AA15" s="63">
        <v>298</v>
      </c>
      <c r="AB15" s="63">
        <v>1229</v>
      </c>
      <c r="AC15" s="63">
        <v>361</v>
      </c>
      <c r="AD15" s="63">
        <v>262</v>
      </c>
      <c r="AE15" s="63">
        <v>216</v>
      </c>
      <c r="AF15" s="63">
        <v>227</v>
      </c>
      <c r="AG15" s="63">
        <v>105</v>
      </c>
      <c r="AH15" s="63">
        <v>57</v>
      </c>
      <c r="AI15" s="63">
        <v>438</v>
      </c>
      <c r="AJ15" s="63">
        <v>668</v>
      </c>
      <c r="AK15" s="63">
        <v>122</v>
      </c>
      <c r="AL15" s="63">
        <v>1305</v>
      </c>
      <c r="AM15" s="63">
        <v>334</v>
      </c>
      <c r="AN15" s="63">
        <v>272</v>
      </c>
      <c r="AO15" s="63">
        <v>271</v>
      </c>
      <c r="AP15" s="63">
        <v>190</v>
      </c>
      <c r="AQ15" s="63">
        <v>155</v>
      </c>
      <c r="AR15" s="63">
        <v>82</v>
      </c>
      <c r="AS15" s="63">
        <v>447</v>
      </c>
      <c r="AT15" s="63">
        <v>681</v>
      </c>
      <c r="AU15" s="63">
        <v>176</v>
      </c>
      <c r="AV15" s="63">
        <v>1810</v>
      </c>
      <c r="AW15" s="63">
        <v>0</v>
      </c>
      <c r="AX15" s="63">
        <v>54</v>
      </c>
      <c r="AY15" s="63">
        <v>76</v>
      </c>
      <c r="AZ15" s="63">
        <v>135</v>
      </c>
      <c r="BA15" s="63">
        <v>288</v>
      </c>
      <c r="BB15" s="63">
        <v>284</v>
      </c>
      <c r="BC15" s="63">
        <v>306</v>
      </c>
      <c r="BD15" s="63">
        <v>668</v>
      </c>
      <c r="BE15" s="63">
        <v>865</v>
      </c>
      <c r="BF15" s="63">
        <v>0</v>
      </c>
      <c r="BG15" s="63">
        <v>51</v>
      </c>
      <c r="BH15" s="63">
        <v>45</v>
      </c>
      <c r="BI15" s="63">
        <v>80</v>
      </c>
      <c r="BJ15" s="63">
        <v>94</v>
      </c>
      <c r="BK15" s="63">
        <v>222</v>
      </c>
      <c r="BL15" s="63">
        <v>123</v>
      </c>
      <c r="BM15" s="63">
        <v>249</v>
      </c>
      <c r="BN15" s="63">
        <v>946</v>
      </c>
      <c r="BO15" s="63">
        <v>0</v>
      </c>
      <c r="BP15" s="63">
        <v>2</v>
      </c>
      <c r="BQ15" s="63">
        <v>31</v>
      </c>
      <c r="BR15" s="63">
        <v>54</v>
      </c>
      <c r="BS15" s="63">
        <v>194</v>
      </c>
      <c r="BT15" s="63">
        <v>61</v>
      </c>
      <c r="BU15" s="63">
        <v>184</v>
      </c>
      <c r="BV15" s="63">
        <v>419</v>
      </c>
      <c r="BW15" s="63">
        <v>1822</v>
      </c>
      <c r="BX15" s="63">
        <v>711</v>
      </c>
      <c r="BY15" s="63">
        <v>717</v>
      </c>
      <c r="BZ15" s="63">
        <v>2533</v>
      </c>
      <c r="CA15" s="63">
        <v>0</v>
      </c>
      <c r="CB15" s="63">
        <v>0.5</v>
      </c>
      <c r="CC15" s="63">
        <v>50</v>
      </c>
      <c r="CD15" s="63">
        <v>5066</v>
      </c>
      <c r="CE15" s="63">
        <v>2.5</v>
      </c>
      <c r="CF15" s="63">
        <v>50.7</v>
      </c>
      <c r="CG15" s="63">
        <v>399</v>
      </c>
      <c r="CH15" s="63">
        <v>15.8</v>
      </c>
      <c r="CI15" s="63">
        <v>35</v>
      </c>
      <c r="CJ15" s="63">
        <v>2.2000000000000002</v>
      </c>
      <c r="CK15" s="63">
        <v>0.3</v>
      </c>
      <c r="CL15" s="63">
        <v>28.1</v>
      </c>
      <c r="CM15" s="63">
        <v>28.3</v>
      </c>
    </row>
    <row r="16" spans="1:91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63">
        <v>2057</v>
      </c>
      <c r="I16" s="63">
        <v>70</v>
      </c>
      <c r="J16" s="63">
        <v>55</v>
      </c>
      <c r="K16" s="63">
        <v>125</v>
      </c>
      <c r="L16" s="63">
        <v>211</v>
      </c>
      <c r="M16" s="63">
        <v>344</v>
      </c>
      <c r="N16" s="63">
        <v>359</v>
      </c>
      <c r="O16" s="63">
        <v>474</v>
      </c>
      <c r="P16" s="63">
        <v>222</v>
      </c>
      <c r="Q16" s="63">
        <v>139</v>
      </c>
      <c r="R16" s="63">
        <v>58</v>
      </c>
      <c r="S16" s="63">
        <v>354</v>
      </c>
      <c r="T16" s="63">
        <v>571</v>
      </c>
      <c r="U16" s="63">
        <v>388</v>
      </c>
      <c r="V16" s="63">
        <v>430</v>
      </c>
      <c r="W16" s="63">
        <v>227</v>
      </c>
      <c r="X16" s="63">
        <v>88</v>
      </c>
      <c r="Y16" s="63">
        <v>571</v>
      </c>
      <c r="Z16" s="63">
        <v>1289</v>
      </c>
      <c r="AA16" s="63">
        <v>196</v>
      </c>
      <c r="AB16" s="63">
        <v>1091</v>
      </c>
      <c r="AC16" s="63">
        <v>174</v>
      </c>
      <c r="AD16" s="63">
        <v>325</v>
      </c>
      <c r="AE16" s="63">
        <v>204</v>
      </c>
      <c r="AF16" s="63">
        <v>234</v>
      </c>
      <c r="AG16" s="63">
        <v>123</v>
      </c>
      <c r="AH16" s="63">
        <v>31</v>
      </c>
      <c r="AI16" s="63">
        <v>295</v>
      </c>
      <c r="AJ16" s="63">
        <v>704</v>
      </c>
      <c r="AK16" s="63">
        <v>91</v>
      </c>
      <c r="AL16" s="63">
        <v>966</v>
      </c>
      <c r="AM16" s="63">
        <v>180</v>
      </c>
      <c r="AN16" s="63">
        <v>246</v>
      </c>
      <c r="AO16" s="63">
        <v>184</v>
      </c>
      <c r="AP16" s="63">
        <v>195</v>
      </c>
      <c r="AQ16" s="63">
        <v>104</v>
      </c>
      <c r="AR16" s="63">
        <v>57</v>
      </c>
      <c r="AS16" s="63">
        <v>276</v>
      </c>
      <c r="AT16" s="63">
        <v>585</v>
      </c>
      <c r="AU16" s="63">
        <v>105</v>
      </c>
      <c r="AV16" s="63">
        <v>1638</v>
      </c>
      <c r="AW16" s="63">
        <v>0</v>
      </c>
      <c r="AX16" s="63">
        <v>76</v>
      </c>
      <c r="AY16" s="63">
        <v>155</v>
      </c>
      <c r="AZ16" s="63">
        <v>167</v>
      </c>
      <c r="BA16" s="63">
        <v>253</v>
      </c>
      <c r="BB16" s="63">
        <v>192</v>
      </c>
      <c r="BC16" s="63">
        <v>221</v>
      </c>
      <c r="BD16" s="63">
        <v>574</v>
      </c>
      <c r="BE16" s="63">
        <v>905</v>
      </c>
      <c r="BF16" s="63">
        <v>0</v>
      </c>
      <c r="BG16" s="63">
        <v>64</v>
      </c>
      <c r="BH16" s="63">
        <v>83</v>
      </c>
      <c r="BI16" s="63">
        <v>102</v>
      </c>
      <c r="BJ16" s="63">
        <v>95</v>
      </c>
      <c r="BK16" s="63">
        <v>173</v>
      </c>
      <c r="BL16" s="63">
        <v>105</v>
      </c>
      <c r="BM16" s="63">
        <v>282</v>
      </c>
      <c r="BN16" s="63">
        <v>733</v>
      </c>
      <c r="BO16" s="63">
        <v>0</v>
      </c>
      <c r="BP16" s="63">
        <v>13</v>
      </c>
      <c r="BQ16" s="63">
        <v>71</v>
      </c>
      <c r="BR16" s="63">
        <v>64</v>
      </c>
      <c r="BS16" s="63">
        <v>157</v>
      </c>
      <c r="BT16" s="63">
        <v>19</v>
      </c>
      <c r="BU16" s="63">
        <v>116</v>
      </c>
      <c r="BV16" s="63">
        <v>292</v>
      </c>
      <c r="BW16" s="63">
        <v>1726</v>
      </c>
      <c r="BX16" s="63">
        <v>331</v>
      </c>
      <c r="BY16" s="63">
        <v>384</v>
      </c>
      <c r="BZ16" s="63">
        <v>1995</v>
      </c>
      <c r="CA16" s="63">
        <v>62</v>
      </c>
      <c r="CB16" s="63">
        <v>0.2</v>
      </c>
      <c r="CC16" s="63">
        <v>20</v>
      </c>
      <c r="CD16" s="63">
        <v>10285</v>
      </c>
      <c r="CE16" s="63">
        <v>2.1</v>
      </c>
      <c r="CF16" s="63">
        <v>102.8</v>
      </c>
      <c r="CG16" s="63">
        <v>315</v>
      </c>
      <c r="CH16" s="63">
        <v>15.3</v>
      </c>
      <c r="CI16" s="63">
        <v>27.8</v>
      </c>
      <c r="CJ16" s="63">
        <v>1.8</v>
      </c>
      <c r="CK16" s="63">
        <v>0.3</v>
      </c>
      <c r="CL16" s="63">
        <v>16.100000000000001</v>
      </c>
      <c r="CM16" s="63">
        <v>18.7</v>
      </c>
    </row>
    <row r="17" spans="1:91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63">
        <v>3039</v>
      </c>
      <c r="I17" s="63">
        <v>156</v>
      </c>
      <c r="J17" s="63">
        <v>147</v>
      </c>
      <c r="K17" s="63">
        <v>290</v>
      </c>
      <c r="L17" s="63">
        <v>376</v>
      </c>
      <c r="M17" s="63">
        <v>427</v>
      </c>
      <c r="N17" s="63">
        <v>632</v>
      </c>
      <c r="O17" s="63">
        <v>554</v>
      </c>
      <c r="P17" s="63">
        <v>228</v>
      </c>
      <c r="Q17" s="63">
        <v>181</v>
      </c>
      <c r="R17" s="63">
        <v>47</v>
      </c>
      <c r="S17" s="63">
        <v>837</v>
      </c>
      <c r="T17" s="63">
        <v>820</v>
      </c>
      <c r="U17" s="63">
        <v>604</v>
      </c>
      <c r="V17" s="63">
        <v>461</v>
      </c>
      <c r="W17" s="63">
        <v>235</v>
      </c>
      <c r="X17" s="63">
        <v>82</v>
      </c>
      <c r="Y17" s="63">
        <v>1095</v>
      </c>
      <c r="Z17" s="63">
        <v>1715</v>
      </c>
      <c r="AA17" s="63">
        <v>229</v>
      </c>
      <c r="AB17" s="63">
        <v>1490</v>
      </c>
      <c r="AC17" s="63">
        <v>424</v>
      </c>
      <c r="AD17" s="63">
        <v>366</v>
      </c>
      <c r="AE17" s="63">
        <v>313</v>
      </c>
      <c r="AF17" s="63">
        <v>242</v>
      </c>
      <c r="AG17" s="63">
        <v>118</v>
      </c>
      <c r="AH17" s="63">
        <v>27</v>
      </c>
      <c r="AI17" s="63">
        <v>548</v>
      </c>
      <c r="AJ17" s="63">
        <v>855</v>
      </c>
      <c r="AK17" s="63">
        <v>87</v>
      </c>
      <c r="AL17" s="63">
        <v>1549</v>
      </c>
      <c r="AM17" s="63">
        <v>414</v>
      </c>
      <c r="AN17" s="63">
        <v>454</v>
      </c>
      <c r="AO17" s="63">
        <v>291</v>
      </c>
      <c r="AP17" s="63">
        <v>219</v>
      </c>
      <c r="AQ17" s="63">
        <v>117</v>
      </c>
      <c r="AR17" s="63">
        <v>54</v>
      </c>
      <c r="AS17" s="63">
        <v>547</v>
      </c>
      <c r="AT17" s="63">
        <v>861</v>
      </c>
      <c r="AU17" s="63">
        <v>142</v>
      </c>
      <c r="AV17" s="63">
        <v>2241</v>
      </c>
      <c r="AW17" s="63">
        <v>0</v>
      </c>
      <c r="AX17" s="63">
        <v>82</v>
      </c>
      <c r="AY17" s="63">
        <v>120</v>
      </c>
      <c r="AZ17" s="63">
        <v>229</v>
      </c>
      <c r="BA17" s="63">
        <v>398</v>
      </c>
      <c r="BB17" s="63">
        <v>296</v>
      </c>
      <c r="BC17" s="63">
        <v>232</v>
      </c>
      <c r="BD17" s="63">
        <v>883</v>
      </c>
      <c r="BE17" s="63">
        <v>1066</v>
      </c>
      <c r="BF17" s="63">
        <v>0</v>
      </c>
      <c r="BG17" s="63">
        <v>54</v>
      </c>
      <c r="BH17" s="63">
        <v>62</v>
      </c>
      <c r="BI17" s="63">
        <v>107</v>
      </c>
      <c r="BJ17" s="63">
        <v>122</v>
      </c>
      <c r="BK17" s="63">
        <v>255</v>
      </c>
      <c r="BL17" s="63">
        <v>103</v>
      </c>
      <c r="BM17" s="63">
        <v>363</v>
      </c>
      <c r="BN17" s="63">
        <v>1174</v>
      </c>
      <c r="BO17" s="63">
        <v>0</v>
      </c>
      <c r="BP17" s="63">
        <v>28</v>
      </c>
      <c r="BQ17" s="63">
        <v>59</v>
      </c>
      <c r="BR17" s="63">
        <v>122</v>
      </c>
      <c r="BS17" s="63">
        <v>275</v>
      </c>
      <c r="BT17" s="63">
        <v>42</v>
      </c>
      <c r="BU17" s="63">
        <v>129</v>
      </c>
      <c r="BV17" s="63">
        <v>520</v>
      </c>
      <c r="BW17" s="63">
        <v>2333</v>
      </c>
      <c r="BX17" s="63">
        <v>707</v>
      </c>
      <c r="BY17" s="63">
        <v>681</v>
      </c>
      <c r="BZ17" s="63">
        <v>3019</v>
      </c>
      <c r="CA17" s="63">
        <v>20</v>
      </c>
      <c r="CB17" s="63">
        <v>0.2</v>
      </c>
      <c r="CC17" s="63">
        <v>20</v>
      </c>
      <c r="CD17" s="63">
        <v>15195</v>
      </c>
      <c r="CE17" s="63">
        <v>3.1</v>
      </c>
      <c r="CF17" s="63">
        <v>152</v>
      </c>
      <c r="CG17" s="63">
        <v>317</v>
      </c>
      <c r="CH17" s="63">
        <v>10.4</v>
      </c>
      <c r="CI17" s="63">
        <v>36</v>
      </c>
      <c r="CJ17" s="63">
        <v>3.5</v>
      </c>
      <c r="CK17" s="63">
        <v>0.2</v>
      </c>
      <c r="CL17" s="63">
        <v>23.3</v>
      </c>
      <c r="CM17" s="63">
        <v>22.4</v>
      </c>
    </row>
    <row r="18" spans="1:91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63">
        <v>3534</v>
      </c>
      <c r="I18" s="63">
        <v>153</v>
      </c>
      <c r="J18" s="63">
        <v>163</v>
      </c>
      <c r="K18" s="63">
        <v>227</v>
      </c>
      <c r="L18" s="63">
        <v>264</v>
      </c>
      <c r="M18" s="63">
        <v>740</v>
      </c>
      <c r="N18" s="63">
        <v>906</v>
      </c>
      <c r="O18" s="63">
        <v>607</v>
      </c>
      <c r="P18" s="63">
        <v>280</v>
      </c>
      <c r="Q18" s="63">
        <v>171</v>
      </c>
      <c r="R18" s="63">
        <v>21</v>
      </c>
      <c r="S18" s="63">
        <v>688</v>
      </c>
      <c r="T18" s="63">
        <v>1177</v>
      </c>
      <c r="U18" s="63">
        <v>819</v>
      </c>
      <c r="V18" s="63">
        <v>516</v>
      </c>
      <c r="W18" s="63">
        <v>267</v>
      </c>
      <c r="X18" s="63">
        <v>66</v>
      </c>
      <c r="Y18" s="63">
        <v>1020</v>
      </c>
      <c r="Z18" s="63">
        <v>2321</v>
      </c>
      <c r="AA18" s="63">
        <v>193</v>
      </c>
      <c r="AB18" s="63">
        <v>1843</v>
      </c>
      <c r="AC18" s="63">
        <v>351</v>
      </c>
      <c r="AD18" s="63">
        <v>624</v>
      </c>
      <c r="AE18" s="63">
        <v>411</v>
      </c>
      <c r="AF18" s="63">
        <v>286</v>
      </c>
      <c r="AG18" s="63">
        <v>144</v>
      </c>
      <c r="AH18" s="63">
        <v>27</v>
      </c>
      <c r="AI18" s="63">
        <v>522</v>
      </c>
      <c r="AJ18" s="63">
        <v>1217</v>
      </c>
      <c r="AK18" s="63">
        <v>104</v>
      </c>
      <c r="AL18" s="63">
        <v>1691</v>
      </c>
      <c r="AM18" s="63">
        <v>337</v>
      </c>
      <c r="AN18" s="63">
        <v>553</v>
      </c>
      <c r="AO18" s="63">
        <v>407</v>
      </c>
      <c r="AP18" s="63">
        <v>231</v>
      </c>
      <c r="AQ18" s="63">
        <v>123</v>
      </c>
      <c r="AR18" s="63">
        <v>38</v>
      </c>
      <c r="AS18" s="63">
        <v>498</v>
      </c>
      <c r="AT18" s="63">
        <v>1104</v>
      </c>
      <c r="AU18" s="63">
        <v>89</v>
      </c>
      <c r="AV18" s="63">
        <v>2859</v>
      </c>
      <c r="AW18" s="63">
        <v>0</v>
      </c>
      <c r="AX18" s="63">
        <v>99</v>
      </c>
      <c r="AY18" s="63">
        <v>220</v>
      </c>
      <c r="AZ18" s="63">
        <v>373</v>
      </c>
      <c r="BA18" s="63">
        <v>481</v>
      </c>
      <c r="BB18" s="63">
        <v>316</v>
      </c>
      <c r="BC18" s="63">
        <v>229</v>
      </c>
      <c r="BD18" s="63">
        <v>1141</v>
      </c>
      <c r="BE18" s="63">
        <v>1501</v>
      </c>
      <c r="BF18" s="63">
        <v>0</v>
      </c>
      <c r="BG18" s="63">
        <v>69</v>
      </c>
      <c r="BH18" s="63">
        <v>139</v>
      </c>
      <c r="BI18" s="63">
        <v>201</v>
      </c>
      <c r="BJ18" s="63">
        <v>217</v>
      </c>
      <c r="BK18" s="63">
        <v>246</v>
      </c>
      <c r="BL18" s="63">
        <v>119</v>
      </c>
      <c r="BM18" s="63">
        <v>510</v>
      </c>
      <c r="BN18" s="63">
        <v>1358</v>
      </c>
      <c r="BO18" s="63">
        <v>0</v>
      </c>
      <c r="BP18" s="63">
        <v>30</v>
      </c>
      <c r="BQ18" s="63">
        <v>81</v>
      </c>
      <c r="BR18" s="63">
        <v>172</v>
      </c>
      <c r="BS18" s="63">
        <v>264</v>
      </c>
      <c r="BT18" s="63">
        <v>70</v>
      </c>
      <c r="BU18" s="63">
        <v>110</v>
      </c>
      <c r="BV18" s="63">
        <v>631</v>
      </c>
      <c r="BW18" s="63">
        <v>2955</v>
      </c>
      <c r="BX18" s="63">
        <v>578</v>
      </c>
      <c r="BY18" s="63">
        <v>641</v>
      </c>
      <c r="BZ18" s="63">
        <v>3526</v>
      </c>
      <c r="CA18" s="63">
        <v>8</v>
      </c>
      <c r="CB18" s="63">
        <v>0.5</v>
      </c>
      <c r="CC18" s="63">
        <v>50</v>
      </c>
      <c r="CD18" s="63">
        <v>7068</v>
      </c>
      <c r="CE18" s="63">
        <v>3.6</v>
      </c>
      <c r="CF18" s="63">
        <v>70.7</v>
      </c>
      <c r="CG18" s="63">
        <v>333</v>
      </c>
      <c r="CH18" s="63">
        <v>9.4</v>
      </c>
      <c r="CI18" s="63">
        <v>28.9</v>
      </c>
      <c r="CJ18" s="63">
        <v>3.1</v>
      </c>
      <c r="CK18" s="63">
        <v>0.2</v>
      </c>
      <c r="CL18" s="63">
        <v>16.399999999999999</v>
      </c>
      <c r="CM18" s="63">
        <v>18.100000000000001</v>
      </c>
    </row>
    <row r="19" spans="1:91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63">
        <v>2878</v>
      </c>
      <c r="I19" s="63">
        <v>149</v>
      </c>
      <c r="J19" s="63">
        <v>106</v>
      </c>
      <c r="K19" s="63">
        <v>242</v>
      </c>
      <c r="L19" s="63">
        <v>166</v>
      </c>
      <c r="M19" s="63">
        <v>403</v>
      </c>
      <c r="N19" s="63">
        <v>711</v>
      </c>
      <c r="O19" s="63">
        <v>529</v>
      </c>
      <c r="P19" s="63">
        <v>245</v>
      </c>
      <c r="Q19" s="63">
        <v>193</v>
      </c>
      <c r="R19" s="63">
        <v>134</v>
      </c>
      <c r="S19" s="63">
        <v>629</v>
      </c>
      <c r="T19" s="63">
        <v>733</v>
      </c>
      <c r="U19" s="63">
        <v>601</v>
      </c>
      <c r="V19" s="63">
        <v>481</v>
      </c>
      <c r="W19" s="63">
        <v>241</v>
      </c>
      <c r="X19" s="63">
        <v>192</v>
      </c>
      <c r="Y19" s="63">
        <v>738</v>
      </c>
      <c r="Z19" s="63">
        <v>1813</v>
      </c>
      <c r="AA19" s="63">
        <v>327</v>
      </c>
      <c r="AB19" s="63">
        <v>1461</v>
      </c>
      <c r="AC19" s="63">
        <v>337</v>
      </c>
      <c r="AD19" s="63">
        <v>361</v>
      </c>
      <c r="AE19" s="63">
        <v>309</v>
      </c>
      <c r="AF19" s="63">
        <v>265</v>
      </c>
      <c r="AG19" s="63">
        <v>118</v>
      </c>
      <c r="AH19" s="63">
        <v>70</v>
      </c>
      <c r="AI19" s="63">
        <v>401</v>
      </c>
      <c r="AJ19" s="63">
        <v>925</v>
      </c>
      <c r="AK19" s="63">
        <v>136</v>
      </c>
      <c r="AL19" s="63">
        <v>1417</v>
      </c>
      <c r="AM19" s="63">
        <v>292</v>
      </c>
      <c r="AN19" s="63">
        <v>372</v>
      </c>
      <c r="AO19" s="63">
        <v>293</v>
      </c>
      <c r="AP19" s="63">
        <v>216</v>
      </c>
      <c r="AQ19" s="63">
        <v>123</v>
      </c>
      <c r="AR19" s="63">
        <v>122</v>
      </c>
      <c r="AS19" s="63">
        <v>337</v>
      </c>
      <c r="AT19" s="63">
        <v>889</v>
      </c>
      <c r="AU19" s="63">
        <v>191</v>
      </c>
      <c r="AV19" s="63">
        <v>2354</v>
      </c>
      <c r="AW19" s="63">
        <v>0</v>
      </c>
      <c r="AX19" s="63">
        <v>40</v>
      </c>
      <c r="AY19" s="63">
        <v>104</v>
      </c>
      <c r="AZ19" s="63">
        <v>389</v>
      </c>
      <c r="BA19" s="63">
        <v>439</v>
      </c>
      <c r="BB19" s="63">
        <v>466</v>
      </c>
      <c r="BC19" s="63">
        <v>388</v>
      </c>
      <c r="BD19" s="63">
        <v>528</v>
      </c>
      <c r="BE19" s="63">
        <v>1173</v>
      </c>
      <c r="BF19" s="63">
        <v>0</v>
      </c>
      <c r="BG19" s="63">
        <v>24</v>
      </c>
      <c r="BH19" s="63">
        <v>59</v>
      </c>
      <c r="BI19" s="63">
        <v>184</v>
      </c>
      <c r="BJ19" s="63">
        <v>182</v>
      </c>
      <c r="BK19" s="63">
        <v>365</v>
      </c>
      <c r="BL19" s="63">
        <v>163</v>
      </c>
      <c r="BM19" s="63">
        <v>196</v>
      </c>
      <c r="BN19" s="63">
        <v>1181</v>
      </c>
      <c r="BO19" s="63">
        <v>0</v>
      </c>
      <c r="BP19" s="63">
        <v>17</v>
      </c>
      <c r="BQ19" s="63">
        <v>45</v>
      </c>
      <c r="BR19" s="63">
        <v>205</v>
      </c>
      <c r="BS19" s="63">
        <v>257</v>
      </c>
      <c r="BT19" s="63">
        <v>101</v>
      </c>
      <c r="BU19" s="63">
        <v>225</v>
      </c>
      <c r="BV19" s="63">
        <v>332</v>
      </c>
      <c r="BW19" s="63">
        <v>2337</v>
      </c>
      <c r="BX19" s="63">
        <v>541</v>
      </c>
      <c r="BY19" s="63">
        <v>664</v>
      </c>
      <c r="BZ19" s="63">
        <v>2785</v>
      </c>
      <c r="CA19" s="63">
        <v>93</v>
      </c>
      <c r="CB19" s="63">
        <v>0.3</v>
      </c>
      <c r="CC19" s="63">
        <v>30</v>
      </c>
      <c r="CD19" s="63">
        <v>9593.2999999999993</v>
      </c>
      <c r="CE19" s="63">
        <v>2.9</v>
      </c>
      <c r="CF19" s="63">
        <v>95.9</v>
      </c>
      <c r="CG19" s="63">
        <v>433</v>
      </c>
      <c r="CH19" s="63">
        <v>15</v>
      </c>
      <c r="CI19" s="63">
        <v>25.6</v>
      </c>
      <c r="CJ19" s="63">
        <v>1.7</v>
      </c>
      <c r="CK19" s="63">
        <v>0.4</v>
      </c>
      <c r="CL19" s="63">
        <v>18.8</v>
      </c>
      <c r="CM19" s="63">
        <v>23.1</v>
      </c>
    </row>
    <row r="20" spans="1:91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63">
        <v>3649</v>
      </c>
      <c r="I20" s="63">
        <v>232</v>
      </c>
      <c r="J20" s="63">
        <v>179</v>
      </c>
      <c r="K20" s="63">
        <v>281</v>
      </c>
      <c r="L20" s="63">
        <v>299</v>
      </c>
      <c r="M20" s="63">
        <v>418</v>
      </c>
      <c r="N20" s="63">
        <v>835</v>
      </c>
      <c r="O20" s="63">
        <v>689</v>
      </c>
      <c r="P20" s="63">
        <v>324</v>
      </c>
      <c r="Q20" s="63">
        <v>283</v>
      </c>
      <c r="R20" s="63">
        <v>109</v>
      </c>
      <c r="S20" s="63">
        <v>866</v>
      </c>
      <c r="T20" s="63">
        <v>860</v>
      </c>
      <c r="U20" s="63">
        <v>779</v>
      </c>
      <c r="V20" s="63">
        <v>588</v>
      </c>
      <c r="W20" s="63">
        <v>363</v>
      </c>
      <c r="X20" s="63">
        <v>192</v>
      </c>
      <c r="Y20" s="63">
        <v>1111</v>
      </c>
      <c r="Z20" s="63">
        <v>2147</v>
      </c>
      <c r="AA20" s="63">
        <v>392</v>
      </c>
      <c r="AB20" s="63">
        <v>1791</v>
      </c>
      <c r="AC20" s="63">
        <v>428</v>
      </c>
      <c r="AD20" s="63">
        <v>411</v>
      </c>
      <c r="AE20" s="63">
        <v>413</v>
      </c>
      <c r="AF20" s="63">
        <v>295</v>
      </c>
      <c r="AG20" s="63">
        <v>172</v>
      </c>
      <c r="AH20" s="63">
        <v>74</v>
      </c>
      <c r="AI20" s="63">
        <v>552</v>
      </c>
      <c r="AJ20" s="63">
        <v>1070</v>
      </c>
      <c r="AK20" s="63">
        <v>169</v>
      </c>
      <c r="AL20" s="63">
        <v>1858</v>
      </c>
      <c r="AM20" s="63">
        <v>438</v>
      </c>
      <c r="AN20" s="63">
        <v>450</v>
      </c>
      <c r="AO20" s="63">
        <v>366</v>
      </c>
      <c r="AP20" s="63">
        <v>294</v>
      </c>
      <c r="AQ20" s="63">
        <v>192</v>
      </c>
      <c r="AR20" s="63">
        <v>118</v>
      </c>
      <c r="AS20" s="63">
        <v>559</v>
      </c>
      <c r="AT20" s="63">
        <v>1077</v>
      </c>
      <c r="AU20" s="63">
        <v>223</v>
      </c>
      <c r="AV20" s="63">
        <v>2436</v>
      </c>
      <c r="AW20" s="63">
        <v>0</v>
      </c>
      <c r="AX20" s="63">
        <v>32</v>
      </c>
      <c r="AY20" s="63">
        <v>63</v>
      </c>
      <c r="AZ20" s="63">
        <v>210</v>
      </c>
      <c r="BA20" s="63">
        <v>494</v>
      </c>
      <c r="BB20" s="63">
        <v>437</v>
      </c>
      <c r="BC20" s="63">
        <v>374</v>
      </c>
      <c r="BD20" s="63">
        <v>827</v>
      </c>
      <c r="BE20" s="63">
        <v>1220</v>
      </c>
      <c r="BF20" s="63">
        <v>0</v>
      </c>
      <c r="BG20" s="63">
        <v>23</v>
      </c>
      <c r="BH20" s="63">
        <v>46</v>
      </c>
      <c r="BI20" s="63">
        <v>116</v>
      </c>
      <c r="BJ20" s="63">
        <v>205</v>
      </c>
      <c r="BK20" s="63">
        <v>342</v>
      </c>
      <c r="BL20" s="63">
        <v>169</v>
      </c>
      <c r="BM20" s="63">
        <v>319</v>
      </c>
      <c r="BN20" s="63">
        <v>1215</v>
      </c>
      <c r="BO20" s="63">
        <v>0</v>
      </c>
      <c r="BP20" s="63">
        <v>8</v>
      </c>
      <c r="BQ20" s="63">
        <v>16</v>
      </c>
      <c r="BR20" s="63">
        <v>94</v>
      </c>
      <c r="BS20" s="63">
        <v>288</v>
      </c>
      <c r="BT20" s="63">
        <v>95</v>
      </c>
      <c r="BU20" s="63">
        <v>205</v>
      </c>
      <c r="BV20" s="63">
        <v>508</v>
      </c>
      <c r="BW20" s="63">
        <v>2714</v>
      </c>
      <c r="BX20" s="63">
        <v>936</v>
      </c>
      <c r="BY20" s="63">
        <v>941</v>
      </c>
      <c r="BZ20" s="63">
        <v>3649</v>
      </c>
      <c r="CA20" s="63">
        <v>0</v>
      </c>
      <c r="CB20" s="63">
        <v>0.3</v>
      </c>
      <c r="CC20" s="63">
        <v>30</v>
      </c>
      <c r="CD20" s="63">
        <v>12163.3</v>
      </c>
      <c r="CE20" s="63">
        <v>3.7</v>
      </c>
      <c r="CF20" s="63">
        <v>121.6</v>
      </c>
      <c r="CG20" s="63">
        <v>555</v>
      </c>
      <c r="CH20" s="63">
        <v>15.2</v>
      </c>
      <c r="CI20" s="63">
        <v>30.4</v>
      </c>
      <c r="CJ20" s="63">
        <v>2</v>
      </c>
      <c r="CK20" s="63">
        <v>0.4</v>
      </c>
      <c r="CL20" s="63">
        <v>25.7</v>
      </c>
      <c r="CM20" s="63">
        <v>25.8</v>
      </c>
    </row>
    <row r="21" spans="1:91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63">
        <v>3613</v>
      </c>
      <c r="I21" s="63">
        <v>105</v>
      </c>
      <c r="J21" s="63">
        <v>98</v>
      </c>
      <c r="K21" s="63">
        <v>153</v>
      </c>
      <c r="L21" s="63">
        <v>232</v>
      </c>
      <c r="M21" s="63">
        <v>505</v>
      </c>
      <c r="N21" s="63">
        <v>508</v>
      </c>
      <c r="O21" s="63">
        <v>662</v>
      </c>
      <c r="P21" s="63">
        <v>354</v>
      </c>
      <c r="Q21" s="63">
        <v>622</v>
      </c>
      <c r="R21" s="63">
        <v>374</v>
      </c>
      <c r="S21" s="63">
        <v>472</v>
      </c>
      <c r="T21" s="63">
        <v>804</v>
      </c>
      <c r="U21" s="63">
        <v>534</v>
      </c>
      <c r="V21" s="63">
        <v>652</v>
      </c>
      <c r="W21" s="63">
        <v>578</v>
      </c>
      <c r="X21" s="63">
        <v>574</v>
      </c>
      <c r="Y21" s="63">
        <v>733</v>
      </c>
      <c r="Z21" s="63">
        <v>1884</v>
      </c>
      <c r="AA21" s="63">
        <v>996</v>
      </c>
      <c r="AB21" s="63">
        <v>1716</v>
      </c>
      <c r="AC21" s="63">
        <v>225</v>
      </c>
      <c r="AD21" s="63">
        <v>431</v>
      </c>
      <c r="AE21" s="63">
        <v>267</v>
      </c>
      <c r="AF21" s="63">
        <v>355</v>
      </c>
      <c r="AG21" s="63">
        <v>241</v>
      </c>
      <c r="AH21" s="63">
        <v>197</v>
      </c>
      <c r="AI21" s="63">
        <v>371</v>
      </c>
      <c r="AJ21" s="63">
        <v>974</v>
      </c>
      <c r="AK21" s="63">
        <v>371</v>
      </c>
      <c r="AL21" s="63">
        <v>1898</v>
      </c>
      <c r="AM21" s="63">
        <v>247</v>
      </c>
      <c r="AN21" s="63">
        <v>373</v>
      </c>
      <c r="AO21" s="63">
        <v>267</v>
      </c>
      <c r="AP21" s="63">
        <v>297</v>
      </c>
      <c r="AQ21" s="63">
        <v>337</v>
      </c>
      <c r="AR21" s="63">
        <v>377</v>
      </c>
      <c r="AS21" s="63">
        <v>362</v>
      </c>
      <c r="AT21" s="63">
        <v>910</v>
      </c>
      <c r="AU21" s="63">
        <v>626</v>
      </c>
      <c r="AV21" s="63">
        <v>3125</v>
      </c>
      <c r="AW21" s="63">
        <v>0</v>
      </c>
      <c r="AX21" s="63">
        <v>49</v>
      </c>
      <c r="AY21" s="63">
        <v>563</v>
      </c>
      <c r="AZ21" s="63">
        <v>363</v>
      </c>
      <c r="BA21" s="63">
        <v>264</v>
      </c>
      <c r="BB21" s="63">
        <v>190</v>
      </c>
      <c r="BC21" s="63">
        <v>1035</v>
      </c>
      <c r="BD21" s="63">
        <v>661</v>
      </c>
      <c r="BE21" s="63">
        <v>1470</v>
      </c>
      <c r="BF21" s="63">
        <v>0</v>
      </c>
      <c r="BG21" s="63">
        <v>35</v>
      </c>
      <c r="BH21" s="63">
        <v>340</v>
      </c>
      <c r="BI21" s="63">
        <v>122</v>
      </c>
      <c r="BJ21" s="63">
        <v>127</v>
      </c>
      <c r="BK21" s="63">
        <v>165</v>
      </c>
      <c r="BL21" s="63">
        <v>397</v>
      </c>
      <c r="BM21" s="63">
        <v>286</v>
      </c>
      <c r="BN21" s="63">
        <v>1655</v>
      </c>
      <c r="BO21" s="63">
        <v>0</v>
      </c>
      <c r="BP21" s="63">
        <v>15</v>
      </c>
      <c r="BQ21" s="63">
        <v>224</v>
      </c>
      <c r="BR21" s="63">
        <v>241</v>
      </c>
      <c r="BS21" s="63">
        <v>137</v>
      </c>
      <c r="BT21" s="63">
        <v>25</v>
      </c>
      <c r="BU21" s="63">
        <v>638</v>
      </c>
      <c r="BV21" s="63">
        <v>375</v>
      </c>
      <c r="BW21" s="63">
        <v>3361</v>
      </c>
      <c r="BX21" s="63">
        <v>252</v>
      </c>
      <c r="BY21" s="63">
        <v>345</v>
      </c>
      <c r="BZ21" s="63">
        <v>3562</v>
      </c>
      <c r="CA21" s="63">
        <v>51</v>
      </c>
      <c r="CB21" s="63">
        <v>0.9</v>
      </c>
      <c r="CC21" s="63">
        <v>90</v>
      </c>
      <c r="CD21" s="63">
        <v>4014.4</v>
      </c>
      <c r="CE21" s="63">
        <v>3.6</v>
      </c>
      <c r="CF21" s="63">
        <v>40.1</v>
      </c>
      <c r="CG21" s="63">
        <v>1152</v>
      </c>
      <c r="CH21" s="63">
        <v>31.9</v>
      </c>
      <c r="CI21" s="63">
        <v>20.3</v>
      </c>
      <c r="CJ21" s="63">
        <v>0.6</v>
      </c>
      <c r="CK21" s="63">
        <v>1.4</v>
      </c>
      <c r="CL21" s="63">
        <v>7</v>
      </c>
      <c r="CM21" s="63">
        <v>9.5</v>
      </c>
    </row>
    <row r="22" spans="1:91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63">
        <v>2324</v>
      </c>
      <c r="I22" s="63">
        <v>37</v>
      </c>
      <c r="J22" s="63">
        <v>73</v>
      </c>
      <c r="K22" s="63">
        <v>86</v>
      </c>
      <c r="L22" s="63">
        <v>134</v>
      </c>
      <c r="M22" s="63">
        <v>253</v>
      </c>
      <c r="N22" s="63">
        <v>349</v>
      </c>
      <c r="O22" s="63">
        <v>329</v>
      </c>
      <c r="P22" s="63">
        <v>296</v>
      </c>
      <c r="Q22" s="63">
        <v>431</v>
      </c>
      <c r="R22" s="63">
        <v>335</v>
      </c>
      <c r="S22" s="63">
        <v>261</v>
      </c>
      <c r="T22" s="63">
        <v>417</v>
      </c>
      <c r="U22" s="63">
        <v>356</v>
      </c>
      <c r="V22" s="63">
        <v>356</v>
      </c>
      <c r="W22" s="63">
        <v>484</v>
      </c>
      <c r="X22" s="63">
        <v>450</v>
      </c>
      <c r="Y22" s="63">
        <v>408</v>
      </c>
      <c r="Z22" s="63">
        <v>1150</v>
      </c>
      <c r="AA22" s="63">
        <v>766</v>
      </c>
      <c r="AB22" s="63">
        <v>1039</v>
      </c>
      <c r="AC22" s="63">
        <v>139</v>
      </c>
      <c r="AD22" s="63">
        <v>205</v>
      </c>
      <c r="AE22" s="63">
        <v>165</v>
      </c>
      <c r="AF22" s="63">
        <v>166</v>
      </c>
      <c r="AG22" s="63">
        <v>221</v>
      </c>
      <c r="AH22" s="63">
        <v>142</v>
      </c>
      <c r="AI22" s="63">
        <v>190</v>
      </c>
      <c r="AJ22" s="63">
        <v>561</v>
      </c>
      <c r="AK22" s="63">
        <v>287</v>
      </c>
      <c r="AL22" s="63">
        <v>1285</v>
      </c>
      <c r="AM22" s="63">
        <v>122</v>
      </c>
      <c r="AN22" s="63">
        <v>212</v>
      </c>
      <c r="AO22" s="63">
        <v>191</v>
      </c>
      <c r="AP22" s="63">
        <v>189</v>
      </c>
      <c r="AQ22" s="63">
        <v>263</v>
      </c>
      <c r="AR22" s="63">
        <v>308</v>
      </c>
      <c r="AS22" s="63">
        <v>218</v>
      </c>
      <c r="AT22" s="63">
        <v>588</v>
      </c>
      <c r="AU22" s="63">
        <v>479</v>
      </c>
      <c r="AV22" s="63">
        <v>2116</v>
      </c>
      <c r="AW22" s="63">
        <v>0</v>
      </c>
      <c r="AX22" s="63">
        <v>83</v>
      </c>
      <c r="AY22" s="63">
        <v>308</v>
      </c>
      <c r="AZ22" s="63">
        <v>285</v>
      </c>
      <c r="BA22" s="63">
        <v>188</v>
      </c>
      <c r="BB22" s="63">
        <v>80</v>
      </c>
      <c r="BC22" s="63">
        <v>872</v>
      </c>
      <c r="BD22" s="63">
        <v>302</v>
      </c>
      <c r="BE22" s="63">
        <v>906</v>
      </c>
      <c r="BF22" s="63">
        <v>0</v>
      </c>
      <c r="BG22" s="63">
        <v>52</v>
      </c>
      <c r="BH22" s="63">
        <v>174</v>
      </c>
      <c r="BI22" s="63">
        <v>114</v>
      </c>
      <c r="BJ22" s="63">
        <v>51</v>
      </c>
      <c r="BK22" s="63">
        <v>68</v>
      </c>
      <c r="BL22" s="63">
        <v>311</v>
      </c>
      <c r="BM22" s="63">
        <v>136</v>
      </c>
      <c r="BN22" s="63">
        <v>1210</v>
      </c>
      <c r="BO22" s="63">
        <v>0</v>
      </c>
      <c r="BP22" s="63">
        <v>31</v>
      </c>
      <c r="BQ22" s="63">
        <v>134</v>
      </c>
      <c r="BR22" s="63">
        <v>170</v>
      </c>
      <c r="BS22" s="63">
        <v>137</v>
      </c>
      <c r="BT22" s="63">
        <v>12</v>
      </c>
      <c r="BU22" s="63">
        <v>561</v>
      </c>
      <c r="BV22" s="63">
        <v>165</v>
      </c>
      <c r="BW22" s="63">
        <v>2199</v>
      </c>
      <c r="BX22" s="63">
        <v>125</v>
      </c>
      <c r="BY22" s="63">
        <v>197</v>
      </c>
      <c r="BZ22" s="63">
        <v>2183</v>
      </c>
      <c r="CA22" s="63">
        <v>141</v>
      </c>
      <c r="CB22" s="63">
        <v>0.6</v>
      </c>
      <c r="CC22" s="63">
        <v>60</v>
      </c>
      <c r="CD22" s="63">
        <v>3873.3</v>
      </c>
      <c r="CE22" s="63">
        <v>2.2999999999999998</v>
      </c>
      <c r="CF22" s="63">
        <v>38.700000000000003</v>
      </c>
      <c r="CG22" s="63">
        <v>934</v>
      </c>
      <c r="CH22" s="63">
        <v>40.200000000000003</v>
      </c>
      <c r="CI22" s="63">
        <v>17.600000000000001</v>
      </c>
      <c r="CJ22" s="63">
        <v>0.4</v>
      </c>
      <c r="CK22" s="63">
        <v>1.9</v>
      </c>
      <c r="CL22" s="63">
        <v>5.4</v>
      </c>
      <c r="CM22" s="63">
        <v>8.5</v>
      </c>
    </row>
    <row r="23" spans="1:91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63">
        <v>4341</v>
      </c>
      <c r="I23" s="63">
        <v>201</v>
      </c>
      <c r="J23" s="63">
        <v>188</v>
      </c>
      <c r="K23" s="63">
        <v>289</v>
      </c>
      <c r="L23" s="63">
        <v>389</v>
      </c>
      <c r="M23" s="63">
        <v>648</v>
      </c>
      <c r="N23" s="63">
        <v>857</v>
      </c>
      <c r="O23" s="63">
        <v>788</v>
      </c>
      <c r="P23" s="63">
        <v>397</v>
      </c>
      <c r="Q23" s="63">
        <v>456</v>
      </c>
      <c r="R23" s="63">
        <v>128</v>
      </c>
      <c r="S23" s="63">
        <v>913</v>
      </c>
      <c r="T23" s="63">
        <v>1128</v>
      </c>
      <c r="U23" s="63">
        <v>800</v>
      </c>
      <c r="V23" s="63">
        <v>723</v>
      </c>
      <c r="W23" s="63">
        <v>516</v>
      </c>
      <c r="X23" s="63">
        <v>261</v>
      </c>
      <c r="Y23" s="63">
        <v>1320</v>
      </c>
      <c r="Z23" s="63">
        <v>2437</v>
      </c>
      <c r="AA23" s="63">
        <v>584</v>
      </c>
      <c r="AB23" s="63">
        <v>2022</v>
      </c>
      <c r="AC23" s="63">
        <v>445</v>
      </c>
      <c r="AD23" s="63">
        <v>546</v>
      </c>
      <c r="AE23" s="63">
        <v>347</v>
      </c>
      <c r="AF23" s="63">
        <v>354</v>
      </c>
      <c r="AG23" s="63">
        <v>230</v>
      </c>
      <c r="AH23" s="63">
        <v>99</v>
      </c>
      <c r="AI23" s="63">
        <v>654</v>
      </c>
      <c r="AJ23" s="63">
        <v>1105</v>
      </c>
      <c r="AK23" s="63">
        <v>263</v>
      </c>
      <c r="AL23" s="63">
        <v>2319</v>
      </c>
      <c r="AM23" s="63">
        <v>467</v>
      </c>
      <c r="AN23" s="63">
        <v>582</v>
      </c>
      <c r="AO23" s="63">
        <v>453</v>
      </c>
      <c r="AP23" s="63">
        <v>370</v>
      </c>
      <c r="AQ23" s="63">
        <v>286</v>
      </c>
      <c r="AR23" s="63">
        <v>162</v>
      </c>
      <c r="AS23" s="63">
        <v>665</v>
      </c>
      <c r="AT23" s="63">
        <v>1333</v>
      </c>
      <c r="AU23" s="63">
        <v>321</v>
      </c>
      <c r="AV23" s="63">
        <v>3642</v>
      </c>
      <c r="AW23" s="63">
        <v>0</v>
      </c>
      <c r="AX23" s="63">
        <v>74</v>
      </c>
      <c r="AY23" s="63">
        <v>400</v>
      </c>
      <c r="AZ23" s="63">
        <v>580</v>
      </c>
      <c r="BA23" s="63">
        <v>579</v>
      </c>
      <c r="BB23" s="63">
        <v>401</v>
      </c>
      <c r="BC23" s="63">
        <v>692</v>
      </c>
      <c r="BD23" s="63">
        <v>916</v>
      </c>
      <c r="BE23" s="63">
        <v>1666</v>
      </c>
      <c r="BF23" s="63">
        <v>0</v>
      </c>
      <c r="BG23" s="63">
        <v>49</v>
      </c>
      <c r="BH23" s="63">
        <v>243</v>
      </c>
      <c r="BI23" s="63">
        <v>236</v>
      </c>
      <c r="BJ23" s="63">
        <v>171</v>
      </c>
      <c r="BK23" s="63">
        <v>297</v>
      </c>
      <c r="BL23" s="63">
        <v>322</v>
      </c>
      <c r="BM23" s="63">
        <v>348</v>
      </c>
      <c r="BN23" s="63">
        <v>1977</v>
      </c>
      <c r="BO23" s="63">
        <v>0</v>
      </c>
      <c r="BP23" s="63">
        <v>25</v>
      </c>
      <c r="BQ23" s="63">
        <v>157</v>
      </c>
      <c r="BR23" s="63">
        <v>344</v>
      </c>
      <c r="BS23" s="63">
        <v>408</v>
      </c>
      <c r="BT23" s="63">
        <v>104</v>
      </c>
      <c r="BU23" s="63">
        <v>370</v>
      </c>
      <c r="BV23" s="63">
        <v>568</v>
      </c>
      <c r="BW23" s="63">
        <v>3920</v>
      </c>
      <c r="BX23" s="63">
        <v>421</v>
      </c>
      <c r="BY23" s="63">
        <v>560</v>
      </c>
      <c r="BZ23" s="63">
        <v>4341</v>
      </c>
      <c r="CA23" s="63">
        <v>0</v>
      </c>
      <c r="CB23" s="63">
        <v>0.5</v>
      </c>
      <c r="CC23" s="63">
        <v>50</v>
      </c>
      <c r="CD23" s="63">
        <v>8682</v>
      </c>
      <c r="CE23" s="63">
        <v>4.4000000000000004</v>
      </c>
      <c r="CF23" s="63">
        <v>86.8</v>
      </c>
      <c r="CG23" s="63">
        <v>777</v>
      </c>
      <c r="CH23" s="63">
        <v>17.899999999999999</v>
      </c>
      <c r="CI23" s="63">
        <v>30.4</v>
      </c>
      <c r="CJ23" s="63">
        <v>1.7</v>
      </c>
      <c r="CK23" s="63">
        <v>0.4</v>
      </c>
      <c r="CL23" s="63">
        <v>9.6999999999999993</v>
      </c>
      <c r="CM23" s="63">
        <v>12.9</v>
      </c>
    </row>
    <row r="24" spans="1:91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63">
        <v>2461</v>
      </c>
      <c r="I24" s="63">
        <v>101</v>
      </c>
      <c r="J24" s="63">
        <v>112</v>
      </c>
      <c r="K24" s="63">
        <v>239</v>
      </c>
      <c r="L24" s="63">
        <v>346</v>
      </c>
      <c r="M24" s="63">
        <v>308</v>
      </c>
      <c r="N24" s="63">
        <v>377</v>
      </c>
      <c r="O24" s="63">
        <v>464</v>
      </c>
      <c r="P24" s="63">
        <v>236</v>
      </c>
      <c r="Q24" s="63">
        <v>245</v>
      </c>
      <c r="R24" s="63">
        <v>33</v>
      </c>
      <c r="S24" s="63">
        <v>646</v>
      </c>
      <c r="T24" s="63">
        <v>573</v>
      </c>
      <c r="U24" s="63">
        <v>415</v>
      </c>
      <c r="V24" s="63">
        <v>454</v>
      </c>
      <c r="W24" s="63">
        <v>295</v>
      </c>
      <c r="X24" s="63">
        <v>77</v>
      </c>
      <c r="Y24" s="63">
        <v>922</v>
      </c>
      <c r="Z24" s="63">
        <v>1260</v>
      </c>
      <c r="AA24" s="63">
        <v>279</v>
      </c>
      <c r="AB24" s="63">
        <v>1241</v>
      </c>
      <c r="AC24" s="63">
        <v>356</v>
      </c>
      <c r="AD24" s="63">
        <v>257</v>
      </c>
      <c r="AE24" s="63">
        <v>192</v>
      </c>
      <c r="AF24" s="63">
        <v>254</v>
      </c>
      <c r="AG24" s="63">
        <v>142</v>
      </c>
      <c r="AH24" s="63">
        <v>39</v>
      </c>
      <c r="AI24" s="63">
        <v>488</v>
      </c>
      <c r="AJ24" s="63">
        <v>618</v>
      </c>
      <c r="AK24" s="63">
        <v>135</v>
      </c>
      <c r="AL24" s="63">
        <v>1220</v>
      </c>
      <c r="AM24" s="63">
        <v>290</v>
      </c>
      <c r="AN24" s="63">
        <v>317</v>
      </c>
      <c r="AO24" s="63">
        <v>223</v>
      </c>
      <c r="AP24" s="63">
        <v>200</v>
      </c>
      <c r="AQ24" s="63">
        <v>153</v>
      </c>
      <c r="AR24" s="63">
        <v>37</v>
      </c>
      <c r="AS24" s="63">
        <v>435</v>
      </c>
      <c r="AT24" s="63">
        <v>642</v>
      </c>
      <c r="AU24" s="63">
        <v>144</v>
      </c>
      <c r="AV24" s="63">
        <v>1827</v>
      </c>
      <c r="AW24" s="63">
        <v>0</v>
      </c>
      <c r="AX24" s="63">
        <v>28</v>
      </c>
      <c r="AY24" s="63">
        <v>54</v>
      </c>
      <c r="AZ24" s="63">
        <v>173</v>
      </c>
      <c r="BA24" s="63">
        <v>287</v>
      </c>
      <c r="BB24" s="63">
        <v>353</v>
      </c>
      <c r="BC24" s="63">
        <v>291</v>
      </c>
      <c r="BD24" s="63">
        <v>642</v>
      </c>
      <c r="BE24" s="63">
        <v>901</v>
      </c>
      <c r="BF24" s="63">
        <v>0</v>
      </c>
      <c r="BG24" s="63">
        <v>19</v>
      </c>
      <c r="BH24" s="63">
        <v>38</v>
      </c>
      <c r="BI24" s="63">
        <v>94</v>
      </c>
      <c r="BJ24" s="63">
        <v>68</v>
      </c>
      <c r="BK24" s="63">
        <v>293</v>
      </c>
      <c r="BL24" s="63">
        <v>142</v>
      </c>
      <c r="BM24" s="63">
        <v>248</v>
      </c>
      <c r="BN24" s="63">
        <v>926</v>
      </c>
      <c r="BO24" s="63">
        <v>0</v>
      </c>
      <c r="BP24" s="63">
        <v>8</v>
      </c>
      <c r="BQ24" s="63">
        <v>16</v>
      </c>
      <c r="BR24" s="63">
        <v>79</v>
      </c>
      <c r="BS24" s="63">
        <v>219</v>
      </c>
      <c r="BT24" s="63">
        <v>59</v>
      </c>
      <c r="BU24" s="63">
        <v>149</v>
      </c>
      <c r="BV24" s="63">
        <v>394</v>
      </c>
      <c r="BW24" s="63">
        <v>1864</v>
      </c>
      <c r="BX24" s="63">
        <v>597</v>
      </c>
      <c r="BY24" s="63">
        <v>598</v>
      </c>
      <c r="BZ24" s="63">
        <v>2461</v>
      </c>
      <c r="CA24" s="63">
        <v>0</v>
      </c>
      <c r="CB24" s="63">
        <v>0.2</v>
      </c>
      <c r="CC24" s="63">
        <v>20</v>
      </c>
      <c r="CD24" s="63">
        <v>12305</v>
      </c>
      <c r="CE24" s="63">
        <v>2.5</v>
      </c>
      <c r="CF24" s="63">
        <v>123</v>
      </c>
      <c r="CG24" s="63">
        <v>372</v>
      </c>
      <c r="CH24" s="63">
        <v>15.1</v>
      </c>
      <c r="CI24" s="63">
        <v>37.5</v>
      </c>
      <c r="CJ24" s="63">
        <v>2.5</v>
      </c>
      <c r="CK24" s="63">
        <v>0.3</v>
      </c>
      <c r="CL24" s="63">
        <v>24.3</v>
      </c>
      <c r="CM24" s="63">
        <v>24.3</v>
      </c>
    </row>
    <row r="25" spans="1:91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63">
        <v>2349</v>
      </c>
      <c r="I25" s="63">
        <v>136</v>
      </c>
      <c r="J25" s="63">
        <v>143</v>
      </c>
      <c r="K25" s="63">
        <v>244</v>
      </c>
      <c r="L25" s="63">
        <v>294</v>
      </c>
      <c r="M25" s="63">
        <v>208</v>
      </c>
      <c r="N25" s="63">
        <v>434</v>
      </c>
      <c r="O25" s="63">
        <v>368</v>
      </c>
      <c r="P25" s="63">
        <v>180</v>
      </c>
      <c r="Q25" s="63">
        <v>230</v>
      </c>
      <c r="R25" s="63">
        <v>111</v>
      </c>
      <c r="S25" s="63">
        <v>681</v>
      </c>
      <c r="T25" s="63">
        <v>442</v>
      </c>
      <c r="U25" s="63">
        <v>514</v>
      </c>
      <c r="V25" s="63">
        <v>265</v>
      </c>
      <c r="W25" s="63">
        <v>253</v>
      </c>
      <c r="X25" s="63">
        <v>193</v>
      </c>
      <c r="Y25" s="63">
        <v>872</v>
      </c>
      <c r="Z25" s="63">
        <v>1136</v>
      </c>
      <c r="AA25" s="63">
        <v>341</v>
      </c>
      <c r="AB25" s="63">
        <v>1156</v>
      </c>
      <c r="AC25" s="63">
        <v>356</v>
      </c>
      <c r="AD25" s="63">
        <v>228</v>
      </c>
      <c r="AE25" s="63">
        <v>234</v>
      </c>
      <c r="AF25" s="63">
        <v>154</v>
      </c>
      <c r="AG25" s="63">
        <v>104</v>
      </c>
      <c r="AH25" s="63">
        <v>80</v>
      </c>
      <c r="AI25" s="63">
        <v>456</v>
      </c>
      <c r="AJ25" s="63">
        <v>559</v>
      </c>
      <c r="AK25" s="63">
        <v>141</v>
      </c>
      <c r="AL25" s="63">
        <v>1193</v>
      </c>
      <c r="AM25" s="63">
        <v>325</v>
      </c>
      <c r="AN25" s="63">
        <v>214</v>
      </c>
      <c r="AO25" s="63">
        <v>280</v>
      </c>
      <c r="AP25" s="63">
        <v>111</v>
      </c>
      <c r="AQ25" s="63">
        <v>149</v>
      </c>
      <c r="AR25" s="63">
        <v>113</v>
      </c>
      <c r="AS25" s="63">
        <v>416</v>
      </c>
      <c r="AT25" s="63">
        <v>576</v>
      </c>
      <c r="AU25" s="63">
        <v>200</v>
      </c>
      <c r="AV25" s="63">
        <v>1607</v>
      </c>
      <c r="AW25" s="63">
        <v>0</v>
      </c>
      <c r="AX25" s="63">
        <v>48</v>
      </c>
      <c r="AY25" s="63">
        <v>33</v>
      </c>
      <c r="AZ25" s="63">
        <v>199</v>
      </c>
      <c r="BA25" s="63">
        <v>277</v>
      </c>
      <c r="BB25" s="63">
        <v>221</v>
      </c>
      <c r="BC25" s="63">
        <v>408</v>
      </c>
      <c r="BD25" s="63">
        <v>421</v>
      </c>
      <c r="BE25" s="63">
        <v>759</v>
      </c>
      <c r="BF25" s="63">
        <v>0</v>
      </c>
      <c r="BG25" s="63">
        <v>40</v>
      </c>
      <c r="BH25" s="63">
        <v>24</v>
      </c>
      <c r="BI25" s="63">
        <v>88</v>
      </c>
      <c r="BJ25" s="63">
        <v>91</v>
      </c>
      <c r="BK25" s="63">
        <v>183</v>
      </c>
      <c r="BL25" s="63">
        <v>169</v>
      </c>
      <c r="BM25" s="63">
        <v>164</v>
      </c>
      <c r="BN25" s="63">
        <v>848</v>
      </c>
      <c r="BO25" s="63">
        <v>0</v>
      </c>
      <c r="BP25" s="63">
        <v>8</v>
      </c>
      <c r="BQ25" s="63">
        <v>9</v>
      </c>
      <c r="BR25" s="63">
        <v>111</v>
      </c>
      <c r="BS25" s="63">
        <v>186</v>
      </c>
      <c r="BT25" s="63">
        <v>38</v>
      </c>
      <c r="BU25" s="63">
        <v>239</v>
      </c>
      <c r="BV25" s="63">
        <v>257</v>
      </c>
      <c r="BW25" s="63">
        <v>2016</v>
      </c>
      <c r="BX25" s="63">
        <v>332</v>
      </c>
      <c r="BY25" s="63">
        <v>423</v>
      </c>
      <c r="BZ25" s="63">
        <v>2274</v>
      </c>
      <c r="CA25" s="63">
        <v>75</v>
      </c>
      <c r="CB25" s="63">
        <v>0.2</v>
      </c>
      <c r="CC25" s="63">
        <v>20</v>
      </c>
      <c r="CD25" s="63">
        <v>11745</v>
      </c>
      <c r="CE25" s="63">
        <v>2.4</v>
      </c>
      <c r="CF25" s="63">
        <v>117.4</v>
      </c>
      <c r="CG25" s="63">
        <v>446</v>
      </c>
      <c r="CH25" s="63">
        <v>19</v>
      </c>
      <c r="CI25" s="63">
        <v>37.1</v>
      </c>
      <c r="CJ25" s="63">
        <v>2</v>
      </c>
      <c r="CK25" s="63">
        <v>0.4</v>
      </c>
      <c r="CL25" s="63">
        <v>14.1</v>
      </c>
      <c r="CM25" s="63">
        <v>18</v>
      </c>
    </row>
    <row r="26" spans="1:91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63">
        <v>3195</v>
      </c>
      <c r="I26" s="63">
        <v>141</v>
      </c>
      <c r="J26" s="63">
        <v>179</v>
      </c>
      <c r="K26" s="63">
        <v>242</v>
      </c>
      <c r="L26" s="63">
        <v>322</v>
      </c>
      <c r="M26" s="63">
        <v>360</v>
      </c>
      <c r="N26" s="63">
        <v>707</v>
      </c>
      <c r="O26" s="63">
        <v>599</v>
      </c>
      <c r="P26" s="63">
        <v>315</v>
      </c>
      <c r="Q26" s="63">
        <v>232</v>
      </c>
      <c r="R26" s="63">
        <v>98</v>
      </c>
      <c r="S26" s="63">
        <v>754</v>
      </c>
      <c r="T26" s="63">
        <v>720</v>
      </c>
      <c r="U26" s="63">
        <v>692</v>
      </c>
      <c r="V26" s="63">
        <v>541</v>
      </c>
      <c r="W26" s="63">
        <v>359</v>
      </c>
      <c r="X26" s="63">
        <v>128</v>
      </c>
      <c r="Y26" s="63">
        <v>983</v>
      </c>
      <c r="Z26" s="63">
        <v>1882</v>
      </c>
      <c r="AA26" s="63">
        <v>330</v>
      </c>
      <c r="AB26" s="63">
        <v>1492</v>
      </c>
      <c r="AC26" s="63">
        <v>359</v>
      </c>
      <c r="AD26" s="63">
        <v>340</v>
      </c>
      <c r="AE26" s="63">
        <v>339</v>
      </c>
      <c r="AF26" s="63">
        <v>245</v>
      </c>
      <c r="AG26" s="63">
        <v>161</v>
      </c>
      <c r="AH26" s="63">
        <v>48</v>
      </c>
      <c r="AI26" s="63">
        <v>471</v>
      </c>
      <c r="AJ26" s="63">
        <v>872</v>
      </c>
      <c r="AK26" s="63">
        <v>150</v>
      </c>
      <c r="AL26" s="63">
        <v>1703</v>
      </c>
      <c r="AM26" s="63">
        <v>395</v>
      </c>
      <c r="AN26" s="63">
        <v>380</v>
      </c>
      <c r="AO26" s="63">
        <v>353</v>
      </c>
      <c r="AP26" s="63">
        <v>295</v>
      </c>
      <c r="AQ26" s="63">
        <v>199</v>
      </c>
      <c r="AR26" s="63">
        <v>80</v>
      </c>
      <c r="AS26" s="63">
        <v>512</v>
      </c>
      <c r="AT26" s="63">
        <v>1010</v>
      </c>
      <c r="AU26" s="63">
        <v>181</v>
      </c>
      <c r="AV26" s="63">
        <v>2614</v>
      </c>
      <c r="AW26" s="63">
        <v>0</v>
      </c>
      <c r="AX26" s="63">
        <v>73</v>
      </c>
      <c r="AY26" s="63">
        <v>317</v>
      </c>
      <c r="AZ26" s="63">
        <v>454</v>
      </c>
      <c r="BA26" s="63">
        <v>461</v>
      </c>
      <c r="BB26" s="63">
        <v>361</v>
      </c>
      <c r="BC26" s="63">
        <v>410</v>
      </c>
      <c r="BD26" s="63">
        <v>536</v>
      </c>
      <c r="BE26" s="63">
        <v>1220</v>
      </c>
      <c r="BF26" s="63">
        <v>0</v>
      </c>
      <c r="BG26" s="63">
        <v>64</v>
      </c>
      <c r="BH26" s="63">
        <v>185</v>
      </c>
      <c r="BI26" s="63">
        <v>193</v>
      </c>
      <c r="BJ26" s="63">
        <v>138</v>
      </c>
      <c r="BK26" s="63">
        <v>270</v>
      </c>
      <c r="BL26" s="63">
        <v>179</v>
      </c>
      <c r="BM26" s="63">
        <v>191</v>
      </c>
      <c r="BN26" s="63">
        <v>1393</v>
      </c>
      <c r="BO26" s="63">
        <v>0</v>
      </c>
      <c r="BP26" s="63">
        <v>9</v>
      </c>
      <c r="BQ26" s="63">
        <v>132</v>
      </c>
      <c r="BR26" s="63">
        <v>261</v>
      </c>
      <c r="BS26" s="63">
        <v>324</v>
      </c>
      <c r="BT26" s="63">
        <v>91</v>
      </c>
      <c r="BU26" s="63">
        <v>232</v>
      </c>
      <c r="BV26" s="63">
        <v>345</v>
      </c>
      <c r="BW26" s="63">
        <v>2758</v>
      </c>
      <c r="BX26" s="63">
        <v>437</v>
      </c>
      <c r="BY26" s="63">
        <v>504</v>
      </c>
      <c r="BZ26" s="63">
        <v>3195</v>
      </c>
      <c r="CA26" s="63">
        <v>0</v>
      </c>
      <c r="CB26" s="63">
        <v>0.4</v>
      </c>
      <c r="CC26" s="63">
        <v>40</v>
      </c>
      <c r="CD26" s="63">
        <v>7987.5</v>
      </c>
      <c r="CE26" s="63">
        <v>3.2</v>
      </c>
      <c r="CF26" s="63">
        <v>79.900000000000006</v>
      </c>
      <c r="CG26" s="63">
        <v>487</v>
      </c>
      <c r="CH26" s="63">
        <v>15.2</v>
      </c>
      <c r="CI26" s="63">
        <v>30.8</v>
      </c>
      <c r="CJ26" s="63">
        <v>2</v>
      </c>
      <c r="CK26" s="63">
        <v>0.3</v>
      </c>
      <c r="CL26" s="63">
        <v>13.7</v>
      </c>
      <c r="CM26" s="63">
        <v>15.8</v>
      </c>
    </row>
    <row r="27" spans="1:91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63">
        <v>2342</v>
      </c>
      <c r="I27" s="63">
        <v>103</v>
      </c>
      <c r="J27" s="63">
        <v>130</v>
      </c>
      <c r="K27" s="63">
        <v>248</v>
      </c>
      <c r="L27" s="63">
        <v>370</v>
      </c>
      <c r="M27" s="63">
        <v>237</v>
      </c>
      <c r="N27" s="63">
        <v>386</v>
      </c>
      <c r="O27" s="63">
        <v>446</v>
      </c>
      <c r="P27" s="63">
        <v>172</v>
      </c>
      <c r="Q27" s="63">
        <v>204</v>
      </c>
      <c r="R27" s="63">
        <v>46</v>
      </c>
      <c r="S27" s="63">
        <v>685</v>
      </c>
      <c r="T27" s="63">
        <v>525</v>
      </c>
      <c r="U27" s="63">
        <v>415</v>
      </c>
      <c r="V27" s="63">
        <v>407</v>
      </c>
      <c r="W27" s="63">
        <v>204</v>
      </c>
      <c r="X27" s="63">
        <v>107</v>
      </c>
      <c r="Y27" s="63">
        <v>949</v>
      </c>
      <c r="Z27" s="63">
        <v>1144</v>
      </c>
      <c r="AA27" s="63">
        <v>250</v>
      </c>
      <c r="AB27" s="63">
        <v>1092</v>
      </c>
      <c r="AC27" s="63">
        <v>332</v>
      </c>
      <c r="AD27" s="63">
        <v>245</v>
      </c>
      <c r="AE27" s="63">
        <v>175</v>
      </c>
      <c r="AF27" s="63">
        <v>191</v>
      </c>
      <c r="AG27" s="63">
        <v>90</v>
      </c>
      <c r="AH27" s="63">
        <v>60</v>
      </c>
      <c r="AI27" s="63">
        <v>441</v>
      </c>
      <c r="AJ27" s="63">
        <v>535</v>
      </c>
      <c r="AK27" s="63">
        <v>116</v>
      </c>
      <c r="AL27" s="63">
        <v>1250</v>
      </c>
      <c r="AM27" s="63">
        <v>353</v>
      </c>
      <c r="AN27" s="63">
        <v>280</v>
      </c>
      <c r="AO27" s="63">
        <v>241</v>
      </c>
      <c r="AP27" s="63">
        <v>215</v>
      </c>
      <c r="AQ27" s="63">
        <v>114</v>
      </c>
      <c r="AR27" s="63">
        <v>47</v>
      </c>
      <c r="AS27" s="63">
        <v>508</v>
      </c>
      <c r="AT27" s="63">
        <v>609</v>
      </c>
      <c r="AU27" s="63">
        <v>134</v>
      </c>
      <c r="AV27" s="63">
        <v>1638</v>
      </c>
      <c r="AW27" s="63">
        <v>0</v>
      </c>
      <c r="AX27" s="63">
        <v>18</v>
      </c>
      <c r="AY27" s="63">
        <v>37</v>
      </c>
      <c r="AZ27" s="63">
        <v>134</v>
      </c>
      <c r="BA27" s="63">
        <v>233</v>
      </c>
      <c r="BB27" s="63">
        <v>307</v>
      </c>
      <c r="BC27" s="63">
        <v>277</v>
      </c>
      <c r="BD27" s="63">
        <v>632</v>
      </c>
      <c r="BE27" s="63">
        <v>749</v>
      </c>
      <c r="BF27" s="63">
        <v>0</v>
      </c>
      <c r="BG27" s="63">
        <v>14</v>
      </c>
      <c r="BH27" s="63">
        <v>31</v>
      </c>
      <c r="BI27" s="63">
        <v>53</v>
      </c>
      <c r="BJ27" s="63">
        <v>59</v>
      </c>
      <c r="BK27" s="63">
        <v>223</v>
      </c>
      <c r="BL27" s="63">
        <v>141</v>
      </c>
      <c r="BM27" s="63">
        <v>229</v>
      </c>
      <c r="BN27" s="63">
        <v>888</v>
      </c>
      <c r="BO27" s="63">
        <v>0</v>
      </c>
      <c r="BP27" s="63">
        <v>5</v>
      </c>
      <c r="BQ27" s="63">
        <v>7</v>
      </c>
      <c r="BR27" s="63">
        <v>81</v>
      </c>
      <c r="BS27" s="63">
        <v>174</v>
      </c>
      <c r="BT27" s="63">
        <v>84</v>
      </c>
      <c r="BU27" s="63">
        <v>136</v>
      </c>
      <c r="BV27" s="63">
        <v>402</v>
      </c>
      <c r="BW27" s="63">
        <v>1880</v>
      </c>
      <c r="BX27" s="63">
        <v>463</v>
      </c>
      <c r="BY27" s="63">
        <v>556</v>
      </c>
      <c r="BZ27" s="63">
        <v>2342</v>
      </c>
      <c r="CA27" s="63">
        <v>0</v>
      </c>
      <c r="CB27" s="63">
        <v>0.2</v>
      </c>
      <c r="CC27" s="63">
        <v>20</v>
      </c>
      <c r="CD27" s="63">
        <v>11710</v>
      </c>
      <c r="CE27" s="63">
        <v>2.4</v>
      </c>
      <c r="CF27" s="63">
        <v>117.1</v>
      </c>
      <c r="CG27" s="63">
        <v>311</v>
      </c>
      <c r="CH27" s="63">
        <v>13.3</v>
      </c>
      <c r="CI27" s="63">
        <v>40.5</v>
      </c>
      <c r="CJ27" s="63">
        <v>3.1</v>
      </c>
      <c r="CK27" s="63">
        <v>0.3</v>
      </c>
      <c r="CL27" s="63">
        <v>19.8</v>
      </c>
      <c r="CM27" s="63">
        <v>23.7</v>
      </c>
    </row>
    <row r="28" spans="1:91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63">
        <v>2163</v>
      </c>
      <c r="I28" s="63">
        <v>121</v>
      </c>
      <c r="J28" s="63">
        <v>161</v>
      </c>
      <c r="K28" s="63">
        <v>233</v>
      </c>
      <c r="L28" s="63">
        <v>276</v>
      </c>
      <c r="M28" s="63">
        <v>194</v>
      </c>
      <c r="N28" s="63">
        <v>351</v>
      </c>
      <c r="O28" s="63">
        <v>431</v>
      </c>
      <c r="P28" s="63">
        <v>181</v>
      </c>
      <c r="Q28" s="63">
        <v>177</v>
      </c>
      <c r="R28" s="63">
        <v>37</v>
      </c>
      <c r="S28" s="63">
        <v>700</v>
      </c>
      <c r="T28" s="63">
        <v>447</v>
      </c>
      <c r="U28" s="63">
        <v>325</v>
      </c>
      <c r="V28" s="63">
        <v>405</v>
      </c>
      <c r="W28" s="63">
        <v>200</v>
      </c>
      <c r="X28" s="63">
        <v>86</v>
      </c>
      <c r="Y28" s="63">
        <v>862</v>
      </c>
      <c r="Z28" s="63">
        <v>1087</v>
      </c>
      <c r="AA28" s="63">
        <v>214</v>
      </c>
      <c r="AB28" s="63">
        <v>1066</v>
      </c>
      <c r="AC28" s="63">
        <v>360</v>
      </c>
      <c r="AD28" s="63">
        <v>223</v>
      </c>
      <c r="AE28" s="63">
        <v>136</v>
      </c>
      <c r="AF28" s="63">
        <v>203</v>
      </c>
      <c r="AG28" s="63">
        <v>105</v>
      </c>
      <c r="AH28" s="63">
        <v>39</v>
      </c>
      <c r="AI28" s="63">
        <v>445</v>
      </c>
      <c r="AJ28" s="63">
        <v>503</v>
      </c>
      <c r="AK28" s="63">
        <v>118</v>
      </c>
      <c r="AL28" s="63">
        <v>1096</v>
      </c>
      <c r="AM28" s="63">
        <v>339</v>
      </c>
      <c r="AN28" s="63">
        <v>224</v>
      </c>
      <c r="AO28" s="63">
        <v>189</v>
      </c>
      <c r="AP28" s="63">
        <v>202</v>
      </c>
      <c r="AQ28" s="63">
        <v>95</v>
      </c>
      <c r="AR28" s="63">
        <v>47</v>
      </c>
      <c r="AS28" s="63">
        <v>416</v>
      </c>
      <c r="AT28" s="63">
        <v>584</v>
      </c>
      <c r="AU28" s="63">
        <v>96</v>
      </c>
      <c r="AV28" s="63">
        <v>1603</v>
      </c>
      <c r="AW28" s="63">
        <v>0</v>
      </c>
      <c r="AX28" s="63">
        <v>46</v>
      </c>
      <c r="AY28" s="63">
        <v>50</v>
      </c>
      <c r="AZ28" s="63">
        <v>125</v>
      </c>
      <c r="BA28" s="63">
        <v>250</v>
      </c>
      <c r="BB28" s="63">
        <v>296</v>
      </c>
      <c r="BC28" s="63">
        <v>224</v>
      </c>
      <c r="BD28" s="63">
        <v>611</v>
      </c>
      <c r="BE28" s="63">
        <v>776</v>
      </c>
      <c r="BF28" s="63">
        <v>0</v>
      </c>
      <c r="BG28" s="63">
        <v>38</v>
      </c>
      <c r="BH28" s="63">
        <v>30</v>
      </c>
      <c r="BI28" s="63">
        <v>37</v>
      </c>
      <c r="BJ28" s="63">
        <v>70</v>
      </c>
      <c r="BK28" s="63">
        <v>235</v>
      </c>
      <c r="BL28" s="63">
        <v>121</v>
      </c>
      <c r="BM28" s="63">
        <v>244</v>
      </c>
      <c r="BN28" s="63">
        <v>827</v>
      </c>
      <c r="BO28" s="63">
        <v>0</v>
      </c>
      <c r="BP28" s="63">
        <v>8</v>
      </c>
      <c r="BQ28" s="63">
        <v>20</v>
      </c>
      <c r="BR28" s="63">
        <v>87</v>
      </c>
      <c r="BS28" s="63">
        <v>180</v>
      </c>
      <c r="BT28" s="63">
        <v>61</v>
      </c>
      <c r="BU28" s="63">
        <v>103</v>
      </c>
      <c r="BV28" s="63">
        <v>368</v>
      </c>
      <c r="BW28" s="63">
        <v>1751</v>
      </c>
      <c r="BX28" s="63">
        <v>412</v>
      </c>
      <c r="BY28" s="63">
        <v>512</v>
      </c>
      <c r="BZ28" s="63">
        <v>2163</v>
      </c>
      <c r="CA28" s="63">
        <v>0</v>
      </c>
      <c r="CB28" s="63">
        <v>0.1</v>
      </c>
      <c r="CC28" s="63">
        <v>10</v>
      </c>
      <c r="CD28" s="63">
        <v>21630</v>
      </c>
      <c r="CE28" s="63">
        <v>2.2000000000000002</v>
      </c>
      <c r="CF28" s="63">
        <v>216.3</v>
      </c>
      <c r="CG28" s="63">
        <v>286</v>
      </c>
      <c r="CH28" s="63">
        <v>13.2</v>
      </c>
      <c r="CI28" s="63">
        <v>39.9</v>
      </c>
      <c r="CJ28" s="63">
        <v>3</v>
      </c>
      <c r="CK28" s="63">
        <v>0.2</v>
      </c>
      <c r="CL28" s="63">
        <v>19</v>
      </c>
      <c r="CM28" s="63">
        <v>23.7</v>
      </c>
    </row>
    <row r="29" spans="1:91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63">
        <v>2876</v>
      </c>
      <c r="I29" s="63">
        <v>131</v>
      </c>
      <c r="J29" s="63">
        <v>107</v>
      </c>
      <c r="K29" s="63">
        <v>236</v>
      </c>
      <c r="L29" s="63">
        <v>319</v>
      </c>
      <c r="M29" s="63">
        <v>338</v>
      </c>
      <c r="N29" s="63">
        <v>537</v>
      </c>
      <c r="O29" s="63">
        <v>516</v>
      </c>
      <c r="P29" s="63">
        <v>306</v>
      </c>
      <c r="Q29" s="63">
        <v>260</v>
      </c>
      <c r="R29" s="63">
        <v>125</v>
      </c>
      <c r="S29" s="63">
        <v>681</v>
      </c>
      <c r="T29" s="63">
        <v>642</v>
      </c>
      <c r="U29" s="63">
        <v>503</v>
      </c>
      <c r="V29" s="63">
        <v>523</v>
      </c>
      <c r="W29" s="63">
        <v>340</v>
      </c>
      <c r="X29" s="63">
        <v>187</v>
      </c>
      <c r="Y29" s="63">
        <v>881</v>
      </c>
      <c r="Z29" s="63">
        <v>1610</v>
      </c>
      <c r="AA29" s="63">
        <v>385</v>
      </c>
      <c r="AB29" s="63">
        <v>1369</v>
      </c>
      <c r="AC29" s="63">
        <v>343</v>
      </c>
      <c r="AD29" s="63">
        <v>291</v>
      </c>
      <c r="AE29" s="63">
        <v>247</v>
      </c>
      <c r="AF29" s="63">
        <v>269</v>
      </c>
      <c r="AG29" s="63">
        <v>162</v>
      </c>
      <c r="AH29" s="63">
        <v>58</v>
      </c>
      <c r="AI29" s="63">
        <v>456</v>
      </c>
      <c r="AJ29" s="63">
        <v>766</v>
      </c>
      <c r="AK29" s="63">
        <v>148</v>
      </c>
      <c r="AL29" s="63">
        <v>1507</v>
      </c>
      <c r="AM29" s="63">
        <v>338</v>
      </c>
      <c r="AN29" s="63">
        <v>352</v>
      </c>
      <c r="AO29" s="63">
        <v>256</v>
      </c>
      <c r="AP29" s="63">
        <v>254</v>
      </c>
      <c r="AQ29" s="63">
        <v>179</v>
      </c>
      <c r="AR29" s="63">
        <v>129</v>
      </c>
      <c r="AS29" s="63">
        <v>425</v>
      </c>
      <c r="AT29" s="63">
        <v>844</v>
      </c>
      <c r="AU29" s="63">
        <v>238</v>
      </c>
      <c r="AV29" s="63">
        <v>2297</v>
      </c>
      <c r="AW29" s="63">
        <v>0</v>
      </c>
      <c r="AX29" s="63">
        <v>51</v>
      </c>
      <c r="AY29" s="63">
        <v>150</v>
      </c>
      <c r="AZ29" s="63">
        <v>226</v>
      </c>
      <c r="BA29" s="63">
        <v>350</v>
      </c>
      <c r="BB29" s="63">
        <v>375</v>
      </c>
      <c r="BC29" s="63">
        <v>399</v>
      </c>
      <c r="BD29" s="63">
        <v>746</v>
      </c>
      <c r="BE29" s="63">
        <v>1099</v>
      </c>
      <c r="BF29" s="63">
        <v>0</v>
      </c>
      <c r="BG29" s="63">
        <v>43</v>
      </c>
      <c r="BH29" s="63">
        <v>93</v>
      </c>
      <c r="BI29" s="63">
        <v>71</v>
      </c>
      <c r="BJ29" s="63">
        <v>129</v>
      </c>
      <c r="BK29" s="63">
        <v>280</v>
      </c>
      <c r="BL29" s="63">
        <v>181</v>
      </c>
      <c r="BM29" s="63">
        <v>302</v>
      </c>
      <c r="BN29" s="63">
        <v>1197</v>
      </c>
      <c r="BO29" s="63">
        <v>0</v>
      </c>
      <c r="BP29" s="63">
        <v>8</v>
      </c>
      <c r="BQ29" s="63">
        <v>57</v>
      </c>
      <c r="BR29" s="63">
        <v>155</v>
      </c>
      <c r="BS29" s="63">
        <v>221</v>
      </c>
      <c r="BT29" s="63">
        <v>95</v>
      </c>
      <c r="BU29" s="63">
        <v>218</v>
      </c>
      <c r="BV29" s="63">
        <v>443</v>
      </c>
      <c r="BW29" s="63">
        <v>2175</v>
      </c>
      <c r="BX29" s="63">
        <v>701</v>
      </c>
      <c r="BY29" s="63">
        <v>726</v>
      </c>
      <c r="BZ29" s="63">
        <v>2820</v>
      </c>
      <c r="CA29" s="63">
        <v>56</v>
      </c>
      <c r="CB29" s="63">
        <v>0.2</v>
      </c>
      <c r="CC29" s="63">
        <v>20</v>
      </c>
      <c r="CD29" s="63">
        <v>14380</v>
      </c>
      <c r="CE29" s="63">
        <v>2.9</v>
      </c>
      <c r="CF29" s="63">
        <v>143.80000000000001</v>
      </c>
      <c r="CG29" s="63">
        <v>527</v>
      </c>
      <c r="CH29" s="63">
        <v>18.3</v>
      </c>
      <c r="CI29" s="63">
        <v>30.6</v>
      </c>
      <c r="CJ29" s="63">
        <v>1.7</v>
      </c>
      <c r="CK29" s="63">
        <v>0.4</v>
      </c>
      <c r="CL29" s="63">
        <v>24.4</v>
      </c>
      <c r="CM29" s="63">
        <v>25.2</v>
      </c>
    </row>
    <row r="30" spans="1:91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63">
        <v>2270</v>
      </c>
      <c r="I30" s="63">
        <v>89</v>
      </c>
      <c r="J30" s="63">
        <v>133</v>
      </c>
      <c r="K30" s="63">
        <v>301</v>
      </c>
      <c r="L30" s="63">
        <v>288</v>
      </c>
      <c r="M30" s="63">
        <v>274</v>
      </c>
      <c r="N30" s="63">
        <v>381</v>
      </c>
      <c r="O30" s="63">
        <v>371</v>
      </c>
      <c r="P30" s="63">
        <v>171</v>
      </c>
      <c r="Q30" s="63">
        <v>188</v>
      </c>
      <c r="R30" s="63">
        <v>73</v>
      </c>
      <c r="S30" s="63">
        <v>693</v>
      </c>
      <c r="T30" s="63">
        <v>532</v>
      </c>
      <c r="U30" s="63">
        <v>365</v>
      </c>
      <c r="V30" s="63">
        <v>321</v>
      </c>
      <c r="W30" s="63">
        <v>247</v>
      </c>
      <c r="X30" s="63">
        <v>112</v>
      </c>
      <c r="Y30" s="63">
        <v>910</v>
      </c>
      <c r="Z30" s="63">
        <v>1098</v>
      </c>
      <c r="AA30" s="63">
        <v>262</v>
      </c>
      <c r="AB30" s="63">
        <v>1139</v>
      </c>
      <c r="AC30" s="63">
        <v>335</v>
      </c>
      <c r="AD30" s="63">
        <v>297</v>
      </c>
      <c r="AE30" s="63">
        <v>180</v>
      </c>
      <c r="AF30" s="63">
        <v>173</v>
      </c>
      <c r="AG30" s="63">
        <v>113</v>
      </c>
      <c r="AH30" s="63">
        <v>41</v>
      </c>
      <c r="AI30" s="63">
        <v>451</v>
      </c>
      <c r="AJ30" s="63">
        <v>576</v>
      </c>
      <c r="AK30" s="63">
        <v>111</v>
      </c>
      <c r="AL30" s="63">
        <v>1131</v>
      </c>
      <c r="AM30" s="63">
        <v>358</v>
      </c>
      <c r="AN30" s="63">
        <v>235</v>
      </c>
      <c r="AO30" s="63">
        <v>185</v>
      </c>
      <c r="AP30" s="63">
        <v>148</v>
      </c>
      <c r="AQ30" s="63">
        <v>134</v>
      </c>
      <c r="AR30" s="63">
        <v>71</v>
      </c>
      <c r="AS30" s="63">
        <v>459</v>
      </c>
      <c r="AT30" s="63">
        <v>521</v>
      </c>
      <c r="AU30" s="63">
        <v>151</v>
      </c>
      <c r="AV30" s="63">
        <v>1632</v>
      </c>
      <c r="AW30" s="63">
        <v>0</v>
      </c>
      <c r="AX30" s="63">
        <v>47</v>
      </c>
      <c r="AY30" s="63">
        <v>19</v>
      </c>
      <c r="AZ30" s="63">
        <v>132</v>
      </c>
      <c r="BA30" s="63">
        <v>224</v>
      </c>
      <c r="BB30" s="63">
        <v>267</v>
      </c>
      <c r="BC30" s="63">
        <v>319</v>
      </c>
      <c r="BD30" s="63">
        <v>625</v>
      </c>
      <c r="BE30" s="63">
        <v>842</v>
      </c>
      <c r="BF30" s="63">
        <v>0</v>
      </c>
      <c r="BG30" s="63">
        <v>32</v>
      </c>
      <c r="BH30" s="63">
        <v>12</v>
      </c>
      <c r="BI30" s="63">
        <v>76</v>
      </c>
      <c r="BJ30" s="63">
        <v>79</v>
      </c>
      <c r="BK30" s="63">
        <v>228</v>
      </c>
      <c r="BL30" s="63">
        <v>141</v>
      </c>
      <c r="BM30" s="63">
        <v>274</v>
      </c>
      <c r="BN30" s="63">
        <v>790</v>
      </c>
      <c r="BO30" s="63">
        <v>0</v>
      </c>
      <c r="BP30" s="63">
        <v>15</v>
      </c>
      <c r="BQ30" s="63">
        <v>7</v>
      </c>
      <c r="BR30" s="63">
        <v>56</v>
      </c>
      <c r="BS30" s="63">
        <v>145</v>
      </c>
      <c r="BT30" s="63">
        <v>38</v>
      </c>
      <c r="BU30" s="63">
        <v>178</v>
      </c>
      <c r="BV30" s="63">
        <v>352</v>
      </c>
      <c r="BW30" s="63">
        <v>1696</v>
      </c>
      <c r="BX30" s="63">
        <v>574</v>
      </c>
      <c r="BY30" s="63">
        <v>544</v>
      </c>
      <c r="BZ30" s="63">
        <v>2270</v>
      </c>
      <c r="CA30" s="63">
        <v>0</v>
      </c>
      <c r="CB30" s="63">
        <v>0.2</v>
      </c>
      <c r="CC30" s="63">
        <v>20</v>
      </c>
      <c r="CD30" s="63">
        <v>11350</v>
      </c>
      <c r="CE30" s="63">
        <v>2.2999999999999998</v>
      </c>
      <c r="CF30" s="63">
        <v>113.5</v>
      </c>
      <c r="CG30" s="63">
        <v>359</v>
      </c>
      <c r="CH30" s="63">
        <v>15.8</v>
      </c>
      <c r="CI30" s="63">
        <v>40.1</v>
      </c>
      <c r="CJ30" s="63">
        <v>2.5</v>
      </c>
      <c r="CK30" s="63">
        <v>0.3</v>
      </c>
      <c r="CL30" s="63">
        <v>25.3</v>
      </c>
      <c r="CM30" s="63">
        <v>24</v>
      </c>
    </row>
    <row r="31" spans="1:91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63">
        <v>2635</v>
      </c>
      <c r="I31" s="63">
        <v>180</v>
      </c>
      <c r="J31" s="63">
        <v>179</v>
      </c>
      <c r="K31" s="63">
        <v>314</v>
      </c>
      <c r="L31" s="63">
        <v>335</v>
      </c>
      <c r="M31" s="63">
        <v>283</v>
      </c>
      <c r="N31" s="63">
        <v>552</v>
      </c>
      <c r="O31" s="63">
        <v>411</v>
      </c>
      <c r="P31" s="63">
        <v>183</v>
      </c>
      <c r="Q31" s="63">
        <v>148</v>
      </c>
      <c r="R31" s="63">
        <v>50</v>
      </c>
      <c r="S31" s="63">
        <v>875</v>
      </c>
      <c r="T31" s="63">
        <v>595</v>
      </c>
      <c r="U31" s="63">
        <v>520</v>
      </c>
      <c r="V31" s="63">
        <v>366</v>
      </c>
      <c r="W31" s="63">
        <v>192</v>
      </c>
      <c r="X31" s="63">
        <v>88</v>
      </c>
      <c r="Y31" s="63">
        <v>1073</v>
      </c>
      <c r="Z31" s="63">
        <v>1364</v>
      </c>
      <c r="AA31" s="63">
        <v>199</v>
      </c>
      <c r="AB31" s="63">
        <v>1264</v>
      </c>
      <c r="AC31" s="63">
        <v>412</v>
      </c>
      <c r="AD31" s="63">
        <v>304</v>
      </c>
      <c r="AE31" s="63">
        <v>243</v>
      </c>
      <c r="AF31" s="63">
        <v>163</v>
      </c>
      <c r="AG31" s="63">
        <v>98</v>
      </c>
      <c r="AH31" s="63">
        <v>44</v>
      </c>
      <c r="AI31" s="63">
        <v>520</v>
      </c>
      <c r="AJ31" s="63">
        <v>648</v>
      </c>
      <c r="AK31" s="63">
        <v>96</v>
      </c>
      <c r="AL31" s="63">
        <v>1371</v>
      </c>
      <c r="AM31" s="63">
        <v>463</v>
      </c>
      <c r="AN31" s="63">
        <v>291</v>
      </c>
      <c r="AO31" s="63">
        <v>277</v>
      </c>
      <c r="AP31" s="63">
        <v>202</v>
      </c>
      <c r="AQ31" s="63">
        <v>94</v>
      </c>
      <c r="AR31" s="63">
        <v>44</v>
      </c>
      <c r="AS31" s="63">
        <v>552</v>
      </c>
      <c r="AT31" s="63">
        <v>717</v>
      </c>
      <c r="AU31" s="63">
        <v>102</v>
      </c>
      <c r="AV31" s="63">
        <v>1549</v>
      </c>
      <c r="AW31" s="63">
        <v>0</v>
      </c>
      <c r="AX31" s="63">
        <v>31</v>
      </c>
      <c r="AY31" s="63">
        <v>21</v>
      </c>
      <c r="AZ31" s="63">
        <v>120</v>
      </c>
      <c r="BA31" s="63">
        <v>261</v>
      </c>
      <c r="BB31" s="63">
        <v>304</v>
      </c>
      <c r="BC31" s="63">
        <v>219</v>
      </c>
      <c r="BD31" s="63">
        <v>593</v>
      </c>
      <c r="BE31" s="63">
        <v>719</v>
      </c>
      <c r="BF31" s="63">
        <v>0</v>
      </c>
      <c r="BG31" s="63">
        <v>18</v>
      </c>
      <c r="BH31" s="63">
        <v>15</v>
      </c>
      <c r="BI31" s="63">
        <v>51</v>
      </c>
      <c r="BJ31" s="63">
        <v>68</v>
      </c>
      <c r="BK31" s="63">
        <v>226</v>
      </c>
      <c r="BL31" s="63">
        <v>101</v>
      </c>
      <c r="BM31" s="63">
        <v>239</v>
      </c>
      <c r="BN31" s="63">
        <v>830</v>
      </c>
      <c r="BO31" s="63">
        <v>0</v>
      </c>
      <c r="BP31" s="63">
        <v>12</v>
      </c>
      <c r="BQ31" s="63">
        <v>7</v>
      </c>
      <c r="BR31" s="63">
        <v>69</v>
      </c>
      <c r="BS31" s="63">
        <v>192</v>
      </c>
      <c r="BT31" s="63">
        <v>78</v>
      </c>
      <c r="BU31" s="63">
        <v>118</v>
      </c>
      <c r="BV31" s="63">
        <v>355</v>
      </c>
      <c r="BW31" s="63">
        <v>1977</v>
      </c>
      <c r="BX31" s="63">
        <v>658</v>
      </c>
      <c r="BY31" s="63">
        <v>617</v>
      </c>
      <c r="BZ31" s="63">
        <v>2635</v>
      </c>
      <c r="CA31" s="63">
        <v>0</v>
      </c>
      <c r="CB31" s="63">
        <v>0.2</v>
      </c>
      <c r="CC31" s="63">
        <v>20</v>
      </c>
      <c r="CD31" s="63">
        <v>13175</v>
      </c>
      <c r="CE31" s="63">
        <v>2.6</v>
      </c>
      <c r="CF31" s="63">
        <v>131.80000000000001</v>
      </c>
      <c r="CG31" s="63">
        <v>280</v>
      </c>
      <c r="CH31" s="63">
        <v>10.6</v>
      </c>
      <c r="CI31" s="63">
        <v>40.700000000000003</v>
      </c>
      <c r="CJ31" s="63">
        <v>3.8</v>
      </c>
      <c r="CK31" s="63">
        <v>0.2</v>
      </c>
      <c r="CL31" s="63">
        <v>25</v>
      </c>
      <c r="CM31" s="63">
        <v>23.4</v>
      </c>
    </row>
    <row r="32" spans="1:91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63">
        <v>2081</v>
      </c>
      <c r="I32" s="63">
        <v>97</v>
      </c>
      <c r="J32" s="63">
        <v>93</v>
      </c>
      <c r="K32" s="63">
        <v>192</v>
      </c>
      <c r="L32" s="63">
        <v>253</v>
      </c>
      <c r="M32" s="63">
        <v>209</v>
      </c>
      <c r="N32" s="63">
        <v>352</v>
      </c>
      <c r="O32" s="63">
        <v>393</v>
      </c>
      <c r="P32" s="63">
        <v>198</v>
      </c>
      <c r="Q32" s="63">
        <v>214</v>
      </c>
      <c r="R32" s="63">
        <v>80</v>
      </c>
      <c r="S32" s="63">
        <v>508</v>
      </c>
      <c r="T32" s="63">
        <v>485</v>
      </c>
      <c r="U32" s="63">
        <v>337</v>
      </c>
      <c r="V32" s="63">
        <v>372</v>
      </c>
      <c r="W32" s="63">
        <v>252</v>
      </c>
      <c r="X32" s="63">
        <v>127</v>
      </c>
      <c r="Y32" s="63">
        <v>697</v>
      </c>
      <c r="Z32" s="63">
        <v>1090</v>
      </c>
      <c r="AA32" s="63">
        <v>294</v>
      </c>
      <c r="AB32" s="63">
        <v>1047</v>
      </c>
      <c r="AC32" s="63">
        <v>230</v>
      </c>
      <c r="AD32" s="63">
        <v>274</v>
      </c>
      <c r="AE32" s="63">
        <v>143</v>
      </c>
      <c r="AF32" s="63">
        <v>228</v>
      </c>
      <c r="AG32" s="63">
        <v>114</v>
      </c>
      <c r="AH32" s="63">
        <v>58</v>
      </c>
      <c r="AI32" s="63">
        <v>333</v>
      </c>
      <c r="AJ32" s="63">
        <v>585</v>
      </c>
      <c r="AK32" s="63">
        <v>129</v>
      </c>
      <c r="AL32" s="63">
        <v>1034</v>
      </c>
      <c r="AM32" s="63">
        <v>278</v>
      </c>
      <c r="AN32" s="63">
        <v>211</v>
      </c>
      <c r="AO32" s="63">
        <v>194</v>
      </c>
      <c r="AP32" s="63">
        <v>145</v>
      </c>
      <c r="AQ32" s="63">
        <v>137</v>
      </c>
      <c r="AR32" s="63">
        <v>69</v>
      </c>
      <c r="AS32" s="63">
        <v>364</v>
      </c>
      <c r="AT32" s="63">
        <v>505</v>
      </c>
      <c r="AU32" s="63">
        <v>165</v>
      </c>
      <c r="AV32" s="63">
        <v>1429</v>
      </c>
      <c r="AW32" s="63">
        <v>0</v>
      </c>
      <c r="AX32" s="63">
        <v>12</v>
      </c>
      <c r="AY32" s="63">
        <v>53</v>
      </c>
      <c r="AZ32" s="63">
        <v>99</v>
      </c>
      <c r="BA32" s="63">
        <v>202</v>
      </c>
      <c r="BB32" s="63">
        <v>242</v>
      </c>
      <c r="BC32" s="63">
        <v>274</v>
      </c>
      <c r="BD32" s="63">
        <v>548</v>
      </c>
      <c r="BE32" s="63">
        <v>683</v>
      </c>
      <c r="BF32" s="63">
        <v>0</v>
      </c>
      <c r="BG32" s="63">
        <v>12</v>
      </c>
      <c r="BH32" s="63">
        <v>24</v>
      </c>
      <c r="BI32" s="63">
        <v>46</v>
      </c>
      <c r="BJ32" s="63">
        <v>81</v>
      </c>
      <c r="BK32" s="63">
        <v>194</v>
      </c>
      <c r="BL32" s="63">
        <v>100</v>
      </c>
      <c r="BM32" s="63">
        <v>226</v>
      </c>
      <c r="BN32" s="63">
        <v>746</v>
      </c>
      <c r="BO32" s="63">
        <v>0</v>
      </c>
      <c r="BP32" s="63">
        <v>0</v>
      </c>
      <c r="BQ32" s="63">
        <v>29</v>
      </c>
      <c r="BR32" s="63">
        <v>53</v>
      </c>
      <c r="BS32" s="63">
        <v>121</v>
      </c>
      <c r="BT32" s="63">
        <v>48</v>
      </c>
      <c r="BU32" s="63">
        <v>174</v>
      </c>
      <c r="BV32" s="63">
        <v>322</v>
      </c>
      <c r="BW32" s="63">
        <v>1642</v>
      </c>
      <c r="BX32" s="63">
        <v>439</v>
      </c>
      <c r="BY32" s="63">
        <v>444</v>
      </c>
      <c r="BZ32" s="63">
        <v>2012</v>
      </c>
      <c r="CA32" s="63">
        <v>69</v>
      </c>
      <c r="CB32" s="63">
        <v>0.3</v>
      </c>
      <c r="CC32" s="63">
        <v>30</v>
      </c>
      <c r="CD32" s="63">
        <v>6936.7</v>
      </c>
      <c r="CE32" s="63">
        <v>2.1</v>
      </c>
      <c r="CF32" s="63">
        <v>69.400000000000006</v>
      </c>
      <c r="CG32" s="63">
        <v>379</v>
      </c>
      <c r="CH32" s="63">
        <v>18.2</v>
      </c>
      <c r="CI32" s="63">
        <v>33.5</v>
      </c>
      <c r="CJ32" s="63">
        <v>1.8</v>
      </c>
      <c r="CK32" s="63">
        <v>0.4</v>
      </c>
      <c r="CL32" s="63">
        <v>21.1</v>
      </c>
      <c r="CM32" s="63">
        <v>21.3</v>
      </c>
    </row>
    <row r="33" spans="1:91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63">
        <v>554</v>
      </c>
      <c r="I33" s="63">
        <v>28</v>
      </c>
      <c r="J33" s="63">
        <v>22</v>
      </c>
      <c r="K33" s="63">
        <v>41</v>
      </c>
      <c r="L33" s="63">
        <v>36</v>
      </c>
      <c r="M33" s="63">
        <v>49</v>
      </c>
      <c r="N33" s="63">
        <v>125</v>
      </c>
      <c r="O33" s="63">
        <v>140</v>
      </c>
      <c r="P33" s="63">
        <v>57</v>
      </c>
      <c r="Q33" s="63">
        <v>44</v>
      </c>
      <c r="R33" s="63">
        <v>11</v>
      </c>
      <c r="S33" s="63">
        <v>111</v>
      </c>
      <c r="T33" s="63">
        <v>104</v>
      </c>
      <c r="U33" s="63">
        <v>120</v>
      </c>
      <c r="V33" s="63">
        <v>146</v>
      </c>
      <c r="W33" s="63">
        <v>53</v>
      </c>
      <c r="X33" s="63">
        <v>19</v>
      </c>
      <c r="Y33" s="63">
        <v>150</v>
      </c>
      <c r="Z33" s="63">
        <v>349</v>
      </c>
      <c r="AA33" s="63">
        <v>55</v>
      </c>
      <c r="AB33" s="63">
        <v>341</v>
      </c>
      <c r="AC33" s="63">
        <v>47</v>
      </c>
      <c r="AD33" s="63">
        <v>60</v>
      </c>
      <c r="AE33" s="63">
        <v>74</v>
      </c>
      <c r="AF33" s="63">
        <v>109</v>
      </c>
      <c r="AG33" s="63">
        <v>33</v>
      </c>
      <c r="AH33" s="63">
        <v>17</v>
      </c>
      <c r="AI33" s="63">
        <v>69</v>
      </c>
      <c r="AJ33" s="63">
        <v>235</v>
      </c>
      <c r="AK33" s="63">
        <v>37</v>
      </c>
      <c r="AL33" s="63">
        <v>213</v>
      </c>
      <c r="AM33" s="63">
        <v>63</v>
      </c>
      <c r="AN33" s="63">
        <v>44</v>
      </c>
      <c r="AO33" s="63">
        <v>46</v>
      </c>
      <c r="AP33" s="63">
        <v>37</v>
      </c>
      <c r="AQ33" s="63">
        <v>20</v>
      </c>
      <c r="AR33" s="63">
        <v>2</v>
      </c>
      <c r="AS33" s="63">
        <v>81</v>
      </c>
      <c r="AT33" s="63">
        <v>114</v>
      </c>
      <c r="AU33" s="63">
        <v>18</v>
      </c>
      <c r="AV33" s="63">
        <v>516</v>
      </c>
      <c r="AW33" s="63">
        <v>0</v>
      </c>
      <c r="AX33" s="63">
        <v>0</v>
      </c>
      <c r="AY33" s="63">
        <v>8</v>
      </c>
      <c r="AZ33" s="63">
        <v>28</v>
      </c>
      <c r="BA33" s="63">
        <v>50</v>
      </c>
      <c r="BB33" s="63">
        <v>108</v>
      </c>
      <c r="BC33" s="63">
        <v>66</v>
      </c>
      <c r="BD33" s="63">
        <v>256</v>
      </c>
      <c r="BE33" s="63">
        <v>333</v>
      </c>
      <c r="BF33" s="63">
        <v>0</v>
      </c>
      <c r="BG33" s="63">
        <v>0</v>
      </c>
      <c r="BH33" s="63">
        <v>4</v>
      </c>
      <c r="BI33" s="63">
        <v>8</v>
      </c>
      <c r="BJ33" s="63">
        <v>18</v>
      </c>
      <c r="BK33" s="63">
        <v>86</v>
      </c>
      <c r="BL33" s="63">
        <v>46</v>
      </c>
      <c r="BM33" s="63">
        <v>171</v>
      </c>
      <c r="BN33" s="63">
        <v>183</v>
      </c>
      <c r="BO33" s="63">
        <v>0</v>
      </c>
      <c r="BP33" s="63">
        <v>0</v>
      </c>
      <c r="BQ33" s="63">
        <v>4</v>
      </c>
      <c r="BR33" s="63">
        <v>20</v>
      </c>
      <c r="BS33" s="63">
        <v>32</v>
      </c>
      <c r="BT33" s="63">
        <v>22</v>
      </c>
      <c r="BU33" s="63">
        <v>20</v>
      </c>
      <c r="BV33" s="63">
        <v>85</v>
      </c>
      <c r="BW33" s="63">
        <v>340</v>
      </c>
      <c r="BX33" s="63">
        <v>214</v>
      </c>
      <c r="BY33" s="63">
        <v>227</v>
      </c>
      <c r="BZ33" s="63">
        <v>402</v>
      </c>
      <c r="CA33" s="63">
        <v>152</v>
      </c>
      <c r="CB33" s="63">
        <v>0.1</v>
      </c>
      <c r="CC33" s="63">
        <v>10</v>
      </c>
      <c r="CD33" s="63">
        <v>5540</v>
      </c>
      <c r="CE33" s="63">
        <v>0.6</v>
      </c>
      <c r="CF33" s="63">
        <v>55.4</v>
      </c>
      <c r="CG33" s="63">
        <v>72</v>
      </c>
      <c r="CH33" s="63">
        <v>13</v>
      </c>
      <c r="CI33" s="63">
        <v>27.1</v>
      </c>
      <c r="CJ33" s="63">
        <v>2.1</v>
      </c>
      <c r="CK33" s="63">
        <v>0.4</v>
      </c>
      <c r="CL33" s="63">
        <v>38.6</v>
      </c>
      <c r="CM33" s="63">
        <v>41</v>
      </c>
    </row>
    <row r="34" spans="1:91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63">
        <v>2341</v>
      </c>
      <c r="I34" s="63">
        <v>150</v>
      </c>
      <c r="J34" s="63">
        <v>172</v>
      </c>
      <c r="K34" s="63">
        <v>277</v>
      </c>
      <c r="L34" s="63">
        <v>298</v>
      </c>
      <c r="M34" s="63">
        <v>179</v>
      </c>
      <c r="N34" s="63">
        <v>466</v>
      </c>
      <c r="O34" s="63">
        <v>454</v>
      </c>
      <c r="P34" s="63">
        <v>168</v>
      </c>
      <c r="Q34" s="63">
        <v>122</v>
      </c>
      <c r="R34" s="63">
        <v>56</v>
      </c>
      <c r="S34" s="63">
        <v>767</v>
      </c>
      <c r="T34" s="63">
        <v>451</v>
      </c>
      <c r="U34" s="63">
        <v>436</v>
      </c>
      <c r="V34" s="63">
        <v>451</v>
      </c>
      <c r="W34" s="63">
        <v>155</v>
      </c>
      <c r="X34" s="63">
        <v>82</v>
      </c>
      <c r="Y34" s="63">
        <v>962</v>
      </c>
      <c r="Z34" s="63">
        <v>1201</v>
      </c>
      <c r="AA34" s="63">
        <v>177</v>
      </c>
      <c r="AB34" s="63">
        <v>1121</v>
      </c>
      <c r="AC34" s="63">
        <v>437</v>
      </c>
      <c r="AD34" s="63">
        <v>218</v>
      </c>
      <c r="AE34" s="63">
        <v>166</v>
      </c>
      <c r="AF34" s="63">
        <v>193</v>
      </c>
      <c r="AG34" s="63">
        <v>70</v>
      </c>
      <c r="AH34" s="63">
        <v>38</v>
      </c>
      <c r="AI34" s="63">
        <v>514</v>
      </c>
      <c r="AJ34" s="63">
        <v>526</v>
      </c>
      <c r="AK34" s="63">
        <v>82</v>
      </c>
      <c r="AL34" s="63">
        <v>1219</v>
      </c>
      <c r="AM34" s="63">
        <v>330</v>
      </c>
      <c r="AN34" s="63">
        <v>233</v>
      </c>
      <c r="AO34" s="63">
        <v>270</v>
      </c>
      <c r="AP34" s="63">
        <v>258</v>
      </c>
      <c r="AQ34" s="63">
        <v>85</v>
      </c>
      <c r="AR34" s="63">
        <v>44</v>
      </c>
      <c r="AS34" s="63">
        <v>448</v>
      </c>
      <c r="AT34" s="63">
        <v>676</v>
      </c>
      <c r="AU34" s="63">
        <v>96</v>
      </c>
      <c r="AV34" s="63">
        <v>1573</v>
      </c>
      <c r="AW34" s="63">
        <v>0</v>
      </c>
      <c r="AX34" s="63">
        <v>23</v>
      </c>
      <c r="AY34" s="63">
        <v>24</v>
      </c>
      <c r="AZ34" s="63">
        <v>75</v>
      </c>
      <c r="BA34" s="63">
        <v>252</v>
      </c>
      <c r="BB34" s="63">
        <v>267</v>
      </c>
      <c r="BC34" s="63">
        <v>213</v>
      </c>
      <c r="BD34" s="63">
        <v>718</v>
      </c>
      <c r="BE34" s="63">
        <v>710</v>
      </c>
      <c r="BF34" s="63">
        <v>0</v>
      </c>
      <c r="BG34" s="63">
        <v>18</v>
      </c>
      <c r="BH34" s="63">
        <v>11</v>
      </c>
      <c r="BI34" s="63">
        <v>47</v>
      </c>
      <c r="BJ34" s="63">
        <v>61</v>
      </c>
      <c r="BK34" s="63">
        <v>208</v>
      </c>
      <c r="BL34" s="63">
        <v>101</v>
      </c>
      <c r="BM34" s="63">
        <v>264</v>
      </c>
      <c r="BN34" s="63">
        <v>862</v>
      </c>
      <c r="BO34" s="63">
        <v>0</v>
      </c>
      <c r="BP34" s="63">
        <v>5</v>
      </c>
      <c r="BQ34" s="63">
        <v>13</v>
      </c>
      <c r="BR34" s="63">
        <v>28</v>
      </c>
      <c r="BS34" s="63">
        <v>191</v>
      </c>
      <c r="BT34" s="63">
        <v>59</v>
      </c>
      <c r="BU34" s="63">
        <v>113</v>
      </c>
      <c r="BV34" s="63">
        <v>454</v>
      </c>
      <c r="BW34" s="63">
        <v>1709</v>
      </c>
      <c r="BX34" s="63">
        <v>632</v>
      </c>
      <c r="BY34" s="63">
        <v>631</v>
      </c>
      <c r="BZ34" s="63">
        <v>2341</v>
      </c>
      <c r="CA34" s="63">
        <v>0</v>
      </c>
      <c r="CB34" s="63">
        <v>0.2</v>
      </c>
      <c r="CC34" s="63">
        <v>20</v>
      </c>
      <c r="CD34" s="63">
        <v>11705</v>
      </c>
      <c r="CE34" s="63">
        <v>2.4</v>
      </c>
      <c r="CF34" s="63">
        <v>117</v>
      </c>
      <c r="CG34" s="63">
        <v>237</v>
      </c>
      <c r="CH34" s="63">
        <v>10.1</v>
      </c>
      <c r="CI34" s="63">
        <v>41.1</v>
      </c>
      <c r="CJ34" s="63">
        <v>4.0999999999999996</v>
      </c>
      <c r="CK34" s="63">
        <v>0.2</v>
      </c>
      <c r="CL34" s="63">
        <v>27</v>
      </c>
      <c r="CM34" s="63">
        <v>27</v>
      </c>
    </row>
    <row r="35" spans="1:91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63">
        <v>1697</v>
      </c>
      <c r="I35" s="63">
        <v>60</v>
      </c>
      <c r="J35" s="63">
        <v>70</v>
      </c>
      <c r="K35" s="63">
        <v>107</v>
      </c>
      <c r="L35" s="63">
        <v>172</v>
      </c>
      <c r="M35" s="63">
        <v>117</v>
      </c>
      <c r="N35" s="63">
        <v>268</v>
      </c>
      <c r="O35" s="63">
        <v>272</v>
      </c>
      <c r="P35" s="63">
        <v>196</v>
      </c>
      <c r="Q35" s="63">
        <v>230</v>
      </c>
      <c r="R35" s="63">
        <v>205</v>
      </c>
      <c r="S35" s="63">
        <v>329</v>
      </c>
      <c r="T35" s="63">
        <v>278</v>
      </c>
      <c r="U35" s="63">
        <v>277</v>
      </c>
      <c r="V35" s="63">
        <v>271</v>
      </c>
      <c r="W35" s="63">
        <v>271</v>
      </c>
      <c r="X35" s="63">
        <v>271</v>
      </c>
      <c r="Y35" s="63">
        <v>455</v>
      </c>
      <c r="Z35" s="63">
        <v>807</v>
      </c>
      <c r="AA35" s="63">
        <v>435</v>
      </c>
      <c r="AB35" s="63">
        <v>825</v>
      </c>
      <c r="AC35" s="63">
        <v>173</v>
      </c>
      <c r="AD35" s="63">
        <v>157</v>
      </c>
      <c r="AE35" s="63">
        <v>135</v>
      </c>
      <c r="AF35" s="63">
        <v>145</v>
      </c>
      <c r="AG35" s="63">
        <v>126</v>
      </c>
      <c r="AH35" s="63">
        <v>90</v>
      </c>
      <c r="AI35" s="63">
        <v>258</v>
      </c>
      <c r="AJ35" s="63">
        <v>387</v>
      </c>
      <c r="AK35" s="63">
        <v>180</v>
      </c>
      <c r="AL35" s="63">
        <v>873</v>
      </c>
      <c r="AM35" s="63">
        <v>156</v>
      </c>
      <c r="AN35" s="63">
        <v>121</v>
      </c>
      <c r="AO35" s="63">
        <v>142</v>
      </c>
      <c r="AP35" s="63">
        <v>126</v>
      </c>
      <c r="AQ35" s="63">
        <v>146</v>
      </c>
      <c r="AR35" s="63">
        <v>181</v>
      </c>
      <c r="AS35" s="63">
        <v>197</v>
      </c>
      <c r="AT35" s="63">
        <v>420</v>
      </c>
      <c r="AU35" s="63">
        <v>256</v>
      </c>
      <c r="AV35" s="63">
        <v>1419</v>
      </c>
      <c r="AW35" s="63">
        <v>0</v>
      </c>
      <c r="AX35" s="63">
        <v>39</v>
      </c>
      <c r="AY35" s="63">
        <v>45</v>
      </c>
      <c r="AZ35" s="63">
        <v>77</v>
      </c>
      <c r="BA35" s="63">
        <v>245</v>
      </c>
      <c r="BB35" s="63">
        <v>139</v>
      </c>
      <c r="BC35" s="63">
        <v>508</v>
      </c>
      <c r="BD35" s="63">
        <v>366</v>
      </c>
      <c r="BE35" s="63">
        <v>662</v>
      </c>
      <c r="BF35" s="63">
        <v>0</v>
      </c>
      <c r="BG35" s="63">
        <v>39</v>
      </c>
      <c r="BH35" s="63">
        <v>22</v>
      </c>
      <c r="BI35" s="63">
        <v>32</v>
      </c>
      <c r="BJ35" s="63">
        <v>79</v>
      </c>
      <c r="BK35" s="63">
        <v>111</v>
      </c>
      <c r="BL35" s="63">
        <v>211</v>
      </c>
      <c r="BM35" s="63">
        <v>168</v>
      </c>
      <c r="BN35" s="63">
        <v>756</v>
      </c>
      <c r="BO35" s="63">
        <v>0</v>
      </c>
      <c r="BP35" s="63">
        <v>0</v>
      </c>
      <c r="BQ35" s="63">
        <v>22</v>
      </c>
      <c r="BR35" s="63">
        <v>45</v>
      </c>
      <c r="BS35" s="63">
        <v>166</v>
      </c>
      <c r="BT35" s="63">
        <v>28</v>
      </c>
      <c r="BU35" s="63">
        <v>297</v>
      </c>
      <c r="BV35" s="63">
        <v>198</v>
      </c>
      <c r="BW35" s="63">
        <v>1486</v>
      </c>
      <c r="BX35" s="63">
        <v>211</v>
      </c>
      <c r="BY35" s="63">
        <v>288</v>
      </c>
      <c r="BZ35" s="63">
        <v>1490</v>
      </c>
      <c r="CA35" s="63">
        <v>207</v>
      </c>
      <c r="CB35" s="63">
        <v>1</v>
      </c>
      <c r="CC35" s="63">
        <v>100</v>
      </c>
      <c r="CD35" s="63">
        <v>1697</v>
      </c>
      <c r="CE35" s="63">
        <v>1.7</v>
      </c>
      <c r="CF35" s="63">
        <v>17</v>
      </c>
      <c r="CG35" s="63">
        <v>542</v>
      </c>
      <c r="CH35" s="63">
        <v>31.9</v>
      </c>
      <c r="CI35" s="63">
        <v>26.8</v>
      </c>
      <c r="CJ35" s="63">
        <v>0.8</v>
      </c>
      <c r="CK35" s="63">
        <v>1</v>
      </c>
      <c r="CL35" s="63">
        <v>12.4</v>
      </c>
      <c r="CM35" s="63">
        <v>17</v>
      </c>
    </row>
    <row r="36" spans="1:91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63">
        <v>3515</v>
      </c>
      <c r="I36" s="63">
        <v>115</v>
      </c>
      <c r="J36" s="63">
        <v>181</v>
      </c>
      <c r="K36" s="63">
        <v>293</v>
      </c>
      <c r="L36" s="63">
        <v>406</v>
      </c>
      <c r="M36" s="63">
        <v>324</v>
      </c>
      <c r="N36" s="63">
        <v>622</v>
      </c>
      <c r="O36" s="63">
        <v>758</v>
      </c>
      <c r="P36" s="63">
        <v>385</v>
      </c>
      <c r="Q36" s="63">
        <v>347</v>
      </c>
      <c r="R36" s="63">
        <v>83</v>
      </c>
      <c r="S36" s="63">
        <v>816</v>
      </c>
      <c r="T36" s="63">
        <v>715</v>
      </c>
      <c r="U36" s="63">
        <v>664</v>
      </c>
      <c r="V36" s="63">
        <v>690</v>
      </c>
      <c r="W36" s="63">
        <v>496</v>
      </c>
      <c r="X36" s="63">
        <v>133</v>
      </c>
      <c r="Y36" s="63">
        <v>1109</v>
      </c>
      <c r="Z36" s="63">
        <v>1975</v>
      </c>
      <c r="AA36" s="63">
        <v>430</v>
      </c>
      <c r="AB36" s="63">
        <v>1674</v>
      </c>
      <c r="AC36" s="63">
        <v>457</v>
      </c>
      <c r="AD36" s="63">
        <v>366</v>
      </c>
      <c r="AE36" s="63">
        <v>272</v>
      </c>
      <c r="AF36" s="63">
        <v>338</v>
      </c>
      <c r="AG36" s="63">
        <v>201</v>
      </c>
      <c r="AH36" s="63">
        <v>39</v>
      </c>
      <c r="AI36" s="63">
        <v>607</v>
      </c>
      <c r="AJ36" s="63">
        <v>907</v>
      </c>
      <c r="AK36" s="63">
        <v>160</v>
      </c>
      <c r="AL36" s="63">
        <v>1841</v>
      </c>
      <c r="AM36" s="63">
        <v>359</v>
      </c>
      <c r="AN36" s="63">
        <v>348</v>
      </c>
      <c r="AO36" s="63">
        <v>392</v>
      </c>
      <c r="AP36" s="63">
        <v>352</v>
      </c>
      <c r="AQ36" s="63">
        <v>295</v>
      </c>
      <c r="AR36" s="63">
        <v>94</v>
      </c>
      <c r="AS36" s="63">
        <v>503</v>
      </c>
      <c r="AT36" s="63">
        <v>1068</v>
      </c>
      <c r="AU36" s="63">
        <v>270</v>
      </c>
      <c r="AV36" s="63">
        <v>2792</v>
      </c>
      <c r="AW36" s="63">
        <v>0</v>
      </c>
      <c r="AX36" s="63">
        <v>66</v>
      </c>
      <c r="AY36" s="63">
        <v>227</v>
      </c>
      <c r="AZ36" s="63">
        <v>494</v>
      </c>
      <c r="BA36" s="63">
        <v>434</v>
      </c>
      <c r="BB36" s="63">
        <v>420</v>
      </c>
      <c r="BC36" s="63">
        <v>520</v>
      </c>
      <c r="BD36" s="63">
        <v>631</v>
      </c>
      <c r="BE36" s="63">
        <v>1210</v>
      </c>
      <c r="BF36" s="63">
        <v>0</v>
      </c>
      <c r="BG36" s="63">
        <v>49</v>
      </c>
      <c r="BH36" s="63">
        <v>131</v>
      </c>
      <c r="BI36" s="63">
        <v>207</v>
      </c>
      <c r="BJ36" s="63">
        <v>97</v>
      </c>
      <c r="BK36" s="63">
        <v>293</v>
      </c>
      <c r="BL36" s="63">
        <v>211</v>
      </c>
      <c r="BM36" s="63">
        <v>221</v>
      </c>
      <c r="BN36" s="63">
        <v>1582</v>
      </c>
      <c r="BO36" s="63">
        <v>0</v>
      </c>
      <c r="BP36" s="63">
        <v>17</v>
      </c>
      <c r="BQ36" s="63">
        <v>96</v>
      </c>
      <c r="BR36" s="63">
        <v>287</v>
      </c>
      <c r="BS36" s="63">
        <v>338</v>
      </c>
      <c r="BT36" s="63">
        <v>127</v>
      </c>
      <c r="BU36" s="63">
        <v>308</v>
      </c>
      <c r="BV36" s="63">
        <v>410</v>
      </c>
      <c r="BW36" s="63">
        <v>3159</v>
      </c>
      <c r="BX36" s="63">
        <v>356</v>
      </c>
      <c r="BY36" s="63">
        <v>475</v>
      </c>
      <c r="BZ36" s="63">
        <v>3515</v>
      </c>
      <c r="CA36" s="63">
        <v>0</v>
      </c>
      <c r="CB36" s="63">
        <v>0.5</v>
      </c>
      <c r="CC36" s="63">
        <v>50</v>
      </c>
      <c r="CD36" s="63">
        <v>7030</v>
      </c>
      <c r="CE36" s="63">
        <v>3.5</v>
      </c>
      <c r="CF36" s="63">
        <v>70.3</v>
      </c>
      <c r="CG36" s="63">
        <v>629</v>
      </c>
      <c r="CH36" s="63">
        <v>17.899999999999999</v>
      </c>
      <c r="CI36" s="63">
        <v>31.6</v>
      </c>
      <c r="CJ36" s="63">
        <v>1.8</v>
      </c>
      <c r="CK36" s="63">
        <v>0.4</v>
      </c>
      <c r="CL36" s="63">
        <v>10.1</v>
      </c>
      <c r="CM36" s="63">
        <v>13.5</v>
      </c>
    </row>
    <row r="37" spans="1:91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63">
        <v>2279</v>
      </c>
      <c r="I37" s="63">
        <v>57</v>
      </c>
      <c r="J37" s="63">
        <v>81</v>
      </c>
      <c r="K37" s="63">
        <v>186</v>
      </c>
      <c r="L37" s="63">
        <v>230</v>
      </c>
      <c r="M37" s="63">
        <v>223</v>
      </c>
      <c r="N37" s="63">
        <v>356</v>
      </c>
      <c r="O37" s="63">
        <v>518</v>
      </c>
      <c r="P37" s="63">
        <v>326</v>
      </c>
      <c r="Q37" s="63">
        <v>224</v>
      </c>
      <c r="R37" s="63">
        <v>78</v>
      </c>
      <c r="S37" s="63">
        <v>452</v>
      </c>
      <c r="T37" s="63">
        <v>444</v>
      </c>
      <c r="U37" s="63">
        <v>417</v>
      </c>
      <c r="V37" s="63">
        <v>505</v>
      </c>
      <c r="W37" s="63">
        <v>320</v>
      </c>
      <c r="X37" s="63">
        <v>142</v>
      </c>
      <c r="Y37" s="63">
        <v>628</v>
      </c>
      <c r="Z37" s="63">
        <v>1349</v>
      </c>
      <c r="AA37" s="63">
        <v>302</v>
      </c>
      <c r="AB37" s="63">
        <v>1098</v>
      </c>
      <c r="AC37" s="63">
        <v>217</v>
      </c>
      <c r="AD37" s="63">
        <v>247</v>
      </c>
      <c r="AE37" s="63">
        <v>188</v>
      </c>
      <c r="AF37" s="63">
        <v>252</v>
      </c>
      <c r="AG37" s="63">
        <v>142</v>
      </c>
      <c r="AH37" s="63">
        <v>51</v>
      </c>
      <c r="AI37" s="63">
        <v>296</v>
      </c>
      <c r="AJ37" s="63">
        <v>680</v>
      </c>
      <c r="AK37" s="63">
        <v>122</v>
      </c>
      <c r="AL37" s="63">
        <v>1181</v>
      </c>
      <c r="AM37" s="63">
        <v>234</v>
      </c>
      <c r="AN37" s="63">
        <v>197</v>
      </c>
      <c r="AO37" s="63">
        <v>228</v>
      </c>
      <c r="AP37" s="63">
        <v>253</v>
      </c>
      <c r="AQ37" s="63">
        <v>177</v>
      </c>
      <c r="AR37" s="63">
        <v>91</v>
      </c>
      <c r="AS37" s="63">
        <v>332</v>
      </c>
      <c r="AT37" s="63">
        <v>669</v>
      </c>
      <c r="AU37" s="63">
        <v>180</v>
      </c>
      <c r="AV37" s="63">
        <v>1767</v>
      </c>
      <c r="AW37" s="63">
        <v>0</v>
      </c>
      <c r="AX37" s="63">
        <v>52</v>
      </c>
      <c r="AY37" s="63">
        <v>152</v>
      </c>
      <c r="AZ37" s="63">
        <v>246</v>
      </c>
      <c r="BA37" s="63">
        <v>238</v>
      </c>
      <c r="BB37" s="63">
        <v>320</v>
      </c>
      <c r="BC37" s="63">
        <v>392</v>
      </c>
      <c r="BD37" s="63">
        <v>367</v>
      </c>
      <c r="BE37" s="63">
        <v>849</v>
      </c>
      <c r="BF37" s="63">
        <v>0</v>
      </c>
      <c r="BG37" s="63">
        <v>45</v>
      </c>
      <c r="BH37" s="63">
        <v>82</v>
      </c>
      <c r="BI37" s="63">
        <v>134</v>
      </c>
      <c r="BJ37" s="63">
        <v>69</v>
      </c>
      <c r="BK37" s="63">
        <v>254</v>
      </c>
      <c r="BL37" s="63">
        <v>157</v>
      </c>
      <c r="BM37" s="63">
        <v>110</v>
      </c>
      <c r="BN37" s="63">
        <v>918</v>
      </c>
      <c r="BO37" s="63">
        <v>0</v>
      </c>
      <c r="BP37" s="63">
        <v>7</v>
      </c>
      <c r="BQ37" s="63">
        <v>70</v>
      </c>
      <c r="BR37" s="63">
        <v>113</v>
      </c>
      <c r="BS37" s="63">
        <v>169</v>
      </c>
      <c r="BT37" s="63">
        <v>66</v>
      </c>
      <c r="BU37" s="63">
        <v>235</v>
      </c>
      <c r="BV37" s="63">
        <v>258</v>
      </c>
      <c r="BW37" s="63">
        <v>2028</v>
      </c>
      <c r="BX37" s="63">
        <v>251</v>
      </c>
      <c r="BY37" s="63">
        <v>366</v>
      </c>
      <c r="BZ37" s="63">
        <v>2279</v>
      </c>
      <c r="CA37" s="63">
        <v>0</v>
      </c>
      <c r="CB37" s="63">
        <v>0.5</v>
      </c>
      <c r="CC37" s="63">
        <v>50</v>
      </c>
      <c r="CD37" s="63">
        <v>4558</v>
      </c>
      <c r="CE37" s="63">
        <v>2.2999999999999998</v>
      </c>
      <c r="CF37" s="63">
        <v>45.6</v>
      </c>
      <c r="CG37" s="63">
        <v>462</v>
      </c>
      <c r="CH37" s="63">
        <v>20.3</v>
      </c>
      <c r="CI37" s="63">
        <v>27.6</v>
      </c>
      <c r="CJ37" s="63">
        <v>1.4</v>
      </c>
      <c r="CK37" s="63">
        <v>0.5</v>
      </c>
      <c r="CL37" s="63">
        <v>11</v>
      </c>
      <c r="CM37" s="63">
        <v>16.100000000000001</v>
      </c>
    </row>
    <row r="38" spans="1:91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63">
        <v>2646</v>
      </c>
      <c r="I38" s="63">
        <v>124</v>
      </c>
      <c r="J38" s="63">
        <v>107</v>
      </c>
      <c r="K38" s="63">
        <v>266</v>
      </c>
      <c r="L38" s="63">
        <v>341</v>
      </c>
      <c r="M38" s="63">
        <v>278</v>
      </c>
      <c r="N38" s="63">
        <v>497</v>
      </c>
      <c r="O38" s="63">
        <v>469</v>
      </c>
      <c r="P38" s="63">
        <v>194</v>
      </c>
      <c r="Q38" s="63">
        <v>190</v>
      </c>
      <c r="R38" s="63">
        <v>179</v>
      </c>
      <c r="S38" s="63">
        <v>727</v>
      </c>
      <c r="T38" s="63">
        <v>576</v>
      </c>
      <c r="U38" s="63">
        <v>478</v>
      </c>
      <c r="V38" s="63">
        <v>409</v>
      </c>
      <c r="W38" s="63">
        <v>241</v>
      </c>
      <c r="X38" s="63">
        <v>215</v>
      </c>
      <c r="Y38" s="63">
        <v>924</v>
      </c>
      <c r="Z38" s="63">
        <v>1354</v>
      </c>
      <c r="AA38" s="63">
        <v>369</v>
      </c>
      <c r="AB38" s="63">
        <v>1261</v>
      </c>
      <c r="AC38" s="63">
        <v>352</v>
      </c>
      <c r="AD38" s="63">
        <v>284</v>
      </c>
      <c r="AE38" s="63">
        <v>228</v>
      </c>
      <c r="AF38" s="63">
        <v>203</v>
      </c>
      <c r="AG38" s="63">
        <v>121</v>
      </c>
      <c r="AH38" s="63">
        <v>72</v>
      </c>
      <c r="AI38" s="63">
        <v>450</v>
      </c>
      <c r="AJ38" s="63">
        <v>651</v>
      </c>
      <c r="AK38" s="63">
        <v>161</v>
      </c>
      <c r="AL38" s="63">
        <v>1385</v>
      </c>
      <c r="AM38" s="63">
        <v>374</v>
      </c>
      <c r="AN38" s="63">
        <v>292</v>
      </c>
      <c r="AO38" s="63">
        <v>250</v>
      </c>
      <c r="AP38" s="63">
        <v>207</v>
      </c>
      <c r="AQ38" s="63">
        <v>119</v>
      </c>
      <c r="AR38" s="63">
        <v>143</v>
      </c>
      <c r="AS38" s="63">
        <v>474</v>
      </c>
      <c r="AT38" s="63">
        <v>703</v>
      </c>
      <c r="AU38" s="63">
        <v>209</v>
      </c>
      <c r="AV38" s="63">
        <v>1886</v>
      </c>
      <c r="AW38" s="63">
        <v>0</v>
      </c>
      <c r="AX38" s="63">
        <v>65</v>
      </c>
      <c r="AY38" s="63">
        <v>145</v>
      </c>
      <c r="AZ38" s="63">
        <v>245</v>
      </c>
      <c r="BA38" s="63">
        <v>278</v>
      </c>
      <c r="BB38" s="63">
        <v>281</v>
      </c>
      <c r="BC38" s="63">
        <v>386</v>
      </c>
      <c r="BD38" s="63">
        <v>485</v>
      </c>
      <c r="BE38" s="63">
        <v>886</v>
      </c>
      <c r="BF38" s="63">
        <v>0</v>
      </c>
      <c r="BG38" s="63">
        <v>60</v>
      </c>
      <c r="BH38" s="63">
        <v>102</v>
      </c>
      <c r="BI38" s="63">
        <v>90</v>
      </c>
      <c r="BJ38" s="63">
        <v>54</v>
      </c>
      <c r="BK38" s="63">
        <v>227</v>
      </c>
      <c r="BL38" s="63">
        <v>169</v>
      </c>
      <c r="BM38" s="63">
        <v>182</v>
      </c>
      <c r="BN38" s="63">
        <v>1000</v>
      </c>
      <c r="BO38" s="63">
        <v>0</v>
      </c>
      <c r="BP38" s="63">
        <v>5</v>
      </c>
      <c r="BQ38" s="63">
        <v>43</v>
      </c>
      <c r="BR38" s="63">
        <v>155</v>
      </c>
      <c r="BS38" s="63">
        <v>224</v>
      </c>
      <c r="BT38" s="63">
        <v>54</v>
      </c>
      <c r="BU38" s="63">
        <v>217</v>
      </c>
      <c r="BV38" s="63">
        <v>303</v>
      </c>
      <c r="BW38" s="63">
        <v>2329</v>
      </c>
      <c r="BX38" s="63">
        <v>317</v>
      </c>
      <c r="BY38" s="63">
        <v>442</v>
      </c>
      <c r="BZ38" s="63">
        <v>2508</v>
      </c>
      <c r="CA38" s="63">
        <v>138</v>
      </c>
      <c r="CB38" s="63">
        <v>0.4</v>
      </c>
      <c r="CC38" s="63">
        <v>40</v>
      </c>
      <c r="CD38" s="63">
        <v>6615</v>
      </c>
      <c r="CE38" s="63">
        <v>2.7</v>
      </c>
      <c r="CF38" s="63">
        <v>66.2</v>
      </c>
      <c r="CG38" s="63">
        <v>456</v>
      </c>
      <c r="CH38" s="63">
        <v>17.2</v>
      </c>
      <c r="CI38" s="63">
        <v>34.9</v>
      </c>
      <c r="CJ38" s="63">
        <v>2</v>
      </c>
      <c r="CK38" s="63">
        <v>0.4</v>
      </c>
      <c r="CL38" s="63">
        <v>12</v>
      </c>
      <c r="CM38" s="63">
        <v>16.7</v>
      </c>
    </row>
    <row r="39" spans="1:91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63">
        <v>2532</v>
      </c>
      <c r="I39" s="63">
        <v>133</v>
      </c>
      <c r="J39" s="63">
        <v>142</v>
      </c>
      <c r="K39" s="63">
        <v>310</v>
      </c>
      <c r="L39" s="63">
        <v>333</v>
      </c>
      <c r="M39" s="63">
        <v>213</v>
      </c>
      <c r="N39" s="63">
        <v>397</v>
      </c>
      <c r="O39" s="63">
        <v>519</v>
      </c>
      <c r="P39" s="63">
        <v>230</v>
      </c>
      <c r="Q39" s="63">
        <v>197</v>
      </c>
      <c r="R39" s="63">
        <v>59</v>
      </c>
      <c r="S39" s="63">
        <v>764</v>
      </c>
      <c r="T39" s="63">
        <v>502</v>
      </c>
      <c r="U39" s="63">
        <v>443</v>
      </c>
      <c r="V39" s="63">
        <v>471</v>
      </c>
      <c r="W39" s="63">
        <v>269</v>
      </c>
      <c r="X39" s="63">
        <v>84</v>
      </c>
      <c r="Y39" s="63">
        <v>981</v>
      </c>
      <c r="Z39" s="63">
        <v>1295</v>
      </c>
      <c r="AA39" s="63">
        <v>256</v>
      </c>
      <c r="AB39" s="63">
        <v>1177</v>
      </c>
      <c r="AC39" s="63">
        <v>390</v>
      </c>
      <c r="AD39" s="63">
        <v>254</v>
      </c>
      <c r="AE39" s="63">
        <v>178</v>
      </c>
      <c r="AF39" s="63">
        <v>225</v>
      </c>
      <c r="AG39" s="63">
        <v>112</v>
      </c>
      <c r="AH39" s="63">
        <v>19</v>
      </c>
      <c r="AI39" s="63">
        <v>503</v>
      </c>
      <c r="AJ39" s="63">
        <v>588</v>
      </c>
      <c r="AK39" s="63">
        <v>87</v>
      </c>
      <c r="AL39" s="63">
        <v>1355</v>
      </c>
      <c r="AM39" s="63">
        <v>375</v>
      </c>
      <c r="AN39" s="63">
        <v>248</v>
      </c>
      <c r="AO39" s="63">
        <v>265</v>
      </c>
      <c r="AP39" s="63">
        <v>246</v>
      </c>
      <c r="AQ39" s="63">
        <v>157</v>
      </c>
      <c r="AR39" s="63">
        <v>65</v>
      </c>
      <c r="AS39" s="63">
        <v>478</v>
      </c>
      <c r="AT39" s="63">
        <v>707</v>
      </c>
      <c r="AU39" s="63">
        <v>169</v>
      </c>
      <c r="AV39" s="63">
        <v>1810</v>
      </c>
      <c r="AW39" s="63">
        <v>0</v>
      </c>
      <c r="AX39" s="63">
        <v>25</v>
      </c>
      <c r="AY39" s="63">
        <v>47</v>
      </c>
      <c r="AZ39" s="63">
        <v>196</v>
      </c>
      <c r="BA39" s="63">
        <v>273</v>
      </c>
      <c r="BB39" s="63">
        <v>307</v>
      </c>
      <c r="BC39" s="63">
        <v>310</v>
      </c>
      <c r="BD39" s="63">
        <v>653</v>
      </c>
      <c r="BE39" s="63">
        <v>822</v>
      </c>
      <c r="BF39" s="63">
        <v>0</v>
      </c>
      <c r="BG39" s="63">
        <v>20</v>
      </c>
      <c r="BH39" s="63">
        <v>33</v>
      </c>
      <c r="BI39" s="63">
        <v>61</v>
      </c>
      <c r="BJ39" s="63">
        <v>93</v>
      </c>
      <c r="BK39" s="63">
        <v>225</v>
      </c>
      <c r="BL39" s="63">
        <v>119</v>
      </c>
      <c r="BM39" s="63">
        <v>270</v>
      </c>
      <c r="BN39" s="63">
        <v>988</v>
      </c>
      <c r="BO39" s="63">
        <v>0</v>
      </c>
      <c r="BP39" s="63">
        <v>5</v>
      </c>
      <c r="BQ39" s="63">
        <v>13</v>
      </c>
      <c r="BR39" s="63">
        <v>135</v>
      </c>
      <c r="BS39" s="63">
        <v>179</v>
      </c>
      <c r="BT39" s="63">
        <v>81</v>
      </c>
      <c r="BU39" s="63">
        <v>190</v>
      </c>
      <c r="BV39" s="63">
        <v>384</v>
      </c>
      <c r="BW39" s="63">
        <v>2105</v>
      </c>
      <c r="BX39" s="63">
        <v>427</v>
      </c>
      <c r="BY39" s="63">
        <v>494</v>
      </c>
      <c r="BZ39" s="63">
        <v>2532</v>
      </c>
      <c r="CA39" s="63">
        <v>0</v>
      </c>
      <c r="CB39" s="63">
        <v>0.2</v>
      </c>
      <c r="CC39" s="63">
        <v>20</v>
      </c>
      <c r="CD39" s="63">
        <v>12660</v>
      </c>
      <c r="CE39" s="63">
        <v>2.5</v>
      </c>
      <c r="CF39" s="63">
        <v>126.6</v>
      </c>
      <c r="CG39" s="63">
        <v>353</v>
      </c>
      <c r="CH39" s="63">
        <v>13.9</v>
      </c>
      <c r="CI39" s="63">
        <v>38.700000000000003</v>
      </c>
      <c r="CJ39" s="63">
        <v>2.8</v>
      </c>
      <c r="CK39" s="63">
        <v>0.3</v>
      </c>
      <c r="CL39" s="63">
        <v>16.899999999999999</v>
      </c>
      <c r="CM39" s="63">
        <v>19.5</v>
      </c>
    </row>
    <row r="40" spans="1:91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63">
        <v>2259</v>
      </c>
      <c r="I40" s="63">
        <v>118</v>
      </c>
      <c r="J40" s="63">
        <v>124</v>
      </c>
      <c r="K40" s="63">
        <v>174</v>
      </c>
      <c r="L40" s="63">
        <v>236</v>
      </c>
      <c r="M40" s="63">
        <v>281</v>
      </c>
      <c r="N40" s="63">
        <v>428</v>
      </c>
      <c r="O40" s="63">
        <v>424</v>
      </c>
      <c r="P40" s="63">
        <v>215</v>
      </c>
      <c r="Q40" s="63">
        <v>201</v>
      </c>
      <c r="R40" s="63">
        <v>57</v>
      </c>
      <c r="S40" s="63">
        <v>570</v>
      </c>
      <c r="T40" s="63">
        <v>508</v>
      </c>
      <c r="U40" s="63">
        <v>435</v>
      </c>
      <c r="V40" s="63">
        <v>388</v>
      </c>
      <c r="W40" s="63">
        <v>268</v>
      </c>
      <c r="X40" s="63">
        <v>90</v>
      </c>
      <c r="Y40" s="63">
        <v>733</v>
      </c>
      <c r="Z40" s="63">
        <v>1267</v>
      </c>
      <c r="AA40" s="63">
        <v>258</v>
      </c>
      <c r="AB40" s="63">
        <v>1076</v>
      </c>
      <c r="AC40" s="63">
        <v>292</v>
      </c>
      <c r="AD40" s="63">
        <v>263</v>
      </c>
      <c r="AE40" s="63">
        <v>193</v>
      </c>
      <c r="AF40" s="63">
        <v>197</v>
      </c>
      <c r="AG40" s="63">
        <v>95</v>
      </c>
      <c r="AH40" s="63">
        <v>36</v>
      </c>
      <c r="AI40" s="63">
        <v>373</v>
      </c>
      <c r="AJ40" s="63">
        <v>612</v>
      </c>
      <c r="AK40" s="63">
        <v>91</v>
      </c>
      <c r="AL40" s="63">
        <v>1182</v>
      </c>
      <c r="AM40" s="63">
        <v>278</v>
      </c>
      <c r="AN40" s="63">
        <v>244</v>
      </c>
      <c r="AO40" s="63">
        <v>242</v>
      </c>
      <c r="AP40" s="63">
        <v>191</v>
      </c>
      <c r="AQ40" s="63">
        <v>173</v>
      </c>
      <c r="AR40" s="63">
        <v>53</v>
      </c>
      <c r="AS40" s="63">
        <v>361</v>
      </c>
      <c r="AT40" s="63">
        <v>655</v>
      </c>
      <c r="AU40" s="63">
        <v>167</v>
      </c>
      <c r="AV40" s="63">
        <v>1617</v>
      </c>
      <c r="AW40" s="63">
        <v>0</v>
      </c>
      <c r="AX40" s="63">
        <v>49</v>
      </c>
      <c r="AY40" s="63">
        <v>13</v>
      </c>
      <c r="AZ40" s="63">
        <v>116</v>
      </c>
      <c r="BA40" s="63">
        <v>356</v>
      </c>
      <c r="BB40" s="63">
        <v>340</v>
      </c>
      <c r="BC40" s="63">
        <v>294</v>
      </c>
      <c r="BD40" s="63">
        <v>450</v>
      </c>
      <c r="BE40" s="63">
        <v>769</v>
      </c>
      <c r="BF40" s="63">
        <v>0</v>
      </c>
      <c r="BG40" s="63">
        <v>41</v>
      </c>
      <c r="BH40" s="63">
        <v>6</v>
      </c>
      <c r="BI40" s="63">
        <v>61</v>
      </c>
      <c r="BJ40" s="63">
        <v>116</v>
      </c>
      <c r="BK40" s="63">
        <v>277</v>
      </c>
      <c r="BL40" s="63">
        <v>109</v>
      </c>
      <c r="BM40" s="63">
        <v>157</v>
      </c>
      <c r="BN40" s="63">
        <v>849</v>
      </c>
      <c r="BO40" s="63">
        <v>0</v>
      </c>
      <c r="BP40" s="63">
        <v>8</v>
      </c>
      <c r="BQ40" s="63">
        <v>7</v>
      </c>
      <c r="BR40" s="63">
        <v>55</v>
      </c>
      <c r="BS40" s="63">
        <v>239</v>
      </c>
      <c r="BT40" s="63">
        <v>63</v>
      </c>
      <c r="BU40" s="63">
        <v>185</v>
      </c>
      <c r="BV40" s="63">
        <v>293</v>
      </c>
      <c r="BW40" s="63">
        <v>1783</v>
      </c>
      <c r="BX40" s="63">
        <v>476</v>
      </c>
      <c r="BY40" s="63">
        <v>495</v>
      </c>
      <c r="BZ40" s="63">
        <v>2203</v>
      </c>
      <c r="CA40" s="63">
        <v>56</v>
      </c>
      <c r="CB40" s="63">
        <v>0.3</v>
      </c>
      <c r="CC40" s="63">
        <v>30</v>
      </c>
      <c r="CD40" s="63">
        <v>7530</v>
      </c>
      <c r="CE40" s="63">
        <v>2.2999999999999998</v>
      </c>
      <c r="CF40" s="63">
        <v>75.3</v>
      </c>
      <c r="CG40" s="63">
        <v>358</v>
      </c>
      <c r="CH40" s="63">
        <v>15.8</v>
      </c>
      <c r="CI40" s="63">
        <v>32.4</v>
      </c>
      <c r="CJ40" s="63">
        <v>2</v>
      </c>
      <c r="CK40" s="63">
        <v>0.4</v>
      </c>
      <c r="CL40" s="63">
        <v>21.1</v>
      </c>
      <c r="CM40" s="63">
        <v>21.9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11" width="15.140625" customWidth="1"/>
    <col min="12" max="15" width="23.42578125" customWidth="1"/>
    <col min="16" max="19" width="23.140625" customWidth="1"/>
    <col min="20" max="23" width="16.7109375" customWidth="1"/>
    <col min="24" max="27" width="25" customWidth="1"/>
    <col min="28" max="31" width="24.7109375" customWidth="1"/>
    <col min="32" max="35" width="24.28515625" customWidth="1"/>
    <col min="36" max="39" width="32.5703125" customWidth="1"/>
    <col min="40" max="42" width="32.28515625" customWidth="1"/>
    <col min="43" max="43" width="28.85546875" customWidth="1"/>
    <col min="44" max="44" width="32.28515625" customWidth="1"/>
    <col min="45" max="45" width="35.140625" customWidth="1"/>
    <col min="46" max="46" width="20.7109375" customWidth="1"/>
    <col min="47" max="47" width="44.28515625" customWidth="1"/>
    <col min="48" max="48" width="20.7109375" customWidth="1"/>
    <col min="49" max="49" width="48.42578125" customWidth="1"/>
    <col min="50" max="50" width="20.7109375" customWidth="1"/>
    <col min="51" max="51" width="51.140625" customWidth="1"/>
    <col min="52" max="52" width="20.7109375" customWidth="1"/>
    <col min="53" max="53" width="26.85546875" customWidth="1"/>
    <col min="54" max="54" width="30.85546875" customWidth="1"/>
    <col min="55" max="55" width="36" customWidth="1"/>
    <col min="56" max="56" width="40" customWidth="1"/>
    <col min="57" max="57" width="24.85546875" customWidth="1"/>
    <col min="58" max="58" width="31.140625" customWidth="1"/>
    <col min="59" max="59" width="40.28515625" customWidth="1"/>
    <col min="60" max="60" width="44.42578125" customWidth="1"/>
    <col min="61" max="61" width="47.140625" customWidth="1"/>
    <col min="62" max="62" width="18.140625" customWidth="1"/>
    <col min="63" max="63" width="26.42578125" customWidth="1"/>
    <col min="64" max="64" width="26.140625" customWidth="1"/>
    <col min="65" max="65" width="39.7109375" customWidth="1"/>
    <col min="66" max="66" width="48" customWidth="1"/>
    <col min="67" max="67" width="47.7109375" customWidth="1"/>
    <col min="68" max="68" width="30.7109375" customWidth="1"/>
    <col min="69" max="69" width="39" customWidth="1"/>
    <col min="70" max="70" width="38.7109375" customWidth="1"/>
    <col min="71" max="71" width="24.42578125" customWidth="1"/>
    <col min="72" max="72" width="32.7109375" customWidth="1"/>
    <col min="73" max="73" width="32.42578125" customWidth="1"/>
    <col min="74" max="74" width="38.28515625" customWidth="1"/>
    <col min="75" max="75" width="42.28515625" customWidth="1"/>
    <col min="76" max="76" width="37.7109375" customWidth="1"/>
    <col min="77" max="77" width="35" customWidth="1"/>
    <col min="78" max="78" width="25.7109375" customWidth="1"/>
    <col min="79" max="79" width="24.7109375" customWidth="1"/>
    <col min="80" max="80" width="41.5703125" customWidth="1"/>
    <col min="81" max="81" width="45.5703125" customWidth="1"/>
    <col min="82" max="82" width="40.42578125" customWidth="1"/>
    <col min="83" max="83" width="38.28515625" customWidth="1"/>
    <col min="84" max="84" width="33.28515625" customWidth="1"/>
    <col min="85" max="85" width="32.28515625" customWidth="1"/>
    <col min="86" max="86" width="28.42578125" customWidth="1"/>
    <col min="87" max="87" width="36.7109375" customWidth="1"/>
    <col min="88" max="88" width="36.42578125" customWidth="1"/>
    <col min="89" max="89" width="22.7109375" customWidth="1"/>
    <col min="90" max="90" width="31" customWidth="1"/>
    <col min="91" max="91" width="30.7109375" customWidth="1"/>
    <col min="92" max="92" width="27" customWidth="1"/>
    <col min="93" max="93" width="35.28515625" customWidth="1"/>
    <col min="94" max="94" width="35" customWidth="1"/>
    <col min="95" max="95" width="26.7109375" customWidth="1"/>
    <col min="96" max="96" width="25.28515625" customWidth="1"/>
    <col min="97" max="97" width="33.5703125" customWidth="1"/>
    <col min="98" max="98" width="33.28515625" customWidth="1"/>
    <col min="99" max="99" width="29.5703125" customWidth="1"/>
    <col min="100" max="100" width="36.42578125" customWidth="1"/>
    <col min="101" max="101" width="26.85546875" customWidth="1"/>
    <col min="102" max="102" width="29.7109375" customWidth="1"/>
    <col min="103" max="103" width="35.28515625" customWidth="1"/>
    <col min="104" max="104" width="42.28515625" customWidth="1"/>
    <col min="105" max="105" width="39.7109375" customWidth="1"/>
    <col min="106" max="106" width="37.85546875" customWidth="1"/>
    <col min="107" max="107" width="41.140625" customWidth="1"/>
    <col min="108" max="108" width="49.42578125" customWidth="1"/>
    <col min="109" max="109" width="67.7109375" customWidth="1"/>
    <col min="110" max="110" width="65.28515625" customWidth="1"/>
    <col min="111" max="111" width="62.140625" customWidth="1"/>
    <col min="112" max="112" width="54.85546875" customWidth="1"/>
    <col min="113" max="113" width="56.42578125" customWidth="1"/>
    <col min="114" max="114" width="49.42578125" customWidth="1"/>
    <col min="115" max="115" width="47.5703125" customWidth="1"/>
    <col min="116" max="116" width="28.42578125" customWidth="1"/>
    <col min="117" max="117" width="43.140625" customWidth="1"/>
    <col min="118" max="118" width="31" customWidth="1"/>
    <col min="119" max="119" width="43.5703125" customWidth="1"/>
    <col min="120" max="120" width="18.7109375" customWidth="1"/>
    <col min="121" max="121" width="21.7109375" customWidth="1"/>
    <col min="122" max="122" width="42.42578125" customWidth="1"/>
    <col min="123" max="123" width="64.85546875" customWidth="1"/>
    <col min="124" max="124" width="27.42578125" customWidth="1"/>
    <col min="125" max="126" width="31.28515625" customWidth="1"/>
    <col min="127" max="127" width="38" customWidth="1"/>
    <col min="128" max="128" width="54" customWidth="1"/>
    <col min="129" max="129" width="37.42578125" customWidth="1"/>
    <col min="130" max="130" width="51" customWidth="1"/>
    <col min="131" max="131" width="58.7109375" customWidth="1"/>
    <col min="132" max="132" width="63.5703125" customWidth="1"/>
  </cols>
  <sheetData>
    <row r="1" spans="1:132">
      <c r="A1" s="10" t="s">
        <v>806</v>
      </c>
      <c r="B1" s="1"/>
      <c r="C1" s="1"/>
      <c r="D1" s="1"/>
      <c r="E1" s="1"/>
      <c r="F1" s="1"/>
      <c r="G1" s="2" t="s">
        <v>0</v>
      </c>
      <c r="H1" s="2">
        <f t="shared" ref="H1:AM1" si="0">SUBTOTAL(9,H3:H40)</f>
        <v>62538</v>
      </c>
      <c r="I1" s="2">
        <f t="shared" si="0"/>
        <v>16547</v>
      </c>
      <c r="J1" s="2">
        <f t="shared" si="0"/>
        <v>36952</v>
      </c>
      <c r="K1" s="2">
        <f t="shared" si="0"/>
        <v>9035</v>
      </c>
      <c r="L1" s="2">
        <f t="shared" si="0"/>
        <v>30711</v>
      </c>
      <c r="M1" s="2">
        <f t="shared" si="0"/>
        <v>8233</v>
      </c>
      <c r="N1" s="2">
        <f t="shared" si="0"/>
        <v>18113</v>
      </c>
      <c r="O1" s="2">
        <f t="shared" si="0"/>
        <v>4363</v>
      </c>
      <c r="P1" s="2">
        <f t="shared" si="0"/>
        <v>31824</v>
      </c>
      <c r="Q1" s="2">
        <f t="shared" si="0"/>
        <v>8311</v>
      </c>
      <c r="R1" s="2">
        <f t="shared" si="0"/>
        <v>18837</v>
      </c>
      <c r="S1" s="2">
        <f t="shared" si="0"/>
        <v>4676</v>
      </c>
      <c r="T1" s="2">
        <f t="shared" si="0"/>
        <v>38215</v>
      </c>
      <c r="U1" s="2">
        <f t="shared" si="0"/>
        <v>5648</v>
      </c>
      <c r="V1" s="2">
        <f t="shared" si="0"/>
        <v>27695</v>
      </c>
      <c r="W1" s="2">
        <f t="shared" si="0"/>
        <v>4877</v>
      </c>
      <c r="X1" s="2">
        <f t="shared" si="0"/>
        <v>21070</v>
      </c>
      <c r="Y1" s="2">
        <f t="shared" si="0"/>
        <v>3068</v>
      </c>
      <c r="Z1" s="2">
        <f t="shared" si="0"/>
        <v>15395</v>
      </c>
      <c r="AA1" s="2">
        <f t="shared" si="0"/>
        <v>2608</v>
      </c>
      <c r="AB1" s="2">
        <f t="shared" si="0"/>
        <v>17146</v>
      </c>
      <c r="AC1" s="2">
        <f t="shared" si="0"/>
        <v>2579</v>
      </c>
      <c r="AD1" s="2">
        <f t="shared" si="0"/>
        <v>12299</v>
      </c>
      <c r="AE1" s="2">
        <f t="shared" si="0"/>
        <v>2269</v>
      </c>
      <c r="AF1" s="2">
        <f t="shared" si="0"/>
        <v>28140</v>
      </c>
      <c r="AG1" s="2">
        <f t="shared" si="0"/>
        <v>3582</v>
      </c>
      <c r="AH1" s="2">
        <f t="shared" si="0"/>
        <v>20781</v>
      </c>
      <c r="AI1" s="2">
        <f t="shared" si="0"/>
        <v>3777</v>
      </c>
      <c r="AJ1" s="2">
        <f t="shared" si="0"/>
        <v>15514</v>
      </c>
      <c r="AK1" s="2">
        <f t="shared" si="0"/>
        <v>1938</v>
      </c>
      <c r="AL1" s="2">
        <f t="shared" si="0"/>
        <v>11626</v>
      </c>
      <c r="AM1" s="2">
        <f t="shared" si="0"/>
        <v>1952</v>
      </c>
      <c r="AN1" s="2">
        <f t="shared" ref="AN1:BS1" si="1">SUBTOTAL(9,AN3:AN40)</f>
        <v>12623</v>
      </c>
      <c r="AO1" s="2">
        <f t="shared" si="1"/>
        <v>1647</v>
      </c>
      <c r="AP1" s="2">
        <f t="shared" si="1"/>
        <v>9155</v>
      </c>
      <c r="AQ1" s="2">
        <f t="shared" si="1"/>
        <v>2469</v>
      </c>
      <c r="AR1" s="2">
        <f t="shared" si="1"/>
        <v>1823</v>
      </c>
      <c r="AS1" s="2">
        <f t="shared" si="1"/>
        <v>2112</v>
      </c>
      <c r="AT1" s="2">
        <f t="shared" si="1"/>
        <v>10076</v>
      </c>
      <c r="AU1" s="2">
        <f t="shared" si="1"/>
        <v>647</v>
      </c>
      <c r="AV1" s="2">
        <f t="shared" si="1"/>
        <v>2067</v>
      </c>
      <c r="AW1" s="2">
        <f t="shared" si="1"/>
        <v>570</v>
      </c>
      <c r="AX1" s="2">
        <f t="shared" si="1"/>
        <v>6909</v>
      </c>
      <c r="AY1" s="2">
        <f t="shared" si="1"/>
        <v>400</v>
      </c>
      <c r="AZ1" s="2">
        <f t="shared" si="1"/>
        <v>1099</v>
      </c>
      <c r="BA1" s="2">
        <f t="shared" si="1"/>
        <v>8134</v>
      </c>
      <c r="BB1" s="2">
        <f t="shared" si="1"/>
        <v>3188</v>
      </c>
      <c r="BC1" s="2">
        <f t="shared" si="1"/>
        <v>1877</v>
      </c>
      <c r="BD1" s="2">
        <f t="shared" si="1"/>
        <v>695</v>
      </c>
      <c r="BE1" s="2">
        <f t="shared" si="1"/>
        <v>8246</v>
      </c>
      <c r="BF1" s="2">
        <f t="shared" si="1"/>
        <v>8334</v>
      </c>
      <c r="BG1" s="2">
        <f t="shared" si="1"/>
        <v>4050</v>
      </c>
      <c r="BH1" s="2">
        <f t="shared" si="1"/>
        <v>3762</v>
      </c>
      <c r="BI1" s="2">
        <f t="shared" si="1"/>
        <v>3820</v>
      </c>
      <c r="BJ1" s="2">
        <f t="shared" si="1"/>
        <v>24320</v>
      </c>
      <c r="BK1" s="2">
        <f t="shared" si="1"/>
        <v>9638</v>
      </c>
      <c r="BL1" s="2">
        <f t="shared" si="1"/>
        <v>14679</v>
      </c>
      <c r="BM1" s="2">
        <f t="shared" si="1"/>
        <v>9430</v>
      </c>
      <c r="BN1" s="2">
        <f t="shared" si="1"/>
        <v>4501</v>
      </c>
      <c r="BO1" s="2">
        <f t="shared" si="1"/>
        <v>4929</v>
      </c>
      <c r="BP1" s="2">
        <f t="shared" si="1"/>
        <v>1960</v>
      </c>
      <c r="BQ1" s="2">
        <f t="shared" si="1"/>
        <v>896</v>
      </c>
      <c r="BR1" s="2">
        <f t="shared" si="1"/>
        <v>1067</v>
      </c>
      <c r="BS1" s="2">
        <f t="shared" si="1"/>
        <v>12927</v>
      </c>
      <c r="BT1" s="2">
        <f t="shared" ref="BT1:CY1" si="2">SUBTOTAL(9,BT3:BT40)</f>
        <v>4243</v>
      </c>
      <c r="BU1" s="2">
        <f t="shared" si="2"/>
        <v>8685</v>
      </c>
      <c r="BV1" s="2">
        <f t="shared" si="2"/>
        <v>0</v>
      </c>
      <c r="BW1" s="2">
        <f t="shared" si="2"/>
        <v>1644</v>
      </c>
      <c r="BX1" s="2">
        <f t="shared" si="2"/>
        <v>4009</v>
      </c>
      <c r="BY1" s="2">
        <f t="shared" si="2"/>
        <v>7338</v>
      </c>
      <c r="BZ1" s="2">
        <f t="shared" si="2"/>
        <v>11231</v>
      </c>
      <c r="CA1" s="2">
        <f t="shared" si="2"/>
        <v>11821</v>
      </c>
      <c r="CB1" s="2">
        <f t="shared" si="2"/>
        <v>0</v>
      </c>
      <c r="CC1" s="2">
        <f t="shared" si="2"/>
        <v>1465</v>
      </c>
      <c r="CD1" s="2">
        <f t="shared" si="2"/>
        <v>3736</v>
      </c>
      <c r="CE1" s="2">
        <f t="shared" si="2"/>
        <v>6354</v>
      </c>
      <c r="CF1" s="2">
        <f t="shared" si="2"/>
        <v>8578</v>
      </c>
      <c r="CG1" s="2">
        <f t="shared" si="2"/>
        <v>8035</v>
      </c>
      <c r="CH1" s="2">
        <f t="shared" si="2"/>
        <v>28490</v>
      </c>
      <c r="CI1" s="2">
        <f t="shared" si="2"/>
        <v>15748</v>
      </c>
      <c r="CJ1" s="2">
        <f t="shared" si="2"/>
        <v>12743</v>
      </c>
      <c r="CK1" s="2">
        <f t="shared" si="2"/>
        <v>25357</v>
      </c>
      <c r="CL1" s="2">
        <f t="shared" si="2"/>
        <v>13742</v>
      </c>
      <c r="CM1" s="2">
        <f t="shared" si="2"/>
        <v>11611</v>
      </c>
      <c r="CN1" s="2">
        <f t="shared" si="2"/>
        <v>3135</v>
      </c>
      <c r="CO1" s="2">
        <f t="shared" si="2"/>
        <v>2005</v>
      </c>
      <c r="CP1" s="2">
        <f t="shared" si="2"/>
        <v>1126</v>
      </c>
      <c r="CQ1" s="2">
        <f t="shared" si="2"/>
        <v>5882</v>
      </c>
      <c r="CR1" s="2">
        <f t="shared" si="2"/>
        <v>5269</v>
      </c>
      <c r="CS1" s="2">
        <f t="shared" si="2"/>
        <v>1846</v>
      </c>
      <c r="CT1" s="2">
        <f t="shared" si="2"/>
        <v>3421</v>
      </c>
      <c r="CU1" s="2">
        <f t="shared" si="2"/>
        <v>609</v>
      </c>
      <c r="CV1" s="2">
        <f t="shared" si="2"/>
        <v>19382</v>
      </c>
      <c r="CW1" s="2">
        <f t="shared" si="2"/>
        <v>3627</v>
      </c>
      <c r="CX1" s="2">
        <f t="shared" si="2"/>
        <v>1023</v>
      </c>
      <c r="CY1" s="2">
        <f t="shared" si="2"/>
        <v>374</v>
      </c>
      <c r="CZ1" s="2">
        <f t="shared" ref="CZ1:DQ1" si="3">SUBTOTAL(9,CZ3:CZ40)</f>
        <v>951</v>
      </c>
      <c r="DA1" s="2">
        <f t="shared" si="3"/>
        <v>2171</v>
      </c>
      <c r="DB1" s="2">
        <f t="shared" si="3"/>
        <v>910</v>
      </c>
      <c r="DC1" s="2">
        <f t="shared" si="3"/>
        <v>51</v>
      </c>
      <c r="DD1" s="2">
        <f t="shared" si="3"/>
        <v>10471</v>
      </c>
      <c r="DE1" s="2">
        <f t="shared" si="3"/>
        <v>18015</v>
      </c>
      <c r="DF1" s="2">
        <f t="shared" si="3"/>
        <v>15809</v>
      </c>
      <c r="DG1" s="2">
        <f t="shared" si="3"/>
        <v>365</v>
      </c>
      <c r="DH1" s="2">
        <f t="shared" si="3"/>
        <v>564</v>
      </c>
      <c r="DI1" s="2">
        <f t="shared" si="3"/>
        <v>1281</v>
      </c>
      <c r="DJ1" s="2">
        <f t="shared" si="3"/>
        <v>732</v>
      </c>
      <c r="DK1" s="2">
        <f t="shared" si="3"/>
        <v>2387</v>
      </c>
      <c r="DL1" s="2">
        <f t="shared" si="3"/>
        <v>640</v>
      </c>
      <c r="DM1" s="2">
        <f t="shared" si="3"/>
        <v>270</v>
      </c>
      <c r="DN1" s="2">
        <f t="shared" si="3"/>
        <v>17625</v>
      </c>
      <c r="DO1" s="2">
        <f t="shared" si="3"/>
        <v>6861</v>
      </c>
      <c r="DP1" s="2">
        <f t="shared" si="3"/>
        <v>13.399999999999995</v>
      </c>
      <c r="DQ1" s="2">
        <f t="shared" si="3"/>
        <v>99506</v>
      </c>
      <c r="DR1" s="2">
        <f>SUBTOTAL(1,DR3:DR40)</f>
        <v>62.6</v>
      </c>
      <c r="DS1" s="2">
        <f t="shared" ref="DS1:EB1" si="4">SUBTOTAL(1,DS3:DS40)</f>
        <v>60.084210526315786</v>
      </c>
      <c r="DT1" s="2">
        <f t="shared" si="4"/>
        <v>33.581578947368421</v>
      </c>
      <c r="DU1" s="2">
        <f t="shared" si="4"/>
        <v>43.776315789473685</v>
      </c>
      <c r="DV1" s="2">
        <f t="shared" si="4"/>
        <v>21.057894736842098</v>
      </c>
      <c r="DW1" s="2">
        <f t="shared" si="4"/>
        <v>27.752631578947373</v>
      </c>
      <c r="DX1" s="2">
        <f t="shared" si="4"/>
        <v>38.436842105263153</v>
      </c>
      <c r="DY1" s="2">
        <f t="shared" si="4"/>
        <v>89.394736842105246</v>
      </c>
      <c r="DZ1" s="2">
        <f t="shared" si="4"/>
        <v>45.121052631578948</v>
      </c>
      <c r="EA1" s="2">
        <f t="shared" si="4"/>
        <v>75.160526315789454</v>
      </c>
      <c r="EB1" s="2">
        <f t="shared" si="4"/>
        <v>41.949999999999996</v>
      </c>
    </row>
    <row r="2" spans="1:132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169</v>
      </c>
      <c r="I2" s="46" t="s">
        <v>170</v>
      </c>
      <c r="J2" s="46" t="s">
        <v>171</v>
      </c>
      <c r="K2" s="46" t="s">
        <v>16</v>
      </c>
      <c r="L2" s="46" t="s">
        <v>172</v>
      </c>
      <c r="M2" s="46" t="s">
        <v>173</v>
      </c>
      <c r="N2" s="46" t="s">
        <v>174</v>
      </c>
      <c r="O2" s="46" t="s">
        <v>175</v>
      </c>
      <c r="P2" s="46" t="s">
        <v>176</v>
      </c>
      <c r="Q2" s="46" t="s">
        <v>177</v>
      </c>
      <c r="R2" s="46" t="s">
        <v>178</v>
      </c>
      <c r="S2" s="46" t="s">
        <v>179</v>
      </c>
      <c r="T2" s="46" t="s">
        <v>180</v>
      </c>
      <c r="U2" s="46" t="s">
        <v>181</v>
      </c>
      <c r="V2" s="46" t="s">
        <v>182</v>
      </c>
      <c r="W2" s="46" t="s">
        <v>183</v>
      </c>
      <c r="X2" s="46" t="s">
        <v>184</v>
      </c>
      <c r="Y2" s="46" t="s">
        <v>185</v>
      </c>
      <c r="Z2" s="46" t="s">
        <v>186</v>
      </c>
      <c r="AA2" s="46" t="s">
        <v>187</v>
      </c>
      <c r="AB2" s="46" t="s">
        <v>188</v>
      </c>
      <c r="AC2" s="46" t="s">
        <v>189</v>
      </c>
      <c r="AD2" s="46" t="s">
        <v>190</v>
      </c>
      <c r="AE2" s="46" t="s">
        <v>191</v>
      </c>
      <c r="AF2" s="46" t="s">
        <v>192</v>
      </c>
      <c r="AG2" s="46" t="s">
        <v>193</v>
      </c>
      <c r="AH2" s="46" t="s">
        <v>194</v>
      </c>
      <c r="AI2" s="46" t="s">
        <v>195</v>
      </c>
      <c r="AJ2" s="46" t="s">
        <v>196</v>
      </c>
      <c r="AK2" s="46" t="s">
        <v>197</v>
      </c>
      <c r="AL2" s="46" t="s">
        <v>198</v>
      </c>
      <c r="AM2" s="46" t="s">
        <v>199</v>
      </c>
      <c r="AN2" s="46" t="s">
        <v>200</v>
      </c>
      <c r="AO2" s="46" t="s">
        <v>201</v>
      </c>
      <c r="AP2" s="46" t="s">
        <v>202</v>
      </c>
      <c r="AQ2" s="46" t="s">
        <v>203</v>
      </c>
      <c r="AR2" s="46" t="s">
        <v>204</v>
      </c>
      <c r="AS2" s="46" t="s">
        <v>205</v>
      </c>
      <c r="AT2" s="46" t="s">
        <v>206</v>
      </c>
      <c r="AU2" s="46" t="s">
        <v>207</v>
      </c>
      <c r="AV2" s="46" t="s">
        <v>208</v>
      </c>
      <c r="AW2" s="46" t="s">
        <v>209</v>
      </c>
      <c r="AX2" s="46" t="s">
        <v>210</v>
      </c>
      <c r="AY2" s="46" t="s">
        <v>211</v>
      </c>
      <c r="AZ2" s="46" t="s">
        <v>212</v>
      </c>
      <c r="BA2" s="46" t="s">
        <v>213</v>
      </c>
      <c r="BB2" s="46" t="s">
        <v>214</v>
      </c>
      <c r="BC2" s="46" t="s">
        <v>215</v>
      </c>
      <c r="BD2" s="46" t="s">
        <v>216</v>
      </c>
      <c r="BE2" s="46" t="s">
        <v>217</v>
      </c>
      <c r="BF2" s="46" t="s">
        <v>218</v>
      </c>
      <c r="BG2" s="46" t="s">
        <v>219</v>
      </c>
      <c r="BH2" s="46" t="s">
        <v>220</v>
      </c>
      <c r="BI2" s="46" t="s">
        <v>221</v>
      </c>
      <c r="BJ2" s="46" t="s">
        <v>222</v>
      </c>
      <c r="BK2" s="46" t="s">
        <v>223</v>
      </c>
      <c r="BL2" s="46" t="s">
        <v>224</v>
      </c>
      <c r="BM2" s="46" t="s">
        <v>225</v>
      </c>
      <c r="BN2" s="46" t="s">
        <v>226</v>
      </c>
      <c r="BO2" s="46" t="s">
        <v>227</v>
      </c>
      <c r="BP2" s="46" t="s">
        <v>228</v>
      </c>
      <c r="BQ2" s="46" t="s">
        <v>229</v>
      </c>
      <c r="BR2" s="46" t="s">
        <v>230</v>
      </c>
      <c r="BS2" s="46" t="s">
        <v>231</v>
      </c>
      <c r="BT2" s="46" t="s">
        <v>232</v>
      </c>
      <c r="BU2" s="46" t="s">
        <v>233</v>
      </c>
      <c r="BV2" s="46" t="s">
        <v>234</v>
      </c>
      <c r="BW2" s="46" t="s">
        <v>235</v>
      </c>
      <c r="BX2" s="46" t="s">
        <v>236</v>
      </c>
      <c r="BY2" s="46" t="s">
        <v>237</v>
      </c>
      <c r="BZ2" s="46" t="s">
        <v>238</v>
      </c>
      <c r="CA2" s="46" t="s">
        <v>239</v>
      </c>
      <c r="CB2" s="46" t="s">
        <v>240</v>
      </c>
      <c r="CC2" s="46" t="s">
        <v>241</v>
      </c>
      <c r="CD2" s="46" t="s">
        <v>242</v>
      </c>
      <c r="CE2" s="46" t="s">
        <v>243</v>
      </c>
      <c r="CF2" s="46" t="s">
        <v>244</v>
      </c>
      <c r="CG2" s="46" t="s">
        <v>245</v>
      </c>
      <c r="CH2" s="46" t="s">
        <v>246</v>
      </c>
      <c r="CI2" s="46" t="s">
        <v>247</v>
      </c>
      <c r="CJ2" s="46" t="s">
        <v>248</v>
      </c>
      <c r="CK2" s="46" t="s">
        <v>249</v>
      </c>
      <c r="CL2" s="46" t="s">
        <v>250</v>
      </c>
      <c r="CM2" s="46" t="s">
        <v>251</v>
      </c>
      <c r="CN2" s="46" t="s">
        <v>252</v>
      </c>
      <c r="CO2" s="46" t="s">
        <v>253</v>
      </c>
      <c r="CP2" s="46" t="s">
        <v>254</v>
      </c>
      <c r="CQ2" s="46" t="s">
        <v>255</v>
      </c>
      <c r="CR2" s="46" t="s">
        <v>256</v>
      </c>
      <c r="CS2" s="46" t="s">
        <v>257</v>
      </c>
      <c r="CT2" s="46" t="s">
        <v>258</v>
      </c>
      <c r="CU2" s="46" t="s">
        <v>259</v>
      </c>
      <c r="CV2" s="46" t="s">
        <v>260</v>
      </c>
      <c r="CW2" s="46" t="s">
        <v>261</v>
      </c>
      <c r="CX2" s="46" t="s">
        <v>262</v>
      </c>
      <c r="CY2" s="46" t="s">
        <v>263</v>
      </c>
      <c r="CZ2" s="46" t="s">
        <v>264</v>
      </c>
      <c r="DA2" s="46" t="s">
        <v>265</v>
      </c>
      <c r="DB2" s="46" t="s">
        <v>266</v>
      </c>
      <c r="DC2" s="46" t="s">
        <v>267</v>
      </c>
      <c r="DD2" s="46" t="s">
        <v>268</v>
      </c>
      <c r="DE2" s="46" t="s">
        <v>269</v>
      </c>
      <c r="DF2" s="46" t="s">
        <v>270</v>
      </c>
      <c r="DG2" s="46" t="s">
        <v>271</v>
      </c>
      <c r="DH2" s="46" t="s">
        <v>272</v>
      </c>
      <c r="DI2" s="46" t="s">
        <v>273</v>
      </c>
      <c r="DJ2" s="46" t="s">
        <v>274</v>
      </c>
      <c r="DK2" s="46" t="s">
        <v>275</v>
      </c>
      <c r="DL2" s="46" t="s">
        <v>276</v>
      </c>
      <c r="DM2" s="46" t="s">
        <v>277</v>
      </c>
      <c r="DN2" s="46" t="s">
        <v>278</v>
      </c>
      <c r="DO2" s="46" t="s">
        <v>279</v>
      </c>
      <c r="DP2" s="47" t="s">
        <v>80</v>
      </c>
      <c r="DQ2" s="47" t="s">
        <v>280</v>
      </c>
      <c r="DR2" s="47" t="s">
        <v>281</v>
      </c>
      <c r="DS2" s="47" t="s">
        <v>282</v>
      </c>
      <c r="DT2" s="47" t="s">
        <v>283</v>
      </c>
      <c r="DU2" s="47" t="s">
        <v>284</v>
      </c>
      <c r="DV2" s="47" t="s">
        <v>285</v>
      </c>
      <c r="DW2" s="47" t="s">
        <v>286</v>
      </c>
      <c r="DX2" s="47" t="s">
        <v>287</v>
      </c>
      <c r="DY2" s="47" t="s">
        <v>288</v>
      </c>
      <c r="DZ2" s="47" t="s">
        <v>289</v>
      </c>
      <c r="EA2" s="47" t="s">
        <v>290</v>
      </c>
      <c r="EB2" s="48" t="s">
        <v>291</v>
      </c>
    </row>
    <row r="3" spans="1:132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1531</v>
      </c>
      <c r="I3" s="4">
        <v>373</v>
      </c>
      <c r="J3" s="4">
        <v>952</v>
      </c>
      <c r="K3" s="4">
        <v>206</v>
      </c>
      <c r="L3" s="4">
        <v>740</v>
      </c>
      <c r="M3" s="4">
        <v>178</v>
      </c>
      <c r="N3" s="4">
        <v>460</v>
      </c>
      <c r="O3" s="4">
        <v>102</v>
      </c>
      <c r="P3" s="4">
        <v>791</v>
      </c>
      <c r="Q3" s="4">
        <v>195</v>
      </c>
      <c r="R3" s="4">
        <v>492</v>
      </c>
      <c r="S3" s="4">
        <v>104</v>
      </c>
      <c r="T3" s="4">
        <v>948</v>
      </c>
      <c r="U3" s="4">
        <v>116</v>
      </c>
      <c r="V3" s="4">
        <v>735</v>
      </c>
      <c r="W3" s="4">
        <v>97</v>
      </c>
      <c r="X3" s="4">
        <v>509</v>
      </c>
      <c r="Y3" s="4">
        <v>61</v>
      </c>
      <c r="Z3" s="4">
        <v>394</v>
      </c>
      <c r="AA3" s="4">
        <v>55</v>
      </c>
      <c r="AB3" s="4">
        <v>438</v>
      </c>
      <c r="AC3" s="4">
        <v>55</v>
      </c>
      <c r="AD3" s="4">
        <v>342</v>
      </c>
      <c r="AE3" s="4">
        <v>42</v>
      </c>
      <c r="AF3" s="4">
        <v>640</v>
      </c>
      <c r="AG3" s="4">
        <v>53</v>
      </c>
      <c r="AH3" s="4">
        <v>504</v>
      </c>
      <c r="AI3" s="4">
        <v>84</v>
      </c>
      <c r="AJ3" s="4">
        <v>343</v>
      </c>
      <c r="AK3" s="4">
        <v>26</v>
      </c>
      <c r="AL3" s="4">
        <v>274</v>
      </c>
      <c r="AM3" s="4">
        <v>42</v>
      </c>
      <c r="AN3" s="4">
        <v>298</v>
      </c>
      <c r="AO3" s="4">
        <v>26</v>
      </c>
      <c r="AP3" s="4">
        <v>230</v>
      </c>
      <c r="AQ3" s="4">
        <v>105</v>
      </c>
      <c r="AR3" s="4">
        <v>42</v>
      </c>
      <c r="AS3" s="4">
        <v>65</v>
      </c>
      <c r="AT3" s="4">
        <v>307</v>
      </c>
      <c r="AU3" s="4">
        <v>10</v>
      </c>
      <c r="AV3" s="4">
        <v>63</v>
      </c>
      <c r="AW3" s="4">
        <v>16</v>
      </c>
      <c r="AX3" s="4">
        <v>231</v>
      </c>
      <c r="AY3" s="4">
        <v>4</v>
      </c>
      <c r="AZ3" s="4">
        <v>13</v>
      </c>
      <c r="BA3" s="4">
        <v>187</v>
      </c>
      <c r="BB3" s="4">
        <v>78</v>
      </c>
      <c r="BC3" s="4">
        <v>54</v>
      </c>
      <c r="BD3" s="4">
        <v>29</v>
      </c>
      <c r="BE3" s="4">
        <v>263</v>
      </c>
      <c r="BF3" s="4">
        <v>218</v>
      </c>
      <c r="BG3" s="4">
        <v>84</v>
      </c>
      <c r="BH3" s="4">
        <v>81</v>
      </c>
      <c r="BI3" s="4">
        <v>61</v>
      </c>
      <c r="BJ3" s="4">
        <v>583</v>
      </c>
      <c r="BK3" s="4">
        <v>230</v>
      </c>
      <c r="BL3" s="4">
        <v>353</v>
      </c>
      <c r="BM3" s="4">
        <v>255</v>
      </c>
      <c r="BN3" s="4">
        <v>113</v>
      </c>
      <c r="BO3" s="4">
        <v>142</v>
      </c>
      <c r="BP3" s="4">
        <v>52</v>
      </c>
      <c r="BQ3" s="4">
        <v>26</v>
      </c>
      <c r="BR3" s="4">
        <v>26</v>
      </c>
      <c r="BS3" s="4">
        <v>276</v>
      </c>
      <c r="BT3" s="4">
        <v>91</v>
      </c>
      <c r="BU3" s="4">
        <v>185</v>
      </c>
      <c r="BV3" s="4">
        <v>0</v>
      </c>
      <c r="BW3" s="4">
        <v>28</v>
      </c>
      <c r="BX3" s="4">
        <v>62</v>
      </c>
      <c r="BY3" s="4">
        <v>138</v>
      </c>
      <c r="BZ3" s="4">
        <v>310</v>
      </c>
      <c r="CA3" s="4">
        <v>405</v>
      </c>
      <c r="CB3" s="4">
        <v>0</v>
      </c>
      <c r="CC3" s="4">
        <v>25</v>
      </c>
      <c r="CD3" s="4">
        <v>62</v>
      </c>
      <c r="CE3" s="4">
        <v>134</v>
      </c>
      <c r="CF3" s="4">
        <v>233</v>
      </c>
      <c r="CG3" s="4">
        <v>247</v>
      </c>
      <c r="CH3" s="4">
        <v>645</v>
      </c>
      <c r="CI3" s="4">
        <v>344</v>
      </c>
      <c r="CJ3" s="4">
        <v>301</v>
      </c>
      <c r="CK3" s="4">
        <v>592</v>
      </c>
      <c r="CL3" s="4">
        <v>318</v>
      </c>
      <c r="CM3" s="4">
        <v>274</v>
      </c>
      <c r="CN3" s="4">
        <v>52</v>
      </c>
      <c r="CO3" s="4">
        <v>25</v>
      </c>
      <c r="CP3" s="4">
        <v>27</v>
      </c>
      <c r="CQ3" s="4">
        <v>140</v>
      </c>
      <c r="CR3" s="4">
        <v>128</v>
      </c>
      <c r="CS3" s="4">
        <v>54</v>
      </c>
      <c r="CT3" s="4">
        <v>74</v>
      </c>
      <c r="CU3" s="4">
        <v>13</v>
      </c>
      <c r="CV3" s="4">
        <v>458</v>
      </c>
      <c r="CW3" s="4">
        <v>109</v>
      </c>
      <c r="CX3" s="4">
        <v>8</v>
      </c>
      <c r="CY3" s="4">
        <v>5</v>
      </c>
      <c r="CZ3" s="4">
        <v>12</v>
      </c>
      <c r="DA3" s="4">
        <v>33</v>
      </c>
      <c r="DB3" s="4">
        <v>16</v>
      </c>
      <c r="DC3" s="4">
        <v>3</v>
      </c>
      <c r="DD3" s="4">
        <v>203</v>
      </c>
      <c r="DE3" s="4">
        <v>441</v>
      </c>
      <c r="DF3" s="4">
        <v>412</v>
      </c>
      <c r="DG3" s="4">
        <v>13</v>
      </c>
      <c r="DH3" s="4">
        <v>3</v>
      </c>
      <c r="DI3" s="4">
        <v>13</v>
      </c>
      <c r="DJ3" s="4">
        <v>6</v>
      </c>
      <c r="DK3" s="4">
        <v>63</v>
      </c>
      <c r="DL3" s="4">
        <v>17</v>
      </c>
      <c r="DM3" s="4">
        <v>16</v>
      </c>
      <c r="DN3" s="4">
        <v>418</v>
      </c>
      <c r="DO3" s="4">
        <v>182</v>
      </c>
      <c r="DP3" s="4">
        <v>0.3</v>
      </c>
      <c r="DQ3" s="4">
        <v>2497</v>
      </c>
      <c r="DR3" s="4">
        <v>61.3</v>
      </c>
      <c r="DS3" s="4">
        <v>61.9</v>
      </c>
      <c r="DT3" s="4">
        <v>31.1</v>
      </c>
      <c r="DU3" s="4">
        <v>41.8</v>
      </c>
      <c r="DV3" s="4">
        <v>14.2</v>
      </c>
      <c r="DW3" s="4">
        <v>32.4</v>
      </c>
      <c r="DX3" s="4">
        <v>54.3</v>
      </c>
      <c r="DY3" s="4">
        <v>91.8</v>
      </c>
      <c r="DZ3" s="4">
        <v>46.3</v>
      </c>
      <c r="EA3" s="4">
        <v>77.400000000000006</v>
      </c>
      <c r="EB3" s="43">
        <v>34.299999999999997</v>
      </c>
    </row>
    <row r="4" spans="1:132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2937</v>
      </c>
      <c r="I4" s="4">
        <v>937</v>
      </c>
      <c r="J4" s="4">
        <v>1596</v>
      </c>
      <c r="K4" s="4">
        <v>403</v>
      </c>
      <c r="L4" s="4">
        <v>1436</v>
      </c>
      <c r="M4" s="4">
        <v>423</v>
      </c>
      <c r="N4" s="4">
        <v>785</v>
      </c>
      <c r="O4" s="4">
        <v>228</v>
      </c>
      <c r="P4" s="4">
        <v>1501</v>
      </c>
      <c r="Q4" s="4">
        <v>514</v>
      </c>
      <c r="R4" s="4">
        <v>811</v>
      </c>
      <c r="S4" s="4">
        <v>176</v>
      </c>
      <c r="T4" s="4">
        <v>1835</v>
      </c>
      <c r="U4" s="4">
        <v>343</v>
      </c>
      <c r="V4" s="4">
        <v>1260</v>
      </c>
      <c r="W4" s="4">
        <v>232</v>
      </c>
      <c r="X4" s="4">
        <v>1012</v>
      </c>
      <c r="Y4" s="4">
        <v>185</v>
      </c>
      <c r="Z4" s="4">
        <v>679</v>
      </c>
      <c r="AA4" s="4">
        <v>147</v>
      </c>
      <c r="AB4" s="4">
        <v>823</v>
      </c>
      <c r="AC4" s="4">
        <v>158</v>
      </c>
      <c r="AD4" s="4">
        <v>581</v>
      </c>
      <c r="AE4" s="4">
        <v>84</v>
      </c>
      <c r="AF4" s="4">
        <v>1372</v>
      </c>
      <c r="AG4" s="4">
        <v>209</v>
      </c>
      <c r="AH4" s="4">
        <v>975</v>
      </c>
      <c r="AI4" s="4">
        <v>188</v>
      </c>
      <c r="AJ4" s="4">
        <v>805</v>
      </c>
      <c r="AK4" s="4">
        <v>129</v>
      </c>
      <c r="AL4" s="4">
        <v>548</v>
      </c>
      <c r="AM4" s="4">
        <v>128</v>
      </c>
      <c r="AN4" s="4">
        <v>567</v>
      </c>
      <c r="AO4" s="4">
        <v>80</v>
      </c>
      <c r="AP4" s="4">
        <v>428</v>
      </c>
      <c r="AQ4" s="4">
        <v>119</v>
      </c>
      <c r="AR4" s="4">
        <v>60</v>
      </c>
      <c r="AS4" s="4">
        <v>77</v>
      </c>
      <c r="AT4" s="4">
        <v>462</v>
      </c>
      <c r="AU4" s="4">
        <v>59</v>
      </c>
      <c r="AV4" s="4">
        <v>134</v>
      </c>
      <c r="AW4" s="4">
        <v>42</v>
      </c>
      <c r="AX4" s="4">
        <v>285</v>
      </c>
      <c r="AY4" s="4">
        <v>36</v>
      </c>
      <c r="AZ4" s="4">
        <v>43</v>
      </c>
      <c r="BA4" s="4">
        <v>234</v>
      </c>
      <c r="BB4" s="4">
        <v>95</v>
      </c>
      <c r="BC4" s="4">
        <v>92</v>
      </c>
      <c r="BD4" s="4">
        <v>34</v>
      </c>
      <c r="BE4" s="4">
        <v>430</v>
      </c>
      <c r="BF4" s="4">
        <v>350</v>
      </c>
      <c r="BG4" s="4">
        <v>279</v>
      </c>
      <c r="BH4" s="4">
        <v>204</v>
      </c>
      <c r="BI4" s="4">
        <v>246</v>
      </c>
      <c r="BJ4" s="4">
        <v>1102</v>
      </c>
      <c r="BK4" s="4">
        <v>424</v>
      </c>
      <c r="BL4" s="4">
        <v>677</v>
      </c>
      <c r="BM4" s="4">
        <v>529</v>
      </c>
      <c r="BN4" s="4">
        <v>219</v>
      </c>
      <c r="BO4" s="4">
        <v>309</v>
      </c>
      <c r="BP4" s="4">
        <v>68</v>
      </c>
      <c r="BQ4" s="4">
        <v>35</v>
      </c>
      <c r="BR4" s="4">
        <v>34</v>
      </c>
      <c r="BS4" s="4">
        <v>505</v>
      </c>
      <c r="BT4" s="4">
        <v>170</v>
      </c>
      <c r="BU4" s="4">
        <v>334</v>
      </c>
      <c r="BV4" s="4">
        <v>0</v>
      </c>
      <c r="BW4" s="4">
        <v>84</v>
      </c>
      <c r="BX4" s="4">
        <v>259</v>
      </c>
      <c r="BY4" s="4">
        <v>376</v>
      </c>
      <c r="BZ4" s="4">
        <v>597</v>
      </c>
      <c r="CA4" s="4">
        <v>454</v>
      </c>
      <c r="CB4" s="4">
        <v>0</v>
      </c>
      <c r="CC4" s="4">
        <v>77</v>
      </c>
      <c r="CD4" s="4">
        <v>243</v>
      </c>
      <c r="CE4" s="4">
        <v>326</v>
      </c>
      <c r="CF4" s="4">
        <v>454</v>
      </c>
      <c r="CG4" s="4">
        <v>324</v>
      </c>
      <c r="CH4" s="4">
        <v>1410</v>
      </c>
      <c r="CI4" s="4">
        <v>839</v>
      </c>
      <c r="CJ4" s="4">
        <v>572</v>
      </c>
      <c r="CK4" s="4">
        <v>1235</v>
      </c>
      <c r="CL4" s="4">
        <v>718</v>
      </c>
      <c r="CM4" s="4">
        <v>516</v>
      </c>
      <c r="CN4" s="4">
        <v>176</v>
      </c>
      <c r="CO4" s="4">
        <v>120</v>
      </c>
      <c r="CP4" s="4">
        <v>55</v>
      </c>
      <c r="CQ4" s="4">
        <v>324</v>
      </c>
      <c r="CR4" s="4">
        <v>273</v>
      </c>
      <c r="CS4" s="4">
        <v>109</v>
      </c>
      <c r="CT4" s="4">
        <v>163</v>
      </c>
      <c r="CU4" s="4">
        <v>52</v>
      </c>
      <c r="CV4" s="4">
        <v>902</v>
      </c>
      <c r="CW4" s="4">
        <v>195</v>
      </c>
      <c r="CX4" s="4">
        <v>49</v>
      </c>
      <c r="CY4" s="4">
        <v>15</v>
      </c>
      <c r="CZ4" s="4">
        <v>73</v>
      </c>
      <c r="DA4" s="4">
        <v>143</v>
      </c>
      <c r="DB4" s="4">
        <v>32</v>
      </c>
      <c r="DC4" s="4">
        <v>0</v>
      </c>
      <c r="DD4" s="4">
        <v>470</v>
      </c>
      <c r="DE4" s="4">
        <v>940</v>
      </c>
      <c r="DF4" s="4">
        <v>820</v>
      </c>
      <c r="DG4" s="4">
        <v>26</v>
      </c>
      <c r="DH4" s="4">
        <v>22</v>
      </c>
      <c r="DI4" s="4">
        <v>72</v>
      </c>
      <c r="DJ4" s="4">
        <v>22</v>
      </c>
      <c r="DK4" s="4">
        <v>110</v>
      </c>
      <c r="DL4" s="4">
        <v>9</v>
      </c>
      <c r="DM4" s="4">
        <v>21</v>
      </c>
      <c r="DN4" s="4">
        <v>921</v>
      </c>
      <c r="DO4" s="4">
        <v>389</v>
      </c>
      <c r="DP4" s="4">
        <v>0.1</v>
      </c>
      <c r="DQ4" s="4">
        <v>4255</v>
      </c>
      <c r="DR4" s="4">
        <v>69</v>
      </c>
      <c r="DS4" s="4">
        <v>62.5</v>
      </c>
      <c r="DT4" s="4">
        <v>36.6</v>
      </c>
      <c r="DU4" s="4">
        <v>46.7</v>
      </c>
      <c r="DV4" s="4">
        <v>22.3</v>
      </c>
      <c r="DW4" s="4">
        <v>25.2</v>
      </c>
      <c r="DX4" s="4">
        <v>39.1</v>
      </c>
      <c r="DY4" s="4">
        <v>87.6</v>
      </c>
      <c r="DZ4" s="4">
        <v>41.8</v>
      </c>
      <c r="EA4" s="4">
        <v>73</v>
      </c>
      <c r="EB4" s="43">
        <v>38.1</v>
      </c>
    </row>
    <row r="5" spans="1:132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1898</v>
      </c>
      <c r="I5" s="4">
        <v>474</v>
      </c>
      <c r="J5" s="4">
        <v>1144</v>
      </c>
      <c r="K5" s="4">
        <v>280</v>
      </c>
      <c r="L5" s="4">
        <v>938</v>
      </c>
      <c r="M5" s="4">
        <v>222</v>
      </c>
      <c r="N5" s="4">
        <v>590</v>
      </c>
      <c r="O5" s="4">
        <v>125</v>
      </c>
      <c r="P5" s="4">
        <v>961</v>
      </c>
      <c r="Q5" s="4">
        <v>251</v>
      </c>
      <c r="R5" s="4">
        <v>554</v>
      </c>
      <c r="S5" s="4">
        <v>155</v>
      </c>
      <c r="T5" s="4">
        <v>961</v>
      </c>
      <c r="U5" s="4">
        <v>130</v>
      </c>
      <c r="V5" s="4">
        <v>707</v>
      </c>
      <c r="W5" s="4">
        <v>124</v>
      </c>
      <c r="X5" s="4">
        <v>547</v>
      </c>
      <c r="Y5" s="4">
        <v>65</v>
      </c>
      <c r="Z5" s="4">
        <v>427</v>
      </c>
      <c r="AA5" s="4">
        <v>55</v>
      </c>
      <c r="AB5" s="4">
        <v>414</v>
      </c>
      <c r="AC5" s="4">
        <v>65</v>
      </c>
      <c r="AD5" s="4">
        <v>280</v>
      </c>
      <c r="AE5" s="4">
        <v>69</v>
      </c>
      <c r="AF5" s="4">
        <v>679</v>
      </c>
      <c r="AG5" s="4">
        <v>85</v>
      </c>
      <c r="AH5" s="4">
        <v>500</v>
      </c>
      <c r="AI5" s="4">
        <v>94</v>
      </c>
      <c r="AJ5" s="4">
        <v>365</v>
      </c>
      <c r="AK5" s="4">
        <v>35</v>
      </c>
      <c r="AL5" s="4">
        <v>293</v>
      </c>
      <c r="AM5" s="4">
        <v>37</v>
      </c>
      <c r="AN5" s="4">
        <v>314</v>
      </c>
      <c r="AO5" s="4">
        <v>50</v>
      </c>
      <c r="AP5" s="4">
        <v>207</v>
      </c>
      <c r="AQ5" s="4">
        <v>83</v>
      </c>
      <c r="AR5" s="4">
        <v>57</v>
      </c>
      <c r="AS5" s="4">
        <v>69</v>
      </c>
      <c r="AT5" s="4">
        <v>282</v>
      </c>
      <c r="AU5" s="4">
        <v>9</v>
      </c>
      <c r="AV5" s="4">
        <v>45</v>
      </c>
      <c r="AW5" s="4">
        <v>27</v>
      </c>
      <c r="AX5" s="4">
        <v>206</v>
      </c>
      <c r="AY5" s="4">
        <v>5</v>
      </c>
      <c r="AZ5" s="4">
        <v>30</v>
      </c>
      <c r="BA5" s="4">
        <v>241</v>
      </c>
      <c r="BB5" s="4">
        <v>72</v>
      </c>
      <c r="BC5" s="4">
        <v>62</v>
      </c>
      <c r="BD5" s="4">
        <v>19</v>
      </c>
      <c r="BE5" s="4">
        <v>254</v>
      </c>
      <c r="BF5" s="4">
        <v>227</v>
      </c>
      <c r="BG5" s="4">
        <v>57</v>
      </c>
      <c r="BH5" s="4">
        <v>80</v>
      </c>
      <c r="BI5" s="4">
        <v>41</v>
      </c>
      <c r="BJ5" s="4">
        <v>937</v>
      </c>
      <c r="BK5" s="4">
        <v>390</v>
      </c>
      <c r="BL5" s="4">
        <v>547</v>
      </c>
      <c r="BM5" s="4">
        <v>313</v>
      </c>
      <c r="BN5" s="4">
        <v>153</v>
      </c>
      <c r="BO5" s="4">
        <v>160</v>
      </c>
      <c r="BP5" s="4">
        <v>48</v>
      </c>
      <c r="BQ5" s="4">
        <v>30</v>
      </c>
      <c r="BR5" s="4">
        <v>18</v>
      </c>
      <c r="BS5" s="4">
        <v>576</v>
      </c>
      <c r="BT5" s="4">
        <v>207</v>
      </c>
      <c r="BU5" s="4">
        <v>370</v>
      </c>
      <c r="BV5" s="4">
        <v>0</v>
      </c>
      <c r="BW5" s="4">
        <v>29</v>
      </c>
      <c r="BX5" s="4">
        <v>30</v>
      </c>
      <c r="BY5" s="4">
        <v>98</v>
      </c>
      <c r="BZ5" s="4">
        <v>254</v>
      </c>
      <c r="CA5" s="4">
        <v>344</v>
      </c>
      <c r="CB5" s="4">
        <v>0</v>
      </c>
      <c r="CC5" s="4">
        <v>29</v>
      </c>
      <c r="CD5" s="4">
        <v>26</v>
      </c>
      <c r="CE5" s="4">
        <v>87</v>
      </c>
      <c r="CF5" s="4">
        <v>201</v>
      </c>
      <c r="CG5" s="4">
        <v>236</v>
      </c>
      <c r="CH5" s="4">
        <v>684</v>
      </c>
      <c r="CI5" s="4">
        <v>371</v>
      </c>
      <c r="CJ5" s="4">
        <v>314</v>
      </c>
      <c r="CK5" s="4">
        <v>613</v>
      </c>
      <c r="CL5" s="4">
        <v>317</v>
      </c>
      <c r="CM5" s="4">
        <v>296</v>
      </c>
      <c r="CN5" s="4">
        <v>71</v>
      </c>
      <c r="CO5" s="4">
        <v>54</v>
      </c>
      <c r="CP5" s="4">
        <v>17</v>
      </c>
      <c r="CQ5" s="4">
        <v>167</v>
      </c>
      <c r="CR5" s="4">
        <v>152</v>
      </c>
      <c r="CS5" s="4">
        <v>58</v>
      </c>
      <c r="CT5" s="4">
        <v>94</v>
      </c>
      <c r="CU5" s="4">
        <v>15</v>
      </c>
      <c r="CV5" s="4">
        <v>417</v>
      </c>
      <c r="CW5" s="4">
        <v>126</v>
      </c>
      <c r="CX5" s="4">
        <v>39</v>
      </c>
      <c r="CY5" s="4">
        <v>10</v>
      </c>
      <c r="CZ5" s="4">
        <v>21</v>
      </c>
      <c r="DA5" s="4">
        <v>45</v>
      </c>
      <c r="DB5" s="4">
        <v>27</v>
      </c>
      <c r="DC5" s="4">
        <v>0</v>
      </c>
      <c r="DD5" s="4">
        <v>313</v>
      </c>
      <c r="DE5" s="4">
        <v>371</v>
      </c>
      <c r="DF5" s="4">
        <v>288</v>
      </c>
      <c r="DG5" s="4">
        <v>13</v>
      </c>
      <c r="DH5" s="4">
        <v>19</v>
      </c>
      <c r="DI5" s="4">
        <v>51</v>
      </c>
      <c r="DJ5" s="4">
        <v>23</v>
      </c>
      <c r="DK5" s="4">
        <v>79</v>
      </c>
      <c r="DL5" s="4">
        <v>7</v>
      </c>
      <c r="DM5" s="4">
        <v>5</v>
      </c>
      <c r="DN5" s="4">
        <v>303</v>
      </c>
      <c r="DO5" s="4">
        <v>162</v>
      </c>
      <c r="DP5" s="4">
        <v>0.4</v>
      </c>
      <c r="DQ5" s="4">
        <v>3027</v>
      </c>
      <c r="DR5" s="4">
        <v>62.7</v>
      </c>
      <c r="DS5" s="4">
        <v>50.6</v>
      </c>
      <c r="DT5" s="4">
        <v>27.4</v>
      </c>
      <c r="DU5" s="4">
        <v>35.799999999999997</v>
      </c>
      <c r="DV5" s="4">
        <v>17.899999999999999</v>
      </c>
      <c r="DW5" s="4">
        <v>29.3</v>
      </c>
      <c r="DX5" s="4">
        <v>34.6</v>
      </c>
      <c r="DY5" s="4">
        <v>89.6</v>
      </c>
      <c r="DZ5" s="4">
        <v>48.3</v>
      </c>
      <c r="EA5" s="4">
        <v>68</v>
      </c>
      <c r="EB5" s="43">
        <v>51.1</v>
      </c>
    </row>
    <row r="6" spans="1:132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1282</v>
      </c>
      <c r="I6" s="4">
        <v>421</v>
      </c>
      <c r="J6" s="4">
        <v>652</v>
      </c>
      <c r="K6" s="4">
        <v>209</v>
      </c>
      <c r="L6" s="4">
        <v>635</v>
      </c>
      <c r="M6" s="4">
        <v>226</v>
      </c>
      <c r="N6" s="4">
        <v>317</v>
      </c>
      <c r="O6" s="4">
        <v>92</v>
      </c>
      <c r="P6" s="4">
        <v>647</v>
      </c>
      <c r="Q6" s="4">
        <v>195</v>
      </c>
      <c r="R6" s="4">
        <v>334</v>
      </c>
      <c r="S6" s="4">
        <v>117</v>
      </c>
      <c r="T6" s="4">
        <v>618</v>
      </c>
      <c r="U6" s="4">
        <v>126</v>
      </c>
      <c r="V6" s="4">
        <v>404</v>
      </c>
      <c r="W6" s="4">
        <v>88</v>
      </c>
      <c r="X6" s="4">
        <v>345</v>
      </c>
      <c r="Y6" s="4">
        <v>72</v>
      </c>
      <c r="Z6" s="4">
        <v>240</v>
      </c>
      <c r="AA6" s="4">
        <v>33</v>
      </c>
      <c r="AB6" s="4">
        <v>273</v>
      </c>
      <c r="AC6" s="4">
        <v>54</v>
      </c>
      <c r="AD6" s="4">
        <v>164</v>
      </c>
      <c r="AE6" s="4">
        <v>56</v>
      </c>
      <c r="AF6" s="4">
        <v>321</v>
      </c>
      <c r="AG6" s="4">
        <v>53</v>
      </c>
      <c r="AH6" s="4">
        <v>207</v>
      </c>
      <c r="AI6" s="4">
        <v>61</v>
      </c>
      <c r="AJ6" s="4">
        <v>184</v>
      </c>
      <c r="AK6" s="4">
        <v>34</v>
      </c>
      <c r="AL6" s="4">
        <v>136</v>
      </c>
      <c r="AM6" s="4">
        <v>14</v>
      </c>
      <c r="AN6" s="4">
        <v>136</v>
      </c>
      <c r="AO6" s="4">
        <v>19</v>
      </c>
      <c r="AP6" s="4">
        <v>71</v>
      </c>
      <c r="AQ6" s="4">
        <v>34</v>
      </c>
      <c r="AR6" s="4">
        <v>46</v>
      </c>
      <c r="AS6" s="4">
        <v>59</v>
      </c>
      <c r="AT6" s="4">
        <v>297</v>
      </c>
      <c r="AU6" s="4">
        <v>5</v>
      </c>
      <c r="AV6" s="4">
        <v>73</v>
      </c>
      <c r="AW6" s="4">
        <v>10</v>
      </c>
      <c r="AX6" s="4">
        <v>197</v>
      </c>
      <c r="AY6" s="4">
        <v>5</v>
      </c>
      <c r="AZ6" s="4">
        <v>27</v>
      </c>
      <c r="BA6" s="4">
        <v>253</v>
      </c>
      <c r="BB6" s="4">
        <v>152</v>
      </c>
      <c r="BC6" s="4">
        <v>52</v>
      </c>
      <c r="BD6" s="4">
        <v>33</v>
      </c>
      <c r="BE6" s="4">
        <v>125</v>
      </c>
      <c r="BF6" s="4">
        <v>125</v>
      </c>
      <c r="BG6" s="4">
        <v>33</v>
      </c>
      <c r="BH6" s="4">
        <v>15</v>
      </c>
      <c r="BI6" s="4">
        <v>15</v>
      </c>
      <c r="BJ6" s="4">
        <v>664</v>
      </c>
      <c r="BK6" s="4">
        <v>290</v>
      </c>
      <c r="BL6" s="4">
        <v>374</v>
      </c>
      <c r="BM6" s="4">
        <v>242</v>
      </c>
      <c r="BN6" s="4">
        <v>134</v>
      </c>
      <c r="BO6" s="4">
        <v>107</v>
      </c>
      <c r="BP6" s="4">
        <v>19</v>
      </c>
      <c r="BQ6" s="4">
        <v>15</v>
      </c>
      <c r="BR6" s="4">
        <v>5</v>
      </c>
      <c r="BS6" s="4">
        <v>403</v>
      </c>
      <c r="BT6" s="4">
        <v>141</v>
      </c>
      <c r="BU6" s="4">
        <v>262</v>
      </c>
      <c r="BV6" s="4">
        <v>0</v>
      </c>
      <c r="BW6" s="4">
        <v>26</v>
      </c>
      <c r="BX6" s="4">
        <v>17</v>
      </c>
      <c r="BY6" s="4">
        <v>43</v>
      </c>
      <c r="BZ6" s="4">
        <v>184</v>
      </c>
      <c r="CA6" s="4">
        <v>314</v>
      </c>
      <c r="CB6" s="4">
        <v>0</v>
      </c>
      <c r="CC6" s="4">
        <v>12</v>
      </c>
      <c r="CD6" s="4">
        <v>0</v>
      </c>
      <c r="CE6" s="4">
        <v>36</v>
      </c>
      <c r="CF6" s="4">
        <v>136</v>
      </c>
      <c r="CG6" s="4">
        <v>162</v>
      </c>
      <c r="CH6" s="4">
        <v>321</v>
      </c>
      <c r="CI6" s="4">
        <v>184</v>
      </c>
      <c r="CJ6" s="4">
        <v>136</v>
      </c>
      <c r="CK6" s="4">
        <v>311</v>
      </c>
      <c r="CL6" s="4">
        <v>174</v>
      </c>
      <c r="CM6" s="4">
        <v>136</v>
      </c>
      <c r="CN6" s="4">
        <v>10</v>
      </c>
      <c r="CO6" s="4">
        <v>10</v>
      </c>
      <c r="CP6" s="4">
        <v>0</v>
      </c>
      <c r="CQ6" s="4">
        <v>97</v>
      </c>
      <c r="CR6" s="4">
        <v>97</v>
      </c>
      <c r="CS6" s="4">
        <v>40</v>
      </c>
      <c r="CT6" s="4">
        <v>56</v>
      </c>
      <c r="CU6" s="4">
        <v>0</v>
      </c>
      <c r="CV6" s="4">
        <v>192</v>
      </c>
      <c r="CW6" s="4">
        <v>75</v>
      </c>
      <c r="CX6" s="4">
        <v>24</v>
      </c>
      <c r="CY6" s="4">
        <v>11</v>
      </c>
      <c r="CZ6" s="4">
        <v>9</v>
      </c>
      <c r="DA6" s="4">
        <v>5</v>
      </c>
      <c r="DB6" s="4">
        <v>5</v>
      </c>
      <c r="DC6" s="4">
        <v>0</v>
      </c>
      <c r="DD6" s="4">
        <v>105</v>
      </c>
      <c r="DE6" s="4">
        <v>215</v>
      </c>
      <c r="DF6" s="4">
        <v>173</v>
      </c>
      <c r="DG6" s="4">
        <v>9</v>
      </c>
      <c r="DH6" s="4">
        <v>0</v>
      </c>
      <c r="DI6" s="4">
        <v>34</v>
      </c>
      <c r="DJ6" s="4">
        <v>19</v>
      </c>
      <c r="DK6" s="4">
        <v>25</v>
      </c>
      <c r="DL6" s="4">
        <v>0</v>
      </c>
      <c r="DM6" s="4">
        <v>0</v>
      </c>
      <c r="DN6" s="4">
        <v>182</v>
      </c>
      <c r="DO6" s="4">
        <v>121</v>
      </c>
      <c r="DP6" s="4">
        <v>0.1</v>
      </c>
      <c r="DQ6" s="4">
        <v>2019</v>
      </c>
      <c r="DR6" s="4">
        <v>63.5</v>
      </c>
      <c r="DS6" s="4">
        <v>48.2</v>
      </c>
      <c r="DT6" s="4">
        <v>29.9</v>
      </c>
      <c r="DU6" s="4">
        <v>25</v>
      </c>
      <c r="DV6" s="4">
        <v>12.6</v>
      </c>
      <c r="DW6" s="4">
        <v>48.1</v>
      </c>
      <c r="DX6" s="4">
        <v>57.9</v>
      </c>
      <c r="DY6" s="4">
        <v>96.9</v>
      </c>
      <c r="DZ6" s="4">
        <v>43.7</v>
      </c>
      <c r="EA6" s="4">
        <v>61.7</v>
      </c>
      <c r="EB6" s="43">
        <v>33.799999999999997</v>
      </c>
    </row>
    <row r="7" spans="1:132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1064</v>
      </c>
      <c r="I7" s="4">
        <v>287</v>
      </c>
      <c r="J7" s="4">
        <v>623</v>
      </c>
      <c r="K7" s="4">
        <v>154</v>
      </c>
      <c r="L7" s="4">
        <v>508</v>
      </c>
      <c r="M7" s="4">
        <v>123</v>
      </c>
      <c r="N7" s="4">
        <v>305</v>
      </c>
      <c r="O7" s="4">
        <v>80</v>
      </c>
      <c r="P7" s="4">
        <v>555</v>
      </c>
      <c r="Q7" s="4">
        <v>163</v>
      </c>
      <c r="R7" s="4">
        <v>318</v>
      </c>
      <c r="S7" s="4">
        <v>74</v>
      </c>
      <c r="T7" s="4">
        <v>485</v>
      </c>
      <c r="U7" s="4">
        <v>51</v>
      </c>
      <c r="V7" s="4">
        <v>365</v>
      </c>
      <c r="W7" s="4">
        <v>69</v>
      </c>
      <c r="X7" s="4">
        <v>305</v>
      </c>
      <c r="Y7" s="4">
        <v>28</v>
      </c>
      <c r="Z7" s="4">
        <v>235</v>
      </c>
      <c r="AA7" s="4">
        <v>41</v>
      </c>
      <c r="AB7" s="4">
        <v>180</v>
      </c>
      <c r="AC7" s="4">
        <v>23</v>
      </c>
      <c r="AD7" s="4">
        <v>129</v>
      </c>
      <c r="AE7" s="4">
        <v>28</v>
      </c>
      <c r="AF7" s="4">
        <v>361</v>
      </c>
      <c r="AG7" s="4">
        <v>35</v>
      </c>
      <c r="AH7" s="4">
        <v>276</v>
      </c>
      <c r="AI7" s="4">
        <v>50</v>
      </c>
      <c r="AJ7" s="4">
        <v>214</v>
      </c>
      <c r="AK7" s="4">
        <v>19</v>
      </c>
      <c r="AL7" s="4">
        <v>170</v>
      </c>
      <c r="AM7" s="4">
        <v>25</v>
      </c>
      <c r="AN7" s="4">
        <v>147</v>
      </c>
      <c r="AO7" s="4">
        <v>16</v>
      </c>
      <c r="AP7" s="4">
        <v>106</v>
      </c>
      <c r="AQ7" s="4">
        <v>40</v>
      </c>
      <c r="AR7" s="4">
        <v>25</v>
      </c>
      <c r="AS7" s="4">
        <v>16</v>
      </c>
      <c r="AT7" s="4">
        <v>123</v>
      </c>
      <c r="AU7" s="4">
        <v>7</v>
      </c>
      <c r="AV7" s="4">
        <v>16</v>
      </c>
      <c r="AW7" s="4">
        <v>6</v>
      </c>
      <c r="AX7" s="4">
        <v>89</v>
      </c>
      <c r="AY7" s="4">
        <v>3</v>
      </c>
      <c r="AZ7" s="4">
        <v>19</v>
      </c>
      <c r="BA7" s="4">
        <v>132</v>
      </c>
      <c r="BB7" s="4">
        <v>47</v>
      </c>
      <c r="BC7" s="4">
        <v>19</v>
      </c>
      <c r="BD7" s="4">
        <v>3</v>
      </c>
      <c r="BE7" s="4">
        <v>130</v>
      </c>
      <c r="BF7" s="4">
        <v>93</v>
      </c>
      <c r="BG7" s="4">
        <v>41</v>
      </c>
      <c r="BH7" s="4">
        <v>48</v>
      </c>
      <c r="BI7" s="4">
        <v>21</v>
      </c>
      <c r="BJ7" s="4">
        <v>579</v>
      </c>
      <c r="BK7" s="4">
        <v>204</v>
      </c>
      <c r="BL7" s="4">
        <v>376</v>
      </c>
      <c r="BM7" s="4">
        <v>202</v>
      </c>
      <c r="BN7" s="4">
        <v>85</v>
      </c>
      <c r="BO7" s="4">
        <v>118</v>
      </c>
      <c r="BP7" s="4">
        <v>22</v>
      </c>
      <c r="BQ7" s="4">
        <v>7</v>
      </c>
      <c r="BR7" s="4">
        <v>16</v>
      </c>
      <c r="BS7" s="4">
        <v>354</v>
      </c>
      <c r="BT7" s="4">
        <v>112</v>
      </c>
      <c r="BU7" s="4">
        <v>242</v>
      </c>
      <c r="BV7" s="4">
        <v>0</v>
      </c>
      <c r="BW7" s="4">
        <v>17</v>
      </c>
      <c r="BX7" s="4">
        <v>23</v>
      </c>
      <c r="BY7" s="4">
        <v>37</v>
      </c>
      <c r="BZ7" s="4">
        <v>98</v>
      </c>
      <c r="CA7" s="4">
        <v>196</v>
      </c>
      <c r="CB7" s="4">
        <v>0</v>
      </c>
      <c r="CC7" s="4">
        <v>17</v>
      </c>
      <c r="CD7" s="4">
        <v>18</v>
      </c>
      <c r="CE7" s="4">
        <v>37</v>
      </c>
      <c r="CF7" s="4">
        <v>86</v>
      </c>
      <c r="CG7" s="4">
        <v>132</v>
      </c>
      <c r="CH7" s="4">
        <v>374</v>
      </c>
      <c r="CI7" s="4">
        <v>223</v>
      </c>
      <c r="CJ7" s="4">
        <v>151</v>
      </c>
      <c r="CK7" s="4">
        <v>340</v>
      </c>
      <c r="CL7" s="4">
        <v>203</v>
      </c>
      <c r="CM7" s="4">
        <v>137</v>
      </c>
      <c r="CN7" s="4">
        <v>34</v>
      </c>
      <c r="CO7" s="4">
        <v>20</v>
      </c>
      <c r="CP7" s="4">
        <v>13</v>
      </c>
      <c r="CQ7" s="4">
        <v>74</v>
      </c>
      <c r="CR7" s="4">
        <v>68</v>
      </c>
      <c r="CS7" s="4">
        <v>36</v>
      </c>
      <c r="CT7" s="4">
        <v>32</v>
      </c>
      <c r="CU7" s="4">
        <v>6</v>
      </c>
      <c r="CV7" s="4">
        <v>275</v>
      </c>
      <c r="CW7" s="4">
        <v>52</v>
      </c>
      <c r="CX7" s="4">
        <v>3</v>
      </c>
      <c r="CY7" s="4">
        <v>10</v>
      </c>
      <c r="CZ7" s="4">
        <v>0</v>
      </c>
      <c r="DA7" s="4">
        <v>24</v>
      </c>
      <c r="DB7" s="4">
        <v>9</v>
      </c>
      <c r="DC7" s="4">
        <v>0</v>
      </c>
      <c r="DD7" s="4">
        <v>153</v>
      </c>
      <c r="DE7" s="4">
        <v>221</v>
      </c>
      <c r="DF7" s="4">
        <v>175</v>
      </c>
      <c r="DG7" s="4">
        <v>0</v>
      </c>
      <c r="DH7" s="4">
        <v>9</v>
      </c>
      <c r="DI7" s="4">
        <v>36</v>
      </c>
      <c r="DJ7" s="4">
        <v>0</v>
      </c>
      <c r="DK7" s="4">
        <v>19</v>
      </c>
      <c r="DL7" s="4">
        <v>0</v>
      </c>
      <c r="DM7" s="4">
        <v>10</v>
      </c>
      <c r="DN7" s="4">
        <v>146</v>
      </c>
      <c r="DO7" s="4">
        <v>129</v>
      </c>
      <c r="DP7" s="4">
        <v>0.4</v>
      </c>
      <c r="DQ7" s="4">
        <v>1683</v>
      </c>
      <c r="DR7" s="4">
        <v>63.2</v>
      </c>
      <c r="DS7" s="4">
        <v>45.6</v>
      </c>
      <c r="DT7" s="4">
        <v>17.8</v>
      </c>
      <c r="DU7" s="4">
        <v>33.9</v>
      </c>
      <c r="DV7" s="4">
        <v>12.2</v>
      </c>
      <c r="DW7" s="4">
        <v>25.4</v>
      </c>
      <c r="DX7" s="4">
        <v>31.4</v>
      </c>
      <c r="DY7" s="4">
        <v>90.9</v>
      </c>
      <c r="DZ7" s="4">
        <v>40.299999999999997</v>
      </c>
      <c r="EA7" s="4">
        <v>80.900000000000006</v>
      </c>
      <c r="EB7" s="43">
        <v>45</v>
      </c>
    </row>
    <row r="8" spans="1:132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1622</v>
      </c>
      <c r="I8" s="4">
        <v>408</v>
      </c>
      <c r="J8" s="4">
        <v>1032</v>
      </c>
      <c r="K8" s="4">
        <v>182</v>
      </c>
      <c r="L8" s="4">
        <v>792</v>
      </c>
      <c r="M8" s="4">
        <v>212</v>
      </c>
      <c r="N8" s="4">
        <v>499</v>
      </c>
      <c r="O8" s="4">
        <v>81</v>
      </c>
      <c r="P8" s="4">
        <v>829</v>
      </c>
      <c r="Q8" s="4">
        <v>196</v>
      </c>
      <c r="R8" s="4">
        <v>533</v>
      </c>
      <c r="S8" s="4">
        <v>101</v>
      </c>
      <c r="T8" s="4">
        <v>1000</v>
      </c>
      <c r="U8" s="4">
        <v>112</v>
      </c>
      <c r="V8" s="4">
        <v>806</v>
      </c>
      <c r="W8" s="4">
        <v>82</v>
      </c>
      <c r="X8" s="4">
        <v>547</v>
      </c>
      <c r="Y8" s="4">
        <v>60</v>
      </c>
      <c r="Z8" s="4">
        <v>449</v>
      </c>
      <c r="AA8" s="4">
        <v>38</v>
      </c>
      <c r="AB8" s="4">
        <v>452</v>
      </c>
      <c r="AC8" s="4">
        <v>52</v>
      </c>
      <c r="AD8" s="4">
        <v>357</v>
      </c>
      <c r="AE8" s="4">
        <v>44</v>
      </c>
      <c r="AF8" s="4">
        <v>654</v>
      </c>
      <c r="AG8" s="4">
        <v>59</v>
      </c>
      <c r="AH8" s="4">
        <v>548</v>
      </c>
      <c r="AI8" s="4">
        <v>47</v>
      </c>
      <c r="AJ8" s="4">
        <v>375</v>
      </c>
      <c r="AK8" s="4">
        <v>26</v>
      </c>
      <c r="AL8" s="4">
        <v>335</v>
      </c>
      <c r="AM8" s="4">
        <v>15</v>
      </c>
      <c r="AN8" s="4">
        <v>278</v>
      </c>
      <c r="AO8" s="4">
        <v>33</v>
      </c>
      <c r="AP8" s="4">
        <v>213</v>
      </c>
      <c r="AQ8" s="4">
        <v>86</v>
      </c>
      <c r="AR8" s="4">
        <v>32</v>
      </c>
      <c r="AS8" s="4">
        <v>38</v>
      </c>
      <c r="AT8" s="4">
        <v>346</v>
      </c>
      <c r="AU8" s="4">
        <v>11</v>
      </c>
      <c r="AV8" s="4">
        <v>53</v>
      </c>
      <c r="AW8" s="4">
        <v>0</v>
      </c>
      <c r="AX8" s="4">
        <v>258</v>
      </c>
      <c r="AY8" s="4">
        <v>11</v>
      </c>
      <c r="AZ8" s="4">
        <v>35</v>
      </c>
      <c r="BA8" s="4">
        <v>390</v>
      </c>
      <c r="BB8" s="4">
        <v>180</v>
      </c>
      <c r="BC8" s="4">
        <v>33</v>
      </c>
      <c r="BD8" s="4">
        <v>20</v>
      </c>
      <c r="BE8" s="4">
        <v>250</v>
      </c>
      <c r="BF8" s="4">
        <v>167</v>
      </c>
      <c r="BG8" s="4">
        <v>77</v>
      </c>
      <c r="BH8" s="4">
        <v>50</v>
      </c>
      <c r="BI8" s="4">
        <v>33</v>
      </c>
      <c r="BJ8" s="4">
        <v>622</v>
      </c>
      <c r="BK8" s="4">
        <v>245</v>
      </c>
      <c r="BL8" s="4">
        <v>377</v>
      </c>
      <c r="BM8" s="4">
        <v>256</v>
      </c>
      <c r="BN8" s="4">
        <v>131</v>
      </c>
      <c r="BO8" s="4">
        <v>125</v>
      </c>
      <c r="BP8" s="4">
        <v>39</v>
      </c>
      <c r="BQ8" s="4">
        <v>18</v>
      </c>
      <c r="BR8" s="4">
        <v>21</v>
      </c>
      <c r="BS8" s="4">
        <v>327</v>
      </c>
      <c r="BT8" s="4">
        <v>96</v>
      </c>
      <c r="BU8" s="4">
        <v>231</v>
      </c>
      <c r="BV8" s="4">
        <v>0</v>
      </c>
      <c r="BW8" s="4">
        <v>18</v>
      </c>
      <c r="BX8" s="4">
        <v>25</v>
      </c>
      <c r="BY8" s="4">
        <v>156</v>
      </c>
      <c r="BZ8" s="4">
        <v>319</v>
      </c>
      <c r="CA8" s="4">
        <v>454</v>
      </c>
      <c r="CB8" s="4">
        <v>0</v>
      </c>
      <c r="CC8" s="4">
        <v>18</v>
      </c>
      <c r="CD8" s="4">
        <v>20</v>
      </c>
      <c r="CE8" s="4">
        <v>136</v>
      </c>
      <c r="CF8" s="4">
        <v>170</v>
      </c>
      <c r="CG8" s="4">
        <v>298</v>
      </c>
      <c r="CH8" s="4">
        <v>660</v>
      </c>
      <c r="CI8" s="4">
        <v>379</v>
      </c>
      <c r="CJ8" s="4">
        <v>282</v>
      </c>
      <c r="CK8" s="4">
        <v>599</v>
      </c>
      <c r="CL8" s="4">
        <v>341</v>
      </c>
      <c r="CM8" s="4">
        <v>258</v>
      </c>
      <c r="CN8" s="4">
        <v>61</v>
      </c>
      <c r="CO8" s="4">
        <v>38</v>
      </c>
      <c r="CP8" s="4">
        <v>23</v>
      </c>
      <c r="CQ8" s="4">
        <v>134</v>
      </c>
      <c r="CR8" s="4">
        <v>112</v>
      </c>
      <c r="CS8" s="4">
        <v>40</v>
      </c>
      <c r="CT8" s="4">
        <v>72</v>
      </c>
      <c r="CU8" s="4">
        <v>22</v>
      </c>
      <c r="CV8" s="4">
        <v>464</v>
      </c>
      <c r="CW8" s="4">
        <v>73</v>
      </c>
      <c r="CX8" s="4">
        <v>27</v>
      </c>
      <c r="CY8" s="4">
        <v>6</v>
      </c>
      <c r="CZ8" s="4">
        <v>29</v>
      </c>
      <c r="DA8" s="4">
        <v>47</v>
      </c>
      <c r="DB8" s="4">
        <v>14</v>
      </c>
      <c r="DC8" s="4">
        <v>0</v>
      </c>
      <c r="DD8" s="4">
        <v>236</v>
      </c>
      <c r="DE8" s="4">
        <v>424</v>
      </c>
      <c r="DF8" s="4">
        <v>338</v>
      </c>
      <c r="DG8" s="4">
        <v>10</v>
      </c>
      <c r="DH8" s="4">
        <v>16</v>
      </c>
      <c r="DI8" s="4">
        <v>61</v>
      </c>
      <c r="DJ8" s="4">
        <v>18</v>
      </c>
      <c r="DK8" s="4">
        <v>68</v>
      </c>
      <c r="DL8" s="4">
        <v>8</v>
      </c>
      <c r="DM8" s="4">
        <v>12</v>
      </c>
      <c r="DN8" s="4">
        <v>430</v>
      </c>
      <c r="DO8" s="4">
        <v>113</v>
      </c>
      <c r="DP8" s="4">
        <v>0.9</v>
      </c>
      <c r="DQ8" s="4">
        <v>2609</v>
      </c>
      <c r="DR8" s="4">
        <v>62.2</v>
      </c>
      <c r="DS8" s="4">
        <v>61.7</v>
      </c>
      <c r="DT8" s="4">
        <v>27.5</v>
      </c>
      <c r="DU8" s="4">
        <v>40.299999999999997</v>
      </c>
      <c r="DV8" s="4">
        <v>14.5</v>
      </c>
      <c r="DW8" s="4">
        <v>34.6</v>
      </c>
      <c r="DX8" s="4">
        <v>47.3</v>
      </c>
      <c r="DY8" s="4">
        <v>90.8</v>
      </c>
      <c r="DZ8" s="4">
        <v>43.1</v>
      </c>
      <c r="EA8" s="4">
        <v>77.5</v>
      </c>
      <c r="EB8" s="43">
        <v>39.4</v>
      </c>
    </row>
    <row r="9" spans="1:132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1263</v>
      </c>
      <c r="I9" s="4">
        <v>301</v>
      </c>
      <c r="J9" s="4">
        <v>811</v>
      </c>
      <c r="K9" s="4">
        <v>151</v>
      </c>
      <c r="L9" s="4">
        <v>626</v>
      </c>
      <c r="M9" s="4">
        <v>141</v>
      </c>
      <c r="N9" s="4">
        <v>401</v>
      </c>
      <c r="O9" s="4">
        <v>84</v>
      </c>
      <c r="P9" s="4">
        <v>637</v>
      </c>
      <c r="Q9" s="4">
        <v>161</v>
      </c>
      <c r="R9" s="4">
        <v>409</v>
      </c>
      <c r="S9" s="4">
        <v>67</v>
      </c>
      <c r="T9" s="4">
        <v>783</v>
      </c>
      <c r="U9" s="4">
        <v>90</v>
      </c>
      <c r="V9" s="4">
        <v>602</v>
      </c>
      <c r="W9" s="4">
        <v>91</v>
      </c>
      <c r="X9" s="4">
        <v>463</v>
      </c>
      <c r="Y9" s="4">
        <v>48</v>
      </c>
      <c r="Z9" s="4">
        <v>357</v>
      </c>
      <c r="AA9" s="4">
        <v>57</v>
      </c>
      <c r="AB9" s="4">
        <v>321</v>
      </c>
      <c r="AC9" s="4">
        <v>42</v>
      </c>
      <c r="AD9" s="4">
        <v>245</v>
      </c>
      <c r="AE9" s="4">
        <v>34</v>
      </c>
      <c r="AF9" s="4">
        <v>506</v>
      </c>
      <c r="AG9" s="4">
        <v>45</v>
      </c>
      <c r="AH9" s="4">
        <v>410</v>
      </c>
      <c r="AI9" s="4">
        <v>50</v>
      </c>
      <c r="AJ9" s="4">
        <v>312</v>
      </c>
      <c r="AK9" s="4">
        <v>23</v>
      </c>
      <c r="AL9" s="4">
        <v>256</v>
      </c>
      <c r="AM9" s="4">
        <v>33</v>
      </c>
      <c r="AN9" s="4">
        <v>194</v>
      </c>
      <c r="AO9" s="4">
        <v>22</v>
      </c>
      <c r="AP9" s="4">
        <v>154</v>
      </c>
      <c r="AQ9" s="4">
        <v>78</v>
      </c>
      <c r="AR9" s="4">
        <v>18</v>
      </c>
      <c r="AS9" s="4">
        <v>51</v>
      </c>
      <c r="AT9" s="4">
        <v>277</v>
      </c>
      <c r="AU9" s="4">
        <v>7</v>
      </c>
      <c r="AV9" s="4">
        <v>45</v>
      </c>
      <c r="AW9" s="4">
        <v>7</v>
      </c>
      <c r="AX9" s="4">
        <v>192</v>
      </c>
      <c r="AY9" s="4">
        <v>3</v>
      </c>
      <c r="AZ9" s="4">
        <v>41</v>
      </c>
      <c r="BA9" s="4">
        <v>287</v>
      </c>
      <c r="BB9" s="4">
        <v>129</v>
      </c>
      <c r="BC9" s="4">
        <v>13</v>
      </c>
      <c r="BD9" s="4">
        <v>3</v>
      </c>
      <c r="BE9" s="4">
        <v>203</v>
      </c>
      <c r="BF9" s="4">
        <v>171</v>
      </c>
      <c r="BG9" s="4">
        <v>65</v>
      </c>
      <c r="BH9" s="4">
        <v>26</v>
      </c>
      <c r="BI9" s="4">
        <v>18</v>
      </c>
      <c r="BJ9" s="4">
        <v>480</v>
      </c>
      <c r="BK9" s="4">
        <v>164</v>
      </c>
      <c r="BL9" s="4">
        <v>316</v>
      </c>
      <c r="BM9" s="4">
        <v>165</v>
      </c>
      <c r="BN9" s="4">
        <v>83</v>
      </c>
      <c r="BO9" s="4">
        <v>82</v>
      </c>
      <c r="BP9" s="4">
        <v>22</v>
      </c>
      <c r="BQ9" s="4">
        <v>13</v>
      </c>
      <c r="BR9" s="4">
        <v>8</v>
      </c>
      <c r="BS9" s="4">
        <v>294</v>
      </c>
      <c r="BT9" s="4">
        <v>68</v>
      </c>
      <c r="BU9" s="4">
        <v>226</v>
      </c>
      <c r="BV9" s="4">
        <v>0</v>
      </c>
      <c r="BW9" s="4">
        <v>17</v>
      </c>
      <c r="BX9" s="4">
        <v>31</v>
      </c>
      <c r="BY9" s="4">
        <v>131</v>
      </c>
      <c r="BZ9" s="4">
        <v>203</v>
      </c>
      <c r="CA9" s="4">
        <v>332</v>
      </c>
      <c r="CB9" s="4">
        <v>0</v>
      </c>
      <c r="CC9" s="4">
        <v>13</v>
      </c>
      <c r="CD9" s="4">
        <v>31</v>
      </c>
      <c r="CE9" s="4">
        <v>111</v>
      </c>
      <c r="CF9" s="4">
        <v>110</v>
      </c>
      <c r="CG9" s="4">
        <v>186</v>
      </c>
      <c r="CH9" s="4">
        <v>519</v>
      </c>
      <c r="CI9" s="4">
        <v>316</v>
      </c>
      <c r="CJ9" s="4">
        <v>203</v>
      </c>
      <c r="CK9" s="4">
        <v>477</v>
      </c>
      <c r="CL9" s="4">
        <v>292</v>
      </c>
      <c r="CM9" s="4">
        <v>185</v>
      </c>
      <c r="CN9" s="4">
        <v>42</v>
      </c>
      <c r="CO9" s="4">
        <v>24</v>
      </c>
      <c r="CP9" s="4">
        <v>18</v>
      </c>
      <c r="CQ9" s="4">
        <v>105</v>
      </c>
      <c r="CR9" s="4">
        <v>99</v>
      </c>
      <c r="CS9" s="4">
        <v>48</v>
      </c>
      <c r="CT9" s="4">
        <v>51</v>
      </c>
      <c r="CU9" s="4">
        <v>6</v>
      </c>
      <c r="CV9" s="4">
        <v>346</v>
      </c>
      <c r="CW9" s="4">
        <v>67</v>
      </c>
      <c r="CX9" s="4">
        <v>43</v>
      </c>
      <c r="CY9" s="4">
        <v>6</v>
      </c>
      <c r="CZ9" s="4">
        <v>15</v>
      </c>
      <c r="DA9" s="4">
        <v>30</v>
      </c>
      <c r="DB9" s="4">
        <v>11</v>
      </c>
      <c r="DC9" s="4">
        <v>0</v>
      </c>
      <c r="DD9" s="4">
        <v>183</v>
      </c>
      <c r="DE9" s="4">
        <v>336</v>
      </c>
      <c r="DF9" s="4">
        <v>282</v>
      </c>
      <c r="DG9" s="4">
        <v>10</v>
      </c>
      <c r="DH9" s="4">
        <v>4</v>
      </c>
      <c r="DI9" s="4">
        <v>41</v>
      </c>
      <c r="DJ9" s="4">
        <v>4</v>
      </c>
      <c r="DK9" s="4">
        <v>21</v>
      </c>
      <c r="DL9" s="4">
        <v>17</v>
      </c>
      <c r="DM9" s="4">
        <v>3</v>
      </c>
      <c r="DN9" s="4">
        <v>363</v>
      </c>
      <c r="DO9" s="4">
        <v>48</v>
      </c>
      <c r="DP9" s="4">
        <v>0.4</v>
      </c>
      <c r="DQ9" s="4">
        <v>2224</v>
      </c>
      <c r="DR9" s="4">
        <v>56.8</v>
      </c>
      <c r="DS9" s="4">
        <v>62</v>
      </c>
      <c r="DT9" s="4">
        <v>29.9</v>
      </c>
      <c r="DU9" s="4">
        <v>40.1</v>
      </c>
      <c r="DV9" s="4">
        <v>15</v>
      </c>
      <c r="DW9" s="4">
        <v>35.4</v>
      </c>
      <c r="DX9" s="4">
        <v>50</v>
      </c>
      <c r="DY9" s="4">
        <v>91.9</v>
      </c>
      <c r="DZ9" s="4">
        <v>38.799999999999997</v>
      </c>
      <c r="EA9" s="4">
        <v>72.5</v>
      </c>
      <c r="EB9" s="43">
        <v>38.4</v>
      </c>
    </row>
    <row r="10" spans="1:132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2181</v>
      </c>
      <c r="I10" s="4">
        <v>652</v>
      </c>
      <c r="J10" s="4">
        <v>1249</v>
      </c>
      <c r="K10" s="4">
        <v>280</v>
      </c>
      <c r="L10" s="4">
        <v>1088</v>
      </c>
      <c r="M10" s="4">
        <v>347</v>
      </c>
      <c r="N10" s="4">
        <v>616</v>
      </c>
      <c r="O10" s="4">
        <v>125</v>
      </c>
      <c r="P10" s="4">
        <v>1093</v>
      </c>
      <c r="Q10" s="4">
        <v>305</v>
      </c>
      <c r="R10" s="4">
        <v>633</v>
      </c>
      <c r="S10" s="4">
        <v>155</v>
      </c>
      <c r="T10" s="4">
        <v>1097</v>
      </c>
      <c r="U10" s="4">
        <v>195</v>
      </c>
      <c r="V10" s="4">
        <v>787</v>
      </c>
      <c r="W10" s="4">
        <v>114</v>
      </c>
      <c r="X10" s="4">
        <v>697</v>
      </c>
      <c r="Y10" s="4">
        <v>124</v>
      </c>
      <c r="Z10" s="4">
        <v>502</v>
      </c>
      <c r="AA10" s="4">
        <v>72</v>
      </c>
      <c r="AB10" s="4">
        <v>400</v>
      </c>
      <c r="AC10" s="4">
        <v>71</v>
      </c>
      <c r="AD10" s="4">
        <v>286</v>
      </c>
      <c r="AE10" s="4">
        <v>43</v>
      </c>
      <c r="AF10" s="4">
        <v>709</v>
      </c>
      <c r="AG10" s="4">
        <v>128</v>
      </c>
      <c r="AH10" s="4">
        <v>507</v>
      </c>
      <c r="AI10" s="4">
        <v>74</v>
      </c>
      <c r="AJ10" s="4">
        <v>456</v>
      </c>
      <c r="AK10" s="4">
        <v>84</v>
      </c>
      <c r="AL10" s="4">
        <v>325</v>
      </c>
      <c r="AM10" s="4">
        <v>46</v>
      </c>
      <c r="AN10" s="4">
        <v>253</v>
      </c>
      <c r="AO10" s="4">
        <v>43</v>
      </c>
      <c r="AP10" s="4">
        <v>182</v>
      </c>
      <c r="AQ10" s="4">
        <v>52</v>
      </c>
      <c r="AR10" s="4">
        <v>28</v>
      </c>
      <c r="AS10" s="4">
        <v>105</v>
      </c>
      <c r="AT10" s="4">
        <v>388</v>
      </c>
      <c r="AU10" s="4">
        <v>15</v>
      </c>
      <c r="AV10" s="4">
        <v>67</v>
      </c>
      <c r="AW10" s="4">
        <v>8</v>
      </c>
      <c r="AX10" s="4">
        <v>281</v>
      </c>
      <c r="AY10" s="4">
        <v>3</v>
      </c>
      <c r="AZ10" s="4">
        <v>40</v>
      </c>
      <c r="BA10" s="4">
        <v>385</v>
      </c>
      <c r="BB10" s="4">
        <v>177</v>
      </c>
      <c r="BC10" s="4">
        <v>66</v>
      </c>
      <c r="BD10" s="4">
        <v>28</v>
      </c>
      <c r="BE10" s="4">
        <v>196</v>
      </c>
      <c r="BF10" s="4">
        <v>272</v>
      </c>
      <c r="BG10" s="4">
        <v>91</v>
      </c>
      <c r="BH10" s="4">
        <v>50</v>
      </c>
      <c r="BI10" s="4">
        <v>37</v>
      </c>
      <c r="BJ10" s="4">
        <v>1084</v>
      </c>
      <c r="BK10" s="4">
        <v>391</v>
      </c>
      <c r="BL10" s="4">
        <v>693</v>
      </c>
      <c r="BM10" s="4">
        <v>381</v>
      </c>
      <c r="BN10" s="4">
        <v>190</v>
      </c>
      <c r="BO10" s="4">
        <v>191</v>
      </c>
      <c r="BP10" s="4">
        <v>44</v>
      </c>
      <c r="BQ10" s="4">
        <v>11</v>
      </c>
      <c r="BR10" s="4">
        <v>33</v>
      </c>
      <c r="BS10" s="4">
        <v>659</v>
      </c>
      <c r="BT10" s="4">
        <v>191</v>
      </c>
      <c r="BU10" s="4">
        <v>469</v>
      </c>
      <c r="BV10" s="4">
        <v>0</v>
      </c>
      <c r="BW10" s="4">
        <v>22</v>
      </c>
      <c r="BX10" s="4">
        <v>45</v>
      </c>
      <c r="BY10" s="4">
        <v>135</v>
      </c>
      <c r="BZ10" s="4">
        <v>315</v>
      </c>
      <c r="CA10" s="4">
        <v>493</v>
      </c>
      <c r="CB10" s="4">
        <v>0</v>
      </c>
      <c r="CC10" s="4">
        <v>19</v>
      </c>
      <c r="CD10" s="4">
        <v>45</v>
      </c>
      <c r="CE10" s="4">
        <v>105</v>
      </c>
      <c r="CF10" s="4">
        <v>234</v>
      </c>
      <c r="CG10" s="4">
        <v>317</v>
      </c>
      <c r="CH10" s="4">
        <v>722</v>
      </c>
      <c r="CI10" s="4">
        <v>463</v>
      </c>
      <c r="CJ10" s="4">
        <v>260</v>
      </c>
      <c r="CK10" s="4">
        <v>694</v>
      </c>
      <c r="CL10" s="4">
        <v>435</v>
      </c>
      <c r="CM10" s="4">
        <v>259</v>
      </c>
      <c r="CN10" s="4">
        <v>29</v>
      </c>
      <c r="CO10" s="4">
        <v>28</v>
      </c>
      <c r="CP10" s="4">
        <v>1</v>
      </c>
      <c r="CQ10" s="4">
        <v>172</v>
      </c>
      <c r="CR10" s="4">
        <v>172</v>
      </c>
      <c r="CS10" s="4">
        <v>92</v>
      </c>
      <c r="CT10" s="4">
        <v>81</v>
      </c>
      <c r="CU10" s="4">
        <v>0</v>
      </c>
      <c r="CV10" s="4">
        <v>505</v>
      </c>
      <c r="CW10" s="4">
        <v>157</v>
      </c>
      <c r="CX10" s="4">
        <v>14</v>
      </c>
      <c r="CY10" s="4">
        <v>18</v>
      </c>
      <c r="CZ10" s="4">
        <v>0</v>
      </c>
      <c r="DA10" s="4">
        <v>18</v>
      </c>
      <c r="DB10" s="4">
        <v>11</v>
      </c>
      <c r="DC10" s="4">
        <v>0</v>
      </c>
      <c r="DD10" s="4">
        <v>251</v>
      </c>
      <c r="DE10" s="4">
        <v>471</v>
      </c>
      <c r="DF10" s="4">
        <v>390</v>
      </c>
      <c r="DG10" s="4">
        <v>10</v>
      </c>
      <c r="DH10" s="4">
        <v>11</v>
      </c>
      <c r="DI10" s="4">
        <v>60</v>
      </c>
      <c r="DJ10" s="4">
        <v>5</v>
      </c>
      <c r="DK10" s="4">
        <v>34</v>
      </c>
      <c r="DL10" s="4">
        <v>41</v>
      </c>
      <c r="DM10" s="4">
        <v>0</v>
      </c>
      <c r="DN10" s="4">
        <v>496</v>
      </c>
      <c r="DO10" s="4">
        <v>159</v>
      </c>
      <c r="DP10" s="4">
        <v>0.6</v>
      </c>
      <c r="DQ10" s="4">
        <v>3518</v>
      </c>
      <c r="DR10" s="4">
        <v>62</v>
      </c>
      <c r="DS10" s="4">
        <v>50.3</v>
      </c>
      <c r="DT10" s="4">
        <v>29.9</v>
      </c>
      <c r="DU10" s="4">
        <v>32.5</v>
      </c>
      <c r="DV10" s="4">
        <v>19.600000000000001</v>
      </c>
      <c r="DW10" s="4">
        <v>35.4</v>
      </c>
      <c r="DX10" s="4">
        <v>34.4</v>
      </c>
      <c r="DY10" s="4">
        <v>96.1</v>
      </c>
      <c r="DZ10" s="4">
        <v>37.299999999999997</v>
      </c>
      <c r="EA10" s="4">
        <v>72.8</v>
      </c>
      <c r="EB10" s="43">
        <v>36.200000000000003</v>
      </c>
    </row>
    <row r="11" spans="1:132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1473</v>
      </c>
      <c r="I11" s="4">
        <v>390</v>
      </c>
      <c r="J11" s="4">
        <v>900</v>
      </c>
      <c r="K11" s="4">
        <v>184</v>
      </c>
      <c r="L11" s="4">
        <v>718</v>
      </c>
      <c r="M11" s="4">
        <v>163</v>
      </c>
      <c r="N11" s="4">
        <v>456</v>
      </c>
      <c r="O11" s="4">
        <v>99</v>
      </c>
      <c r="P11" s="4">
        <v>755</v>
      </c>
      <c r="Q11" s="4">
        <v>227</v>
      </c>
      <c r="R11" s="4">
        <v>444</v>
      </c>
      <c r="S11" s="4">
        <v>85</v>
      </c>
      <c r="T11" s="4">
        <v>862</v>
      </c>
      <c r="U11" s="4">
        <v>113</v>
      </c>
      <c r="V11" s="4">
        <v>665</v>
      </c>
      <c r="W11" s="4">
        <v>83</v>
      </c>
      <c r="X11" s="4">
        <v>493</v>
      </c>
      <c r="Y11" s="4">
        <v>43</v>
      </c>
      <c r="Z11" s="4">
        <v>393</v>
      </c>
      <c r="AA11" s="4">
        <v>57</v>
      </c>
      <c r="AB11" s="4">
        <v>369</v>
      </c>
      <c r="AC11" s="4">
        <v>70</v>
      </c>
      <c r="AD11" s="4">
        <v>273</v>
      </c>
      <c r="AE11" s="4">
        <v>26</v>
      </c>
      <c r="AF11" s="4">
        <v>608</v>
      </c>
      <c r="AG11" s="4">
        <v>66</v>
      </c>
      <c r="AH11" s="4">
        <v>482</v>
      </c>
      <c r="AI11" s="4">
        <v>60</v>
      </c>
      <c r="AJ11" s="4">
        <v>368</v>
      </c>
      <c r="AK11" s="4">
        <v>31</v>
      </c>
      <c r="AL11" s="4">
        <v>293</v>
      </c>
      <c r="AM11" s="4">
        <v>44</v>
      </c>
      <c r="AN11" s="4">
        <v>240</v>
      </c>
      <c r="AO11" s="4">
        <v>35</v>
      </c>
      <c r="AP11" s="4">
        <v>188</v>
      </c>
      <c r="AQ11" s="4">
        <v>52</v>
      </c>
      <c r="AR11" s="4">
        <v>16</v>
      </c>
      <c r="AS11" s="4">
        <v>50</v>
      </c>
      <c r="AT11" s="4">
        <v>254</v>
      </c>
      <c r="AU11" s="4">
        <v>6</v>
      </c>
      <c r="AV11" s="4">
        <v>47</v>
      </c>
      <c r="AW11" s="4">
        <v>5</v>
      </c>
      <c r="AX11" s="4">
        <v>184</v>
      </c>
      <c r="AY11" s="4">
        <v>26</v>
      </c>
      <c r="AZ11" s="4">
        <v>23</v>
      </c>
      <c r="BA11" s="4">
        <v>296</v>
      </c>
      <c r="BB11" s="4">
        <v>106</v>
      </c>
      <c r="BC11" s="4">
        <v>26</v>
      </c>
      <c r="BD11" s="4">
        <v>8</v>
      </c>
      <c r="BE11" s="4">
        <v>170</v>
      </c>
      <c r="BF11" s="4">
        <v>173</v>
      </c>
      <c r="BG11" s="4">
        <v>47</v>
      </c>
      <c r="BH11" s="4">
        <v>41</v>
      </c>
      <c r="BI11" s="4">
        <v>109</v>
      </c>
      <c r="BJ11" s="4">
        <v>612</v>
      </c>
      <c r="BK11" s="4">
        <v>225</v>
      </c>
      <c r="BL11" s="4">
        <v>386</v>
      </c>
      <c r="BM11" s="4">
        <v>214</v>
      </c>
      <c r="BN11" s="4">
        <v>79</v>
      </c>
      <c r="BO11" s="4">
        <v>135</v>
      </c>
      <c r="BP11" s="4">
        <v>63</v>
      </c>
      <c r="BQ11" s="4">
        <v>35</v>
      </c>
      <c r="BR11" s="4">
        <v>28</v>
      </c>
      <c r="BS11" s="4">
        <v>334</v>
      </c>
      <c r="BT11" s="4">
        <v>111</v>
      </c>
      <c r="BU11" s="4">
        <v>223</v>
      </c>
      <c r="BV11" s="4">
        <v>0</v>
      </c>
      <c r="BW11" s="4">
        <v>47</v>
      </c>
      <c r="BX11" s="4">
        <v>95</v>
      </c>
      <c r="BY11" s="4">
        <v>125</v>
      </c>
      <c r="BZ11" s="4">
        <v>210</v>
      </c>
      <c r="CA11" s="4">
        <v>374</v>
      </c>
      <c r="CB11" s="4">
        <v>0</v>
      </c>
      <c r="CC11" s="4">
        <v>42</v>
      </c>
      <c r="CD11" s="4">
        <v>90</v>
      </c>
      <c r="CE11" s="4">
        <v>81</v>
      </c>
      <c r="CF11" s="4">
        <v>138</v>
      </c>
      <c r="CG11" s="4">
        <v>254</v>
      </c>
      <c r="CH11" s="4">
        <v>612</v>
      </c>
      <c r="CI11" s="4">
        <v>372</v>
      </c>
      <c r="CJ11" s="4">
        <v>240</v>
      </c>
      <c r="CK11" s="4">
        <v>522</v>
      </c>
      <c r="CL11" s="4">
        <v>305</v>
      </c>
      <c r="CM11" s="4">
        <v>217</v>
      </c>
      <c r="CN11" s="4">
        <v>90</v>
      </c>
      <c r="CO11" s="4">
        <v>67</v>
      </c>
      <c r="CP11" s="4">
        <v>23</v>
      </c>
      <c r="CQ11" s="4">
        <v>161</v>
      </c>
      <c r="CR11" s="4">
        <v>141</v>
      </c>
      <c r="CS11" s="4">
        <v>46</v>
      </c>
      <c r="CT11" s="4">
        <v>95</v>
      </c>
      <c r="CU11" s="4">
        <v>19</v>
      </c>
      <c r="CV11" s="4">
        <v>397</v>
      </c>
      <c r="CW11" s="4">
        <v>74</v>
      </c>
      <c r="CX11" s="4">
        <v>44</v>
      </c>
      <c r="CY11" s="4">
        <v>3</v>
      </c>
      <c r="CZ11" s="4">
        <v>3</v>
      </c>
      <c r="DA11" s="4">
        <v>67</v>
      </c>
      <c r="DB11" s="4">
        <v>16</v>
      </c>
      <c r="DC11" s="4">
        <v>7</v>
      </c>
      <c r="DD11" s="4">
        <v>218</v>
      </c>
      <c r="DE11" s="4">
        <v>394</v>
      </c>
      <c r="DF11" s="4">
        <v>336</v>
      </c>
      <c r="DG11" s="4">
        <v>10</v>
      </c>
      <c r="DH11" s="4">
        <v>11</v>
      </c>
      <c r="DI11" s="4">
        <v>37</v>
      </c>
      <c r="DJ11" s="4">
        <v>21</v>
      </c>
      <c r="DK11" s="4">
        <v>22</v>
      </c>
      <c r="DL11" s="4">
        <v>14</v>
      </c>
      <c r="DM11" s="4">
        <v>5</v>
      </c>
      <c r="DN11" s="4">
        <v>417</v>
      </c>
      <c r="DO11" s="4">
        <v>131</v>
      </c>
      <c r="DP11" s="4">
        <v>0.2</v>
      </c>
      <c r="DQ11" s="4">
        <v>2462</v>
      </c>
      <c r="DR11" s="4">
        <v>59.8</v>
      </c>
      <c r="DS11" s="4">
        <v>58.5</v>
      </c>
      <c r="DT11" s="4">
        <v>29</v>
      </c>
      <c r="DU11" s="4">
        <v>41.3</v>
      </c>
      <c r="DV11" s="4">
        <v>16.899999999999999</v>
      </c>
      <c r="DW11" s="4">
        <v>29.5</v>
      </c>
      <c r="DX11" s="4">
        <v>41.6</v>
      </c>
      <c r="DY11" s="4">
        <v>85.3</v>
      </c>
      <c r="DZ11" s="4">
        <v>41.6</v>
      </c>
      <c r="EA11" s="4">
        <v>76.099999999999994</v>
      </c>
      <c r="EB11" s="43">
        <v>41.8</v>
      </c>
    </row>
    <row r="12" spans="1:132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1639</v>
      </c>
      <c r="I12" s="4">
        <v>455</v>
      </c>
      <c r="J12" s="4">
        <v>928</v>
      </c>
      <c r="K12" s="4">
        <v>256</v>
      </c>
      <c r="L12" s="4">
        <v>736</v>
      </c>
      <c r="M12" s="4">
        <v>209</v>
      </c>
      <c r="N12" s="4">
        <v>392</v>
      </c>
      <c r="O12" s="4">
        <v>134</v>
      </c>
      <c r="P12" s="4">
        <v>903</v>
      </c>
      <c r="Q12" s="4">
        <v>246</v>
      </c>
      <c r="R12" s="4">
        <v>535</v>
      </c>
      <c r="S12" s="4">
        <v>122</v>
      </c>
      <c r="T12" s="4">
        <v>906</v>
      </c>
      <c r="U12" s="4">
        <v>115</v>
      </c>
      <c r="V12" s="4">
        <v>660</v>
      </c>
      <c r="W12" s="4">
        <v>131</v>
      </c>
      <c r="X12" s="4">
        <v>490</v>
      </c>
      <c r="Y12" s="4">
        <v>65</v>
      </c>
      <c r="Z12" s="4">
        <v>346</v>
      </c>
      <c r="AA12" s="4">
        <v>78</v>
      </c>
      <c r="AB12" s="4">
        <v>416</v>
      </c>
      <c r="AC12" s="4">
        <v>50</v>
      </c>
      <c r="AD12" s="4">
        <v>313</v>
      </c>
      <c r="AE12" s="4">
        <v>52</v>
      </c>
      <c r="AF12" s="4">
        <v>597</v>
      </c>
      <c r="AG12" s="4">
        <v>55</v>
      </c>
      <c r="AH12" s="4">
        <v>445</v>
      </c>
      <c r="AI12" s="4">
        <v>96</v>
      </c>
      <c r="AJ12" s="4">
        <v>329</v>
      </c>
      <c r="AK12" s="4">
        <v>32</v>
      </c>
      <c r="AL12" s="4">
        <v>244</v>
      </c>
      <c r="AM12" s="4">
        <v>53</v>
      </c>
      <c r="AN12" s="4">
        <v>268</v>
      </c>
      <c r="AO12" s="4">
        <v>24</v>
      </c>
      <c r="AP12" s="4">
        <v>201</v>
      </c>
      <c r="AQ12" s="4">
        <v>72</v>
      </c>
      <c r="AR12" s="4">
        <v>43</v>
      </c>
      <c r="AS12" s="4">
        <v>44</v>
      </c>
      <c r="AT12" s="4">
        <v>309</v>
      </c>
      <c r="AU12" s="4">
        <v>20</v>
      </c>
      <c r="AV12" s="4">
        <v>60</v>
      </c>
      <c r="AW12" s="4">
        <v>11</v>
      </c>
      <c r="AX12" s="4">
        <v>214</v>
      </c>
      <c r="AY12" s="4">
        <v>6</v>
      </c>
      <c r="AZ12" s="4">
        <v>35</v>
      </c>
      <c r="BA12" s="4">
        <v>327</v>
      </c>
      <c r="BB12" s="4">
        <v>140</v>
      </c>
      <c r="BC12" s="4">
        <v>53</v>
      </c>
      <c r="BD12" s="4">
        <v>17</v>
      </c>
      <c r="BE12" s="4">
        <v>207</v>
      </c>
      <c r="BF12" s="4">
        <v>161</v>
      </c>
      <c r="BG12" s="4">
        <v>61</v>
      </c>
      <c r="BH12" s="4">
        <v>49</v>
      </c>
      <c r="BI12" s="4">
        <v>48</v>
      </c>
      <c r="BJ12" s="4">
        <v>733</v>
      </c>
      <c r="BK12" s="4">
        <v>246</v>
      </c>
      <c r="BL12" s="4">
        <v>487</v>
      </c>
      <c r="BM12" s="4">
        <v>288</v>
      </c>
      <c r="BN12" s="4">
        <v>136</v>
      </c>
      <c r="BO12" s="4">
        <v>153</v>
      </c>
      <c r="BP12" s="4">
        <v>39</v>
      </c>
      <c r="BQ12" s="4">
        <v>17</v>
      </c>
      <c r="BR12" s="4">
        <v>21</v>
      </c>
      <c r="BS12" s="4">
        <v>406</v>
      </c>
      <c r="BT12" s="4">
        <v>93</v>
      </c>
      <c r="BU12" s="4">
        <v>313</v>
      </c>
      <c r="BV12" s="4">
        <v>0</v>
      </c>
      <c r="BW12" s="4">
        <v>43</v>
      </c>
      <c r="BX12" s="4">
        <v>35</v>
      </c>
      <c r="BY12" s="4">
        <v>107</v>
      </c>
      <c r="BZ12" s="4">
        <v>293</v>
      </c>
      <c r="CA12" s="4">
        <v>382</v>
      </c>
      <c r="CB12" s="4">
        <v>0</v>
      </c>
      <c r="CC12" s="4">
        <v>43</v>
      </c>
      <c r="CD12" s="4">
        <v>25</v>
      </c>
      <c r="CE12" s="4">
        <v>84</v>
      </c>
      <c r="CF12" s="4">
        <v>204</v>
      </c>
      <c r="CG12" s="4">
        <v>241</v>
      </c>
      <c r="CH12" s="4">
        <v>609</v>
      </c>
      <c r="CI12" s="4">
        <v>338</v>
      </c>
      <c r="CJ12" s="4">
        <v>270</v>
      </c>
      <c r="CK12" s="4">
        <v>548</v>
      </c>
      <c r="CL12" s="4">
        <v>299</v>
      </c>
      <c r="CM12" s="4">
        <v>249</v>
      </c>
      <c r="CN12" s="4">
        <v>61</v>
      </c>
      <c r="CO12" s="4">
        <v>40</v>
      </c>
      <c r="CP12" s="4">
        <v>21</v>
      </c>
      <c r="CQ12" s="4">
        <v>158</v>
      </c>
      <c r="CR12" s="4">
        <v>143</v>
      </c>
      <c r="CS12" s="4">
        <v>65</v>
      </c>
      <c r="CT12" s="4">
        <v>78</v>
      </c>
      <c r="CU12" s="4">
        <v>15</v>
      </c>
      <c r="CV12" s="4">
        <v>381</v>
      </c>
      <c r="CW12" s="4">
        <v>99</v>
      </c>
      <c r="CX12" s="4">
        <v>47</v>
      </c>
      <c r="CY12" s="4">
        <v>11</v>
      </c>
      <c r="CZ12" s="4">
        <v>11</v>
      </c>
      <c r="DA12" s="4">
        <v>52</v>
      </c>
      <c r="DB12" s="4">
        <v>9</v>
      </c>
      <c r="DC12" s="4">
        <v>0</v>
      </c>
      <c r="DD12" s="4">
        <v>214</v>
      </c>
      <c r="DE12" s="4">
        <v>395</v>
      </c>
      <c r="DF12" s="4">
        <v>350</v>
      </c>
      <c r="DG12" s="4">
        <v>0</v>
      </c>
      <c r="DH12" s="4">
        <v>3</v>
      </c>
      <c r="DI12" s="4">
        <v>42</v>
      </c>
      <c r="DJ12" s="4">
        <v>10</v>
      </c>
      <c r="DK12" s="4">
        <v>58</v>
      </c>
      <c r="DL12" s="4">
        <v>4</v>
      </c>
      <c r="DM12" s="4">
        <v>0</v>
      </c>
      <c r="DN12" s="4">
        <v>375</v>
      </c>
      <c r="DO12" s="4">
        <v>164</v>
      </c>
      <c r="DP12" s="4">
        <v>0.3</v>
      </c>
      <c r="DQ12" s="4">
        <v>2783</v>
      </c>
      <c r="DR12" s="4">
        <v>58.9</v>
      </c>
      <c r="DS12" s="4">
        <v>55.3</v>
      </c>
      <c r="DT12" s="4">
        <v>25.3</v>
      </c>
      <c r="DU12" s="4">
        <v>36.4</v>
      </c>
      <c r="DV12" s="4">
        <v>12.1</v>
      </c>
      <c r="DW12" s="4">
        <v>34.1</v>
      </c>
      <c r="DX12" s="4">
        <v>52.2</v>
      </c>
      <c r="DY12" s="4">
        <v>90</v>
      </c>
      <c r="DZ12" s="4">
        <v>45.4</v>
      </c>
      <c r="EA12" s="4">
        <v>69.5</v>
      </c>
      <c r="EB12" s="43">
        <v>39.1</v>
      </c>
    </row>
    <row r="13" spans="1:132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1491</v>
      </c>
      <c r="I13" s="4">
        <v>440</v>
      </c>
      <c r="J13" s="4">
        <v>841</v>
      </c>
      <c r="K13" s="4">
        <v>210</v>
      </c>
      <c r="L13" s="4">
        <v>780</v>
      </c>
      <c r="M13" s="4">
        <v>230</v>
      </c>
      <c r="N13" s="4">
        <v>449</v>
      </c>
      <c r="O13" s="4">
        <v>101</v>
      </c>
      <c r="P13" s="4">
        <v>710</v>
      </c>
      <c r="Q13" s="4">
        <v>210</v>
      </c>
      <c r="R13" s="4">
        <v>391</v>
      </c>
      <c r="S13" s="4">
        <v>109</v>
      </c>
      <c r="T13" s="4">
        <v>854</v>
      </c>
      <c r="U13" s="4">
        <v>135</v>
      </c>
      <c r="V13" s="4">
        <v>594</v>
      </c>
      <c r="W13" s="4">
        <v>125</v>
      </c>
      <c r="X13" s="4">
        <v>498</v>
      </c>
      <c r="Y13" s="4">
        <v>79</v>
      </c>
      <c r="Z13" s="4">
        <v>347</v>
      </c>
      <c r="AA13" s="4">
        <v>72</v>
      </c>
      <c r="AB13" s="4">
        <v>356</v>
      </c>
      <c r="AC13" s="4">
        <v>56</v>
      </c>
      <c r="AD13" s="4">
        <v>247</v>
      </c>
      <c r="AE13" s="4">
        <v>53</v>
      </c>
      <c r="AF13" s="4">
        <v>564</v>
      </c>
      <c r="AG13" s="4">
        <v>80</v>
      </c>
      <c r="AH13" s="4">
        <v>399</v>
      </c>
      <c r="AI13" s="4">
        <v>86</v>
      </c>
      <c r="AJ13" s="4">
        <v>342</v>
      </c>
      <c r="AK13" s="4">
        <v>48</v>
      </c>
      <c r="AL13" s="4">
        <v>235</v>
      </c>
      <c r="AM13" s="4">
        <v>59</v>
      </c>
      <c r="AN13" s="4">
        <v>222</v>
      </c>
      <c r="AO13" s="4">
        <v>32</v>
      </c>
      <c r="AP13" s="4">
        <v>163</v>
      </c>
      <c r="AQ13" s="4">
        <v>66</v>
      </c>
      <c r="AR13" s="4">
        <v>27</v>
      </c>
      <c r="AS13" s="4">
        <v>61</v>
      </c>
      <c r="AT13" s="4">
        <v>289</v>
      </c>
      <c r="AU13" s="4">
        <v>6</v>
      </c>
      <c r="AV13" s="4">
        <v>56</v>
      </c>
      <c r="AW13" s="4">
        <v>18</v>
      </c>
      <c r="AX13" s="4">
        <v>195</v>
      </c>
      <c r="AY13" s="4">
        <v>0</v>
      </c>
      <c r="AZ13" s="4">
        <v>39</v>
      </c>
      <c r="BA13" s="4">
        <v>295</v>
      </c>
      <c r="BB13" s="4">
        <v>119</v>
      </c>
      <c r="BC13" s="4">
        <v>48</v>
      </c>
      <c r="BD13" s="4">
        <v>20</v>
      </c>
      <c r="BE13" s="4">
        <v>181</v>
      </c>
      <c r="BF13" s="4">
        <v>174</v>
      </c>
      <c r="BG13" s="4">
        <v>57</v>
      </c>
      <c r="BH13" s="4">
        <v>65</v>
      </c>
      <c r="BI13" s="4">
        <v>34</v>
      </c>
      <c r="BJ13" s="4">
        <v>637</v>
      </c>
      <c r="BK13" s="4">
        <v>282</v>
      </c>
      <c r="BL13" s="4">
        <v>355</v>
      </c>
      <c r="BM13" s="4">
        <v>245</v>
      </c>
      <c r="BN13" s="4">
        <v>133</v>
      </c>
      <c r="BO13" s="4">
        <v>112</v>
      </c>
      <c r="BP13" s="4">
        <v>35</v>
      </c>
      <c r="BQ13" s="4">
        <v>16</v>
      </c>
      <c r="BR13" s="4">
        <v>18</v>
      </c>
      <c r="BS13" s="4">
        <v>357</v>
      </c>
      <c r="BT13" s="4">
        <v>134</v>
      </c>
      <c r="BU13" s="4">
        <v>224</v>
      </c>
      <c r="BV13" s="4">
        <v>0</v>
      </c>
      <c r="BW13" s="4">
        <v>51</v>
      </c>
      <c r="BX13" s="4">
        <v>33</v>
      </c>
      <c r="BY13" s="4">
        <v>86</v>
      </c>
      <c r="BZ13" s="4">
        <v>263</v>
      </c>
      <c r="CA13" s="4">
        <v>372</v>
      </c>
      <c r="CB13" s="4">
        <v>0</v>
      </c>
      <c r="CC13" s="4">
        <v>47</v>
      </c>
      <c r="CD13" s="4">
        <v>29</v>
      </c>
      <c r="CE13" s="4">
        <v>76</v>
      </c>
      <c r="CF13" s="4">
        <v>193</v>
      </c>
      <c r="CG13" s="4">
        <v>242</v>
      </c>
      <c r="CH13" s="4">
        <v>568</v>
      </c>
      <c r="CI13" s="4">
        <v>346</v>
      </c>
      <c r="CJ13" s="4">
        <v>222</v>
      </c>
      <c r="CK13" s="4">
        <v>499</v>
      </c>
      <c r="CL13" s="4">
        <v>301</v>
      </c>
      <c r="CM13" s="4">
        <v>198</v>
      </c>
      <c r="CN13" s="4">
        <v>69</v>
      </c>
      <c r="CO13" s="4">
        <v>45</v>
      </c>
      <c r="CP13" s="4">
        <v>24</v>
      </c>
      <c r="CQ13" s="4">
        <v>136</v>
      </c>
      <c r="CR13" s="4">
        <v>123</v>
      </c>
      <c r="CS13" s="4">
        <v>54</v>
      </c>
      <c r="CT13" s="4">
        <v>69</v>
      </c>
      <c r="CU13" s="4">
        <v>13</v>
      </c>
      <c r="CV13" s="4">
        <v>334</v>
      </c>
      <c r="CW13" s="4">
        <v>95</v>
      </c>
      <c r="CX13" s="4">
        <v>34</v>
      </c>
      <c r="CY13" s="4">
        <v>10</v>
      </c>
      <c r="CZ13" s="4">
        <v>26</v>
      </c>
      <c r="DA13" s="4">
        <v>58</v>
      </c>
      <c r="DB13" s="4">
        <v>7</v>
      </c>
      <c r="DC13" s="4">
        <v>4</v>
      </c>
      <c r="DD13" s="4">
        <v>231</v>
      </c>
      <c r="DE13" s="4">
        <v>337</v>
      </c>
      <c r="DF13" s="4">
        <v>291</v>
      </c>
      <c r="DG13" s="4">
        <v>12</v>
      </c>
      <c r="DH13" s="4">
        <v>18</v>
      </c>
      <c r="DI13" s="4">
        <v>16</v>
      </c>
      <c r="DJ13" s="4">
        <v>29</v>
      </c>
      <c r="DK13" s="4">
        <v>80</v>
      </c>
      <c r="DL13" s="4">
        <v>1</v>
      </c>
      <c r="DM13" s="4">
        <v>7</v>
      </c>
      <c r="DN13" s="4">
        <v>290</v>
      </c>
      <c r="DO13" s="4">
        <v>183</v>
      </c>
      <c r="DP13" s="4">
        <v>0.2</v>
      </c>
      <c r="DQ13" s="4">
        <v>2293</v>
      </c>
      <c r="DR13" s="4">
        <v>65</v>
      </c>
      <c r="DS13" s="4">
        <v>57.3</v>
      </c>
      <c r="DT13" s="4">
        <v>30.7</v>
      </c>
      <c r="DU13" s="4">
        <v>37.799999999999997</v>
      </c>
      <c r="DV13" s="4">
        <v>18.2</v>
      </c>
      <c r="DW13" s="4">
        <v>33.799999999999997</v>
      </c>
      <c r="DX13" s="4">
        <v>41.5</v>
      </c>
      <c r="DY13" s="4">
        <v>87.9</v>
      </c>
      <c r="DZ13" s="4">
        <v>39.700000000000003</v>
      </c>
      <c r="EA13" s="4">
        <v>66.900000000000006</v>
      </c>
      <c r="EB13" s="43">
        <v>46.3</v>
      </c>
    </row>
    <row r="14" spans="1:132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1285</v>
      </c>
      <c r="I14" s="4">
        <v>347</v>
      </c>
      <c r="J14" s="4">
        <v>699</v>
      </c>
      <c r="K14" s="4">
        <v>239</v>
      </c>
      <c r="L14" s="4">
        <v>617</v>
      </c>
      <c r="M14" s="4">
        <v>175</v>
      </c>
      <c r="N14" s="4">
        <v>340</v>
      </c>
      <c r="O14" s="4">
        <v>103</v>
      </c>
      <c r="P14" s="4">
        <v>667</v>
      </c>
      <c r="Q14" s="4">
        <v>173</v>
      </c>
      <c r="R14" s="4">
        <v>359</v>
      </c>
      <c r="S14" s="4">
        <v>136</v>
      </c>
      <c r="T14" s="4">
        <v>667</v>
      </c>
      <c r="U14" s="4">
        <v>123</v>
      </c>
      <c r="V14" s="4">
        <v>435</v>
      </c>
      <c r="W14" s="4">
        <v>108</v>
      </c>
      <c r="X14" s="4">
        <v>371</v>
      </c>
      <c r="Y14" s="4">
        <v>62</v>
      </c>
      <c r="Z14" s="4">
        <v>258</v>
      </c>
      <c r="AA14" s="4">
        <v>51</v>
      </c>
      <c r="AB14" s="4">
        <v>296</v>
      </c>
      <c r="AC14" s="4">
        <v>61</v>
      </c>
      <c r="AD14" s="4">
        <v>178</v>
      </c>
      <c r="AE14" s="4">
        <v>57</v>
      </c>
      <c r="AF14" s="4">
        <v>416</v>
      </c>
      <c r="AG14" s="4">
        <v>76</v>
      </c>
      <c r="AH14" s="4">
        <v>258</v>
      </c>
      <c r="AI14" s="4">
        <v>82</v>
      </c>
      <c r="AJ14" s="4">
        <v>231</v>
      </c>
      <c r="AK14" s="4">
        <v>36</v>
      </c>
      <c r="AL14" s="4">
        <v>158</v>
      </c>
      <c r="AM14" s="4">
        <v>37</v>
      </c>
      <c r="AN14" s="4">
        <v>185</v>
      </c>
      <c r="AO14" s="4">
        <v>41</v>
      </c>
      <c r="AP14" s="4">
        <v>100</v>
      </c>
      <c r="AQ14" s="4">
        <v>57</v>
      </c>
      <c r="AR14" s="4">
        <v>45</v>
      </c>
      <c r="AS14" s="4">
        <v>33</v>
      </c>
      <c r="AT14" s="4">
        <v>251</v>
      </c>
      <c r="AU14" s="4">
        <v>16</v>
      </c>
      <c r="AV14" s="4">
        <v>47</v>
      </c>
      <c r="AW14" s="4">
        <v>6</v>
      </c>
      <c r="AX14" s="4">
        <v>177</v>
      </c>
      <c r="AY14" s="4">
        <v>14</v>
      </c>
      <c r="AZ14" s="4">
        <v>27</v>
      </c>
      <c r="BA14" s="4">
        <v>247</v>
      </c>
      <c r="BB14" s="4">
        <v>109</v>
      </c>
      <c r="BC14" s="4">
        <v>49</v>
      </c>
      <c r="BD14" s="4">
        <v>16</v>
      </c>
      <c r="BE14" s="4">
        <v>144</v>
      </c>
      <c r="BF14" s="4">
        <v>120</v>
      </c>
      <c r="BG14" s="4">
        <v>58</v>
      </c>
      <c r="BH14" s="4">
        <v>29</v>
      </c>
      <c r="BI14" s="4">
        <v>20</v>
      </c>
      <c r="BJ14" s="4">
        <v>618</v>
      </c>
      <c r="BK14" s="4">
        <v>246</v>
      </c>
      <c r="BL14" s="4">
        <v>371</v>
      </c>
      <c r="BM14" s="4">
        <v>164</v>
      </c>
      <c r="BN14" s="4">
        <v>66</v>
      </c>
      <c r="BO14" s="4">
        <v>98</v>
      </c>
      <c r="BP14" s="4">
        <v>46</v>
      </c>
      <c r="BQ14" s="4">
        <v>16</v>
      </c>
      <c r="BR14" s="4">
        <v>30</v>
      </c>
      <c r="BS14" s="4">
        <v>408</v>
      </c>
      <c r="BT14" s="4">
        <v>164</v>
      </c>
      <c r="BU14" s="4">
        <v>244</v>
      </c>
      <c r="BV14" s="4">
        <v>0</v>
      </c>
      <c r="BW14" s="4">
        <v>24</v>
      </c>
      <c r="BX14" s="4">
        <v>3</v>
      </c>
      <c r="BY14" s="4">
        <v>75</v>
      </c>
      <c r="BZ14" s="4">
        <v>200</v>
      </c>
      <c r="CA14" s="4">
        <v>203</v>
      </c>
      <c r="CB14" s="4">
        <v>0</v>
      </c>
      <c r="CC14" s="4">
        <v>16</v>
      </c>
      <c r="CD14" s="4">
        <v>3</v>
      </c>
      <c r="CE14" s="4">
        <v>61</v>
      </c>
      <c r="CF14" s="4">
        <v>159</v>
      </c>
      <c r="CG14" s="4">
        <v>132</v>
      </c>
      <c r="CH14" s="4">
        <v>426</v>
      </c>
      <c r="CI14" s="4">
        <v>241</v>
      </c>
      <c r="CJ14" s="4">
        <v>185</v>
      </c>
      <c r="CK14" s="4">
        <v>367</v>
      </c>
      <c r="CL14" s="4">
        <v>204</v>
      </c>
      <c r="CM14" s="4">
        <v>163</v>
      </c>
      <c r="CN14" s="4">
        <v>59</v>
      </c>
      <c r="CO14" s="4">
        <v>37</v>
      </c>
      <c r="CP14" s="4">
        <v>22</v>
      </c>
      <c r="CQ14" s="4">
        <v>155</v>
      </c>
      <c r="CR14" s="4">
        <v>136</v>
      </c>
      <c r="CS14" s="4">
        <v>53</v>
      </c>
      <c r="CT14" s="4">
        <v>82</v>
      </c>
      <c r="CU14" s="4">
        <v>19</v>
      </c>
      <c r="CV14" s="4">
        <v>234</v>
      </c>
      <c r="CW14" s="4">
        <v>89</v>
      </c>
      <c r="CX14" s="4">
        <v>20</v>
      </c>
      <c r="CY14" s="4">
        <v>9</v>
      </c>
      <c r="CZ14" s="4">
        <v>16</v>
      </c>
      <c r="DA14" s="4">
        <v>46</v>
      </c>
      <c r="DB14" s="4">
        <v>10</v>
      </c>
      <c r="DC14" s="4">
        <v>3</v>
      </c>
      <c r="DD14" s="4">
        <v>201</v>
      </c>
      <c r="DE14" s="4">
        <v>225</v>
      </c>
      <c r="DF14" s="4">
        <v>215</v>
      </c>
      <c r="DG14" s="4">
        <v>0</v>
      </c>
      <c r="DH14" s="4">
        <v>3</v>
      </c>
      <c r="DI14" s="4">
        <v>7</v>
      </c>
      <c r="DJ14" s="4">
        <v>24</v>
      </c>
      <c r="DK14" s="4">
        <v>54</v>
      </c>
      <c r="DL14" s="4">
        <v>0</v>
      </c>
      <c r="DM14" s="4">
        <v>0</v>
      </c>
      <c r="DN14" s="4">
        <v>167</v>
      </c>
      <c r="DO14" s="4">
        <v>133</v>
      </c>
      <c r="DP14" s="4">
        <v>0.3</v>
      </c>
      <c r="DQ14" s="4">
        <v>1973</v>
      </c>
      <c r="DR14" s="4">
        <v>65.099999999999994</v>
      </c>
      <c r="DS14" s="4">
        <v>51.9</v>
      </c>
      <c r="DT14" s="4">
        <v>35.4</v>
      </c>
      <c r="DU14" s="4">
        <v>32.4</v>
      </c>
      <c r="DV14" s="4">
        <v>21.9</v>
      </c>
      <c r="DW14" s="4">
        <v>37.6</v>
      </c>
      <c r="DX14" s="4">
        <v>38.200000000000003</v>
      </c>
      <c r="DY14" s="4">
        <v>86.2</v>
      </c>
      <c r="DZ14" s="4">
        <v>44.4</v>
      </c>
      <c r="EA14" s="4">
        <v>63.8</v>
      </c>
      <c r="EB14" s="43">
        <v>54.8</v>
      </c>
    </row>
    <row r="15" spans="1:132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1540</v>
      </c>
      <c r="I15" s="4">
        <v>372</v>
      </c>
      <c r="J15" s="4">
        <v>946</v>
      </c>
      <c r="K15" s="4">
        <v>222</v>
      </c>
      <c r="L15" s="4">
        <v>745</v>
      </c>
      <c r="M15" s="4">
        <v>177</v>
      </c>
      <c r="N15" s="4">
        <v>468</v>
      </c>
      <c r="O15" s="4">
        <v>100</v>
      </c>
      <c r="P15" s="4">
        <v>795</v>
      </c>
      <c r="Q15" s="4">
        <v>194</v>
      </c>
      <c r="R15" s="4">
        <v>478</v>
      </c>
      <c r="S15" s="4">
        <v>122</v>
      </c>
      <c r="T15" s="4">
        <v>945</v>
      </c>
      <c r="U15" s="4">
        <v>148</v>
      </c>
      <c r="V15" s="4">
        <v>680</v>
      </c>
      <c r="W15" s="4">
        <v>118</v>
      </c>
      <c r="X15" s="4">
        <v>539</v>
      </c>
      <c r="Y15" s="4">
        <v>80</v>
      </c>
      <c r="Z15" s="4">
        <v>398</v>
      </c>
      <c r="AA15" s="4">
        <v>62</v>
      </c>
      <c r="AB15" s="4">
        <v>406</v>
      </c>
      <c r="AC15" s="4">
        <v>68</v>
      </c>
      <c r="AD15" s="4">
        <v>282</v>
      </c>
      <c r="AE15" s="4">
        <v>56</v>
      </c>
      <c r="AF15" s="4">
        <v>634</v>
      </c>
      <c r="AG15" s="4">
        <v>80</v>
      </c>
      <c r="AH15" s="4">
        <v>457</v>
      </c>
      <c r="AI15" s="4">
        <v>97</v>
      </c>
      <c r="AJ15" s="4">
        <v>376</v>
      </c>
      <c r="AK15" s="4">
        <v>47</v>
      </c>
      <c r="AL15" s="4">
        <v>280</v>
      </c>
      <c r="AM15" s="4">
        <v>49</v>
      </c>
      <c r="AN15" s="4">
        <v>258</v>
      </c>
      <c r="AO15" s="4">
        <v>33</v>
      </c>
      <c r="AP15" s="4">
        <v>177</v>
      </c>
      <c r="AQ15" s="4">
        <v>75</v>
      </c>
      <c r="AR15" s="4">
        <v>48</v>
      </c>
      <c r="AS15" s="4">
        <v>42</v>
      </c>
      <c r="AT15" s="4">
        <v>312</v>
      </c>
      <c r="AU15" s="4">
        <v>25</v>
      </c>
      <c r="AV15" s="4">
        <v>68</v>
      </c>
      <c r="AW15" s="4">
        <v>7</v>
      </c>
      <c r="AX15" s="4">
        <v>223</v>
      </c>
      <c r="AY15" s="4">
        <v>16</v>
      </c>
      <c r="AZ15" s="4">
        <v>21</v>
      </c>
      <c r="BA15" s="4">
        <v>229</v>
      </c>
      <c r="BB15" s="4">
        <v>120</v>
      </c>
      <c r="BC15" s="4">
        <v>53</v>
      </c>
      <c r="BD15" s="4">
        <v>26</v>
      </c>
      <c r="BE15" s="4">
        <v>268</v>
      </c>
      <c r="BF15" s="4">
        <v>180</v>
      </c>
      <c r="BG15" s="4">
        <v>80</v>
      </c>
      <c r="BH15" s="4">
        <v>80</v>
      </c>
      <c r="BI15" s="4">
        <v>56</v>
      </c>
      <c r="BJ15" s="4">
        <v>594</v>
      </c>
      <c r="BK15" s="4">
        <v>206</v>
      </c>
      <c r="BL15" s="4">
        <v>388</v>
      </c>
      <c r="BM15" s="4">
        <v>164</v>
      </c>
      <c r="BN15" s="4">
        <v>64</v>
      </c>
      <c r="BO15" s="4">
        <v>100</v>
      </c>
      <c r="BP15" s="4">
        <v>37</v>
      </c>
      <c r="BQ15" s="4">
        <v>12</v>
      </c>
      <c r="BR15" s="4">
        <v>25</v>
      </c>
      <c r="BS15" s="4">
        <v>393</v>
      </c>
      <c r="BT15" s="4">
        <v>130</v>
      </c>
      <c r="BU15" s="4">
        <v>264</v>
      </c>
      <c r="BV15" s="4">
        <v>0</v>
      </c>
      <c r="BW15" s="4">
        <v>54</v>
      </c>
      <c r="BX15" s="4">
        <v>76</v>
      </c>
      <c r="BY15" s="4">
        <v>135</v>
      </c>
      <c r="BZ15" s="4">
        <v>284</v>
      </c>
      <c r="CA15" s="4">
        <v>273</v>
      </c>
      <c r="CB15" s="4">
        <v>0</v>
      </c>
      <c r="CC15" s="4">
        <v>49</v>
      </c>
      <c r="CD15" s="4">
        <v>67</v>
      </c>
      <c r="CE15" s="4">
        <v>124</v>
      </c>
      <c r="CF15" s="4">
        <v>218</v>
      </c>
      <c r="CG15" s="4">
        <v>160</v>
      </c>
      <c r="CH15" s="4">
        <v>646</v>
      </c>
      <c r="CI15" s="4">
        <v>379</v>
      </c>
      <c r="CJ15" s="4">
        <v>267</v>
      </c>
      <c r="CK15" s="4">
        <v>577</v>
      </c>
      <c r="CL15" s="4">
        <v>332</v>
      </c>
      <c r="CM15" s="4">
        <v>245</v>
      </c>
      <c r="CN15" s="4">
        <v>69</v>
      </c>
      <c r="CO15" s="4">
        <v>47</v>
      </c>
      <c r="CP15" s="4">
        <v>22</v>
      </c>
      <c r="CQ15" s="4">
        <v>130</v>
      </c>
      <c r="CR15" s="4">
        <v>122</v>
      </c>
      <c r="CS15" s="4">
        <v>42</v>
      </c>
      <c r="CT15" s="4">
        <v>81</v>
      </c>
      <c r="CU15" s="4">
        <v>7</v>
      </c>
      <c r="CV15" s="4">
        <v>451</v>
      </c>
      <c r="CW15" s="4">
        <v>91</v>
      </c>
      <c r="CX15" s="4">
        <v>12</v>
      </c>
      <c r="CY15" s="4">
        <v>8</v>
      </c>
      <c r="CZ15" s="4">
        <v>14</v>
      </c>
      <c r="DA15" s="4">
        <v>46</v>
      </c>
      <c r="DB15" s="4">
        <v>23</v>
      </c>
      <c r="DC15" s="4">
        <v>0</v>
      </c>
      <c r="DD15" s="4">
        <v>222</v>
      </c>
      <c r="DE15" s="4">
        <v>424</v>
      </c>
      <c r="DF15" s="4">
        <v>383</v>
      </c>
      <c r="DG15" s="4">
        <v>1</v>
      </c>
      <c r="DH15" s="4">
        <v>7</v>
      </c>
      <c r="DI15" s="4">
        <v>33</v>
      </c>
      <c r="DJ15" s="4">
        <v>23</v>
      </c>
      <c r="DK15" s="4">
        <v>83</v>
      </c>
      <c r="DL15" s="4">
        <v>7</v>
      </c>
      <c r="DM15" s="4">
        <v>6</v>
      </c>
      <c r="DN15" s="4">
        <v>350</v>
      </c>
      <c r="DO15" s="4">
        <v>162</v>
      </c>
      <c r="DP15" s="4">
        <v>0.5</v>
      </c>
      <c r="DQ15" s="4">
        <v>2533</v>
      </c>
      <c r="DR15" s="4">
        <v>60.8</v>
      </c>
      <c r="DS15" s="4">
        <v>61.4</v>
      </c>
      <c r="DT15" s="4">
        <v>39.799999999999997</v>
      </c>
      <c r="DU15" s="4">
        <v>41.2</v>
      </c>
      <c r="DV15" s="4">
        <v>21.5</v>
      </c>
      <c r="DW15" s="4">
        <v>33</v>
      </c>
      <c r="DX15" s="4">
        <v>45.9</v>
      </c>
      <c r="DY15" s="4">
        <v>89.3</v>
      </c>
      <c r="DZ15" s="4">
        <v>42.5</v>
      </c>
      <c r="EA15" s="4">
        <v>78.2</v>
      </c>
      <c r="EB15" s="43">
        <v>38.5</v>
      </c>
    </row>
    <row r="16" spans="1:132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1507</v>
      </c>
      <c r="I16" s="4">
        <v>451</v>
      </c>
      <c r="J16" s="4">
        <v>833</v>
      </c>
      <c r="K16" s="4">
        <v>222</v>
      </c>
      <c r="L16" s="4">
        <v>826</v>
      </c>
      <c r="M16" s="4">
        <v>265</v>
      </c>
      <c r="N16" s="4">
        <v>447</v>
      </c>
      <c r="O16" s="4">
        <v>113</v>
      </c>
      <c r="P16" s="4">
        <v>680</v>
      </c>
      <c r="Q16" s="4">
        <v>186</v>
      </c>
      <c r="R16" s="4">
        <v>386</v>
      </c>
      <c r="S16" s="4">
        <v>109</v>
      </c>
      <c r="T16" s="4">
        <v>941</v>
      </c>
      <c r="U16" s="4">
        <v>201</v>
      </c>
      <c r="V16" s="4">
        <v>615</v>
      </c>
      <c r="W16" s="4">
        <v>125</v>
      </c>
      <c r="X16" s="4">
        <v>565</v>
      </c>
      <c r="Y16" s="4">
        <v>140</v>
      </c>
      <c r="Z16" s="4">
        <v>350</v>
      </c>
      <c r="AA16" s="4">
        <v>76</v>
      </c>
      <c r="AB16" s="4">
        <v>376</v>
      </c>
      <c r="AC16" s="4">
        <v>61</v>
      </c>
      <c r="AD16" s="4">
        <v>266</v>
      </c>
      <c r="AE16" s="4">
        <v>49</v>
      </c>
      <c r="AF16" s="4">
        <v>725</v>
      </c>
      <c r="AG16" s="4">
        <v>148</v>
      </c>
      <c r="AH16" s="4">
        <v>483</v>
      </c>
      <c r="AI16" s="4">
        <v>94</v>
      </c>
      <c r="AJ16" s="4">
        <v>435</v>
      </c>
      <c r="AK16" s="4">
        <v>110</v>
      </c>
      <c r="AL16" s="4">
        <v>265</v>
      </c>
      <c r="AM16" s="4">
        <v>60</v>
      </c>
      <c r="AN16" s="4">
        <v>290</v>
      </c>
      <c r="AO16" s="4">
        <v>39</v>
      </c>
      <c r="AP16" s="4">
        <v>218</v>
      </c>
      <c r="AQ16" s="4">
        <v>74</v>
      </c>
      <c r="AR16" s="4">
        <v>34</v>
      </c>
      <c r="AS16" s="4">
        <v>28</v>
      </c>
      <c r="AT16" s="4">
        <v>216</v>
      </c>
      <c r="AU16" s="4">
        <v>25</v>
      </c>
      <c r="AV16" s="4">
        <v>53</v>
      </c>
      <c r="AW16" s="4">
        <v>15</v>
      </c>
      <c r="AX16" s="4">
        <v>132</v>
      </c>
      <c r="AY16" s="4">
        <v>4</v>
      </c>
      <c r="AZ16" s="4">
        <v>31</v>
      </c>
      <c r="BA16" s="4">
        <v>180</v>
      </c>
      <c r="BB16" s="4">
        <v>56</v>
      </c>
      <c r="BC16" s="4">
        <v>49</v>
      </c>
      <c r="BD16" s="4">
        <v>15</v>
      </c>
      <c r="BE16" s="4">
        <v>197</v>
      </c>
      <c r="BF16" s="4">
        <v>179</v>
      </c>
      <c r="BG16" s="4">
        <v>112</v>
      </c>
      <c r="BH16" s="4">
        <v>108</v>
      </c>
      <c r="BI16" s="4">
        <v>116</v>
      </c>
      <c r="BJ16" s="4">
        <v>565</v>
      </c>
      <c r="BK16" s="4">
        <v>261</v>
      </c>
      <c r="BL16" s="4">
        <v>304</v>
      </c>
      <c r="BM16" s="4">
        <v>227</v>
      </c>
      <c r="BN16" s="4">
        <v>117</v>
      </c>
      <c r="BO16" s="4">
        <v>110</v>
      </c>
      <c r="BP16" s="4">
        <v>36</v>
      </c>
      <c r="BQ16" s="4">
        <v>14</v>
      </c>
      <c r="BR16" s="4">
        <v>22</v>
      </c>
      <c r="BS16" s="4">
        <v>303</v>
      </c>
      <c r="BT16" s="4">
        <v>131</v>
      </c>
      <c r="BU16" s="4">
        <v>172</v>
      </c>
      <c r="BV16" s="4">
        <v>0</v>
      </c>
      <c r="BW16" s="4">
        <v>76</v>
      </c>
      <c r="BX16" s="4">
        <v>155</v>
      </c>
      <c r="BY16" s="4">
        <v>167</v>
      </c>
      <c r="BZ16" s="4">
        <v>253</v>
      </c>
      <c r="CA16" s="4">
        <v>192</v>
      </c>
      <c r="CB16" s="4">
        <v>0</v>
      </c>
      <c r="CC16" s="4">
        <v>63</v>
      </c>
      <c r="CD16" s="4">
        <v>151</v>
      </c>
      <c r="CE16" s="4">
        <v>153</v>
      </c>
      <c r="CF16" s="4">
        <v>221</v>
      </c>
      <c r="CG16" s="4">
        <v>130</v>
      </c>
      <c r="CH16" s="4">
        <v>725</v>
      </c>
      <c r="CI16" s="4">
        <v>435</v>
      </c>
      <c r="CJ16" s="4">
        <v>290</v>
      </c>
      <c r="CK16" s="4">
        <v>621</v>
      </c>
      <c r="CL16" s="4">
        <v>357</v>
      </c>
      <c r="CM16" s="4">
        <v>264</v>
      </c>
      <c r="CN16" s="4">
        <v>104</v>
      </c>
      <c r="CO16" s="4">
        <v>78</v>
      </c>
      <c r="CP16" s="4">
        <v>26</v>
      </c>
      <c r="CQ16" s="4">
        <v>130</v>
      </c>
      <c r="CR16" s="4">
        <v>107</v>
      </c>
      <c r="CS16" s="4">
        <v>53</v>
      </c>
      <c r="CT16" s="4">
        <v>55</v>
      </c>
      <c r="CU16" s="4">
        <v>22</v>
      </c>
      <c r="CV16" s="4">
        <v>451</v>
      </c>
      <c r="CW16" s="4">
        <v>63</v>
      </c>
      <c r="CX16" s="4">
        <v>15</v>
      </c>
      <c r="CY16" s="4">
        <v>11</v>
      </c>
      <c r="CZ16" s="4">
        <v>81</v>
      </c>
      <c r="DA16" s="4">
        <v>55</v>
      </c>
      <c r="DB16" s="4">
        <v>49</v>
      </c>
      <c r="DC16" s="4">
        <v>0</v>
      </c>
      <c r="DD16" s="4">
        <v>287</v>
      </c>
      <c r="DE16" s="4">
        <v>438</v>
      </c>
      <c r="DF16" s="4">
        <v>422</v>
      </c>
      <c r="DG16" s="4">
        <v>7</v>
      </c>
      <c r="DH16" s="4">
        <v>0</v>
      </c>
      <c r="DI16" s="4">
        <v>8</v>
      </c>
      <c r="DJ16" s="4">
        <v>37</v>
      </c>
      <c r="DK16" s="4">
        <v>103</v>
      </c>
      <c r="DL16" s="4">
        <v>4</v>
      </c>
      <c r="DM16" s="4">
        <v>0</v>
      </c>
      <c r="DN16" s="4">
        <v>316</v>
      </c>
      <c r="DO16" s="4">
        <v>258</v>
      </c>
      <c r="DP16" s="4">
        <v>0.2</v>
      </c>
      <c r="DQ16" s="4">
        <v>2057</v>
      </c>
      <c r="DR16" s="4">
        <v>73.3</v>
      </c>
      <c r="DS16" s="4">
        <v>62.4</v>
      </c>
      <c r="DT16" s="4">
        <v>44.6</v>
      </c>
      <c r="DU16" s="4">
        <v>48.1</v>
      </c>
      <c r="DV16" s="4">
        <v>32.799999999999997</v>
      </c>
      <c r="DW16" s="4">
        <v>23</v>
      </c>
      <c r="DX16" s="4">
        <v>26.4</v>
      </c>
      <c r="DY16" s="4">
        <v>85.7</v>
      </c>
      <c r="DZ16" s="4">
        <v>42.5</v>
      </c>
      <c r="EA16" s="4">
        <v>72.599999999999994</v>
      </c>
      <c r="EB16" s="43">
        <v>46.2</v>
      </c>
    </row>
    <row r="17" spans="1:132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1973</v>
      </c>
      <c r="I17" s="4">
        <v>559</v>
      </c>
      <c r="J17" s="4">
        <v>1186</v>
      </c>
      <c r="K17" s="4">
        <v>228</v>
      </c>
      <c r="L17" s="4">
        <v>979</v>
      </c>
      <c r="M17" s="4">
        <v>249</v>
      </c>
      <c r="N17" s="4">
        <v>597</v>
      </c>
      <c r="O17" s="4">
        <v>134</v>
      </c>
      <c r="P17" s="4">
        <v>993</v>
      </c>
      <c r="Q17" s="4">
        <v>310</v>
      </c>
      <c r="R17" s="4">
        <v>589</v>
      </c>
      <c r="S17" s="4">
        <v>94</v>
      </c>
      <c r="T17" s="4">
        <v>1196</v>
      </c>
      <c r="U17" s="4">
        <v>215</v>
      </c>
      <c r="V17" s="4">
        <v>829</v>
      </c>
      <c r="W17" s="4">
        <v>152</v>
      </c>
      <c r="X17" s="4">
        <v>649</v>
      </c>
      <c r="Y17" s="4">
        <v>103</v>
      </c>
      <c r="Z17" s="4">
        <v>457</v>
      </c>
      <c r="AA17" s="4">
        <v>89</v>
      </c>
      <c r="AB17" s="4">
        <v>547</v>
      </c>
      <c r="AC17" s="4">
        <v>112</v>
      </c>
      <c r="AD17" s="4">
        <v>371</v>
      </c>
      <c r="AE17" s="4">
        <v>63</v>
      </c>
      <c r="AF17" s="4">
        <v>882</v>
      </c>
      <c r="AG17" s="4">
        <v>130</v>
      </c>
      <c r="AH17" s="4">
        <v>632</v>
      </c>
      <c r="AI17" s="4">
        <v>119</v>
      </c>
      <c r="AJ17" s="4">
        <v>474</v>
      </c>
      <c r="AK17" s="4">
        <v>64</v>
      </c>
      <c r="AL17" s="4">
        <v>339</v>
      </c>
      <c r="AM17" s="4">
        <v>71</v>
      </c>
      <c r="AN17" s="4">
        <v>407</v>
      </c>
      <c r="AO17" s="4">
        <v>66</v>
      </c>
      <c r="AP17" s="4">
        <v>293</v>
      </c>
      <c r="AQ17" s="4">
        <v>61</v>
      </c>
      <c r="AR17" s="4">
        <v>49</v>
      </c>
      <c r="AS17" s="4">
        <v>59</v>
      </c>
      <c r="AT17" s="4">
        <v>314</v>
      </c>
      <c r="AU17" s="4">
        <v>20</v>
      </c>
      <c r="AV17" s="4">
        <v>85</v>
      </c>
      <c r="AW17" s="4">
        <v>32</v>
      </c>
      <c r="AX17" s="4">
        <v>197</v>
      </c>
      <c r="AY17" s="4">
        <v>25</v>
      </c>
      <c r="AZ17" s="4">
        <v>33</v>
      </c>
      <c r="BA17" s="4">
        <v>252</v>
      </c>
      <c r="BB17" s="4">
        <v>85</v>
      </c>
      <c r="BC17" s="4">
        <v>72</v>
      </c>
      <c r="BD17" s="4">
        <v>34</v>
      </c>
      <c r="BE17" s="4">
        <v>230</v>
      </c>
      <c r="BF17" s="4">
        <v>230</v>
      </c>
      <c r="BG17" s="4">
        <v>91</v>
      </c>
      <c r="BH17" s="4">
        <v>166</v>
      </c>
      <c r="BI17" s="4">
        <v>154</v>
      </c>
      <c r="BJ17" s="4">
        <v>777</v>
      </c>
      <c r="BK17" s="4">
        <v>330</v>
      </c>
      <c r="BL17" s="4">
        <v>447</v>
      </c>
      <c r="BM17" s="4">
        <v>325</v>
      </c>
      <c r="BN17" s="4">
        <v>140</v>
      </c>
      <c r="BO17" s="4">
        <v>184</v>
      </c>
      <c r="BP17" s="4">
        <v>34</v>
      </c>
      <c r="BQ17" s="4">
        <v>26</v>
      </c>
      <c r="BR17" s="4">
        <v>9</v>
      </c>
      <c r="BS17" s="4">
        <v>418</v>
      </c>
      <c r="BT17" s="4">
        <v>164</v>
      </c>
      <c r="BU17" s="4">
        <v>254</v>
      </c>
      <c r="BV17" s="4">
        <v>0</v>
      </c>
      <c r="BW17" s="4">
        <v>82</v>
      </c>
      <c r="BX17" s="4">
        <v>120</v>
      </c>
      <c r="BY17" s="4">
        <v>218</v>
      </c>
      <c r="BZ17" s="4">
        <v>398</v>
      </c>
      <c r="CA17" s="4">
        <v>292</v>
      </c>
      <c r="CB17" s="4">
        <v>0</v>
      </c>
      <c r="CC17" s="4">
        <v>81</v>
      </c>
      <c r="CD17" s="4">
        <v>107</v>
      </c>
      <c r="CE17" s="4">
        <v>184</v>
      </c>
      <c r="CF17" s="4">
        <v>338</v>
      </c>
      <c r="CG17" s="4">
        <v>212</v>
      </c>
      <c r="CH17" s="4">
        <v>895</v>
      </c>
      <c r="CI17" s="4">
        <v>481</v>
      </c>
      <c r="CJ17" s="4">
        <v>414</v>
      </c>
      <c r="CK17" s="4">
        <v>775</v>
      </c>
      <c r="CL17" s="4">
        <v>410</v>
      </c>
      <c r="CM17" s="4">
        <v>365</v>
      </c>
      <c r="CN17" s="4">
        <v>119</v>
      </c>
      <c r="CO17" s="4">
        <v>71</v>
      </c>
      <c r="CP17" s="4">
        <v>49</v>
      </c>
      <c r="CQ17" s="4">
        <v>190</v>
      </c>
      <c r="CR17" s="4">
        <v>172</v>
      </c>
      <c r="CS17" s="4">
        <v>70</v>
      </c>
      <c r="CT17" s="4">
        <v>101</v>
      </c>
      <c r="CU17" s="4">
        <v>18</v>
      </c>
      <c r="CV17" s="4">
        <v>584</v>
      </c>
      <c r="CW17" s="4">
        <v>113</v>
      </c>
      <c r="CX17" s="4">
        <v>18</v>
      </c>
      <c r="CY17" s="4">
        <v>22</v>
      </c>
      <c r="CZ17" s="4">
        <v>39</v>
      </c>
      <c r="DA17" s="4">
        <v>91</v>
      </c>
      <c r="DB17" s="4">
        <v>29</v>
      </c>
      <c r="DC17" s="4">
        <v>0</v>
      </c>
      <c r="DD17" s="4">
        <v>343</v>
      </c>
      <c r="DE17" s="4">
        <v>551</v>
      </c>
      <c r="DF17" s="4">
        <v>495</v>
      </c>
      <c r="DG17" s="4">
        <v>20</v>
      </c>
      <c r="DH17" s="4">
        <v>17</v>
      </c>
      <c r="DI17" s="4">
        <v>20</v>
      </c>
      <c r="DJ17" s="4">
        <v>29</v>
      </c>
      <c r="DK17" s="4">
        <v>116</v>
      </c>
      <c r="DL17" s="4">
        <v>13</v>
      </c>
      <c r="DM17" s="4">
        <v>8</v>
      </c>
      <c r="DN17" s="4">
        <v>500</v>
      </c>
      <c r="DO17" s="4">
        <v>271</v>
      </c>
      <c r="DP17" s="4">
        <v>0.2</v>
      </c>
      <c r="DQ17" s="4">
        <v>3039</v>
      </c>
      <c r="DR17" s="4">
        <v>64.900000000000006</v>
      </c>
      <c r="DS17" s="4">
        <v>60.6</v>
      </c>
      <c r="DT17" s="4">
        <v>38.5</v>
      </c>
      <c r="DU17" s="4">
        <v>44.7</v>
      </c>
      <c r="DV17" s="4">
        <v>23.3</v>
      </c>
      <c r="DW17" s="4">
        <v>26.3</v>
      </c>
      <c r="DX17" s="4">
        <v>39.5</v>
      </c>
      <c r="DY17" s="4">
        <v>86.6</v>
      </c>
      <c r="DZ17" s="4">
        <v>47.1</v>
      </c>
      <c r="EA17" s="4">
        <v>75.400000000000006</v>
      </c>
      <c r="EB17" s="43">
        <v>44.3</v>
      </c>
    </row>
    <row r="18" spans="1:132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2652</v>
      </c>
      <c r="I18" s="4">
        <v>859</v>
      </c>
      <c r="J18" s="4">
        <v>1513</v>
      </c>
      <c r="K18" s="4">
        <v>280</v>
      </c>
      <c r="L18" s="4">
        <v>1388</v>
      </c>
      <c r="M18" s="4">
        <v>451</v>
      </c>
      <c r="N18" s="4">
        <v>793</v>
      </c>
      <c r="O18" s="4">
        <v>143</v>
      </c>
      <c r="P18" s="4">
        <v>1265</v>
      </c>
      <c r="Q18" s="4">
        <v>407</v>
      </c>
      <c r="R18" s="4">
        <v>720</v>
      </c>
      <c r="S18" s="4">
        <v>137</v>
      </c>
      <c r="T18" s="4">
        <v>1567</v>
      </c>
      <c r="U18" s="4">
        <v>309</v>
      </c>
      <c r="V18" s="4">
        <v>1102</v>
      </c>
      <c r="W18" s="4">
        <v>157</v>
      </c>
      <c r="X18" s="4">
        <v>910</v>
      </c>
      <c r="Y18" s="4">
        <v>169</v>
      </c>
      <c r="Z18" s="4">
        <v>650</v>
      </c>
      <c r="AA18" s="4">
        <v>90</v>
      </c>
      <c r="AB18" s="4">
        <v>658</v>
      </c>
      <c r="AC18" s="4">
        <v>140</v>
      </c>
      <c r="AD18" s="4">
        <v>451</v>
      </c>
      <c r="AE18" s="4">
        <v>67</v>
      </c>
      <c r="AF18" s="4">
        <v>1225</v>
      </c>
      <c r="AG18" s="4">
        <v>222</v>
      </c>
      <c r="AH18" s="4">
        <v>871</v>
      </c>
      <c r="AI18" s="4">
        <v>133</v>
      </c>
      <c r="AJ18" s="4">
        <v>692</v>
      </c>
      <c r="AK18" s="4">
        <v>120</v>
      </c>
      <c r="AL18" s="4">
        <v>500</v>
      </c>
      <c r="AM18" s="4">
        <v>72</v>
      </c>
      <c r="AN18" s="4">
        <v>533</v>
      </c>
      <c r="AO18" s="4">
        <v>102</v>
      </c>
      <c r="AP18" s="4">
        <v>371</v>
      </c>
      <c r="AQ18" s="4">
        <v>64</v>
      </c>
      <c r="AR18" s="4">
        <v>60</v>
      </c>
      <c r="AS18" s="4">
        <v>122</v>
      </c>
      <c r="AT18" s="4">
        <v>343</v>
      </c>
      <c r="AU18" s="4">
        <v>33</v>
      </c>
      <c r="AV18" s="4">
        <v>87</v>
      </c>
      <c r="AW18" s="4">
        <v>24</v>
      </c>
      <c r="AX18" s="4">
        <v>231</v>
      </c>
      <c r="AY18" s="4">
        <v>14</v>
      </c>
      <c r="AZ18" s="4">
        <v>24</v>
      </c>
      <c r="BA18" s="4">
        <v>194</v>
      </c>
      <c r="BB18" s="4">
        <v>73</v>
      </c>
      <c r="BC18" s="4">
        <v>78</v>
      </c>
      <c r="BD18" s="4">
        <v>12</v>
      </c>
      <c r="BE18" s="4">
        <v>296</v>
      </c>
      <c r="BF18" s="4">
        <v>414</v>
      </c>
      <c r="BG18" s="4">
        <v>186</v>
      </c>
      <c r="BH18" s="4">
        <v>186</v>
      </c>
      <c r="BI18" s="4">
        <v>213</v>
      </c>
      <c r="BJ18" s="4">
        <v>1085</v>
      </c>
      <c r="BK18" s="4">
        <v>478</v>
      </c>
      <c r="BL18" s="4">
        <v>607</v>
      </c>
      <c r="BM18" s="4">
        <v>520</v>
      </c>
      <c r="BN18" s="4">
        <v>263</v>
      </c>
      <c r="BO18" s="4">
        <v>257</v>
      </c>
      <c r="BP18" s="4">
        <v>65</v>
      </c>
      <c r="BQ18" s="4">
        <v>31</v>
      </c>
      <c r="BR18" s="4">
        <v>35</v>
      </c>
      <c r="BS18" s="4">
        <v>499</v>
      </c>
      <c r="BT18" s="4">
        <v>184</v>
      </c>
      <c r="BU18" s="4">
        <v>315</v>
      </c>
      <c r="BV18" s="4">
        <v>0</v>
      </c>
      <c r="BW18" s="4">
        <v>95</v>
      </c>
      <c r="BX18" s="4">
        <v>220</v>
      </c>
      <c r="BY18" s="4">
        <v>373</v>
      </c>
      <c r="BZ18" s="4">
        <v>481</v>
      </c>
      <c r="CA18" s="4">
        <v>316</v>
      </c>
      <c r="CB18" s="4">
        <v>0</v>
      </c>
      <c r="CC18" s="4">
        <v>74</v>
      </c>
      <c r="CD18" s="4">
        <v>200</v>
      </c>
      <c r="CE18" s="4">
        <v>309</v>
      </c>
      <c r="CF18" s="4">
        <v>416</v>
      </c>
      <c r="CG18" s="4">
        <v>247</v>
      </c>
      <c r="CH18" s="4">
        <v>1229</v>
      </c>
      <c r="CI18" s="4">
        <v>695</v>
      </c>
      <c r="CJ18" s="4">
        <v>534</v>
      </c>
      <c r="CK18" s="4">
        <v>1090</v>
      </c>
      <c r="CL18" s="4">
        <v>613</v>
      </c>
      <c r="CM18" s="4">
        <v>477</v>
      </c>
      <c r="CN18" s="4">
        <v>139</v>
      </c>
      <c r="CO18" s="4">
        <v>82</v>
      </c>
      <c r="CP18" s="4">
        <v>56</v>
      </c>
      <c r="CQ18" s="4">
        <v>243</v>
      </c>
      <c r="CR18" s="4">
        <v>212</v>
      </c>
      <c r="CS18" s="4">
        <v>80</v>
      </c>
      <c r="CT18" s="4">
        <v>132</v>
      </c>
      <c r="CU18" s="4">
        <v>31</v>
      </c>
      <c r="CV18" s="4">
        <v>760</v>
      </c>
      <c r="CW18" s="4">
        <v>179</v>
      </c>
      <c r="CX18" s="4">
        <v>50</v>
      </c>
      <c r="CY18" s="4">
        <v>4</v>
      </c>
      <c r="CZ18" s="4">
        <v>98</v>
      </c>
      <c r="DA18" s="4">
        <v>94</v>
      </c>
      <c r="DB18" s="4">
        <v>43</v>
      </c>
      <c r="DC18" s="4">
        <v>2</v>
      </c>
      <c r="DD18" s="4">
        <v>489</v>
      </c>
      <c r="DE18" s="4">
        <v>740</v>
      </c>
      <c r="DF18" s="4">
        <v>678</v>
      </c>
      <c r="DG18" s="4">
        <v>8</v>
      </c>
      <c r="DH18" s="4">
        <v>27</v>
      </c>
      <c r="DI18" s="4">
        <v>27</v>
      </c>
      <c r="DJ18" s="4">
        <v>39</v>
      </c>
      <c r="DK18" s="4">
        <v>149</v>
      </c>
      <c r="DL18" s="4">
        <v>11</v>
      </c>
      <c r="DM18" s="4">
        <v>23</v>
      </c>
      <c r="DN18" s="4">
        <v>614</v>
      </c>
      <c r="DO18" s="4">
        <v>414</v>
      </c>
      <c r="DP18" s="4">
        <v>0.5</v>
      </c>
      <c r="DQ18" s="4">
        <v>3534</v>
      </c>
      <c r="DR18" s="4">
        <v>75</v>
      </c>
      <c r="DS18" s="4">
        <v>59.1</v>
      </c>
      <c r="DT18" s="4">
        <v>36</v>
      </c>
      <c r="DU18" s="4">
        <v>46.2</v>
      </c>
      <c r="DV18" s="4">
        <v>25.8</v>
      </c>
      <c r="DW18" s="4">
        <v>21.9</v>
      </c>
      <c r="DX18" s="4">
        <v>28.2</v>
      </c>
      <c r="DY18" s="4">
        <v>88.7</v>
      </c>
      <c r="DZ18" s="4">
        <v>43.8</v>
      </c>
      <c r="EA18" s="4">
        <v>69.7</v>
      </c>
      <c r="EB18" s="43">
        <v>44.9</v>
      </c>
    </row>
    <row r="19" spans="1:132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1922</v>
      </c>
      <c r="I19" s="4">
        <v>437</v>
      </c>
      <c r="J19" s="4">
        <v>1240</v>
      </c>
      <c r="K19" s="4">
        <v>245</v>
      </c>
      <c r="L19" s="4">
        <v>989</v>
      </c>
      <c r="M19" s="4">
        <v>231</v>
      </c>
      <c r="N19" s="4">
        <v>618</v>
      </c>
      <c r="O19" s="4">
        <v>140</v>
      </c>
      <c r="P19" s="4">
        <v>933</v>
      </c>
      <c r="Q19" s="4">
        <v>206</v>
      </c>
      <c r="R19" s="4">
        <v>622</v>
      </c>
      <c r="S19" s="4">
        <v>106</v>
      </c>
      <c r="T19" s="4">
        <v>1440</v>
      </c>
      <c r="U19" s="4">
        <v>279</v>
      </c>
      <c r="V19" s="4">
        <v>1024</v>
      </c>
      <c r="W19" s="4">
        <v>136</v>
      </c>
      <c r="X19" s="4">
        <v>793</v>
      </c>
      <c r="Y19" s="4">
        <v>162</v>
      </c>
      <c r="Z19" s="4">
        <v>547</v>
      </c>
      <c r="AA19" s="4">
        <v>84</v>
      </c>
      <c r="AB19" s="4">
        <v>647</v>
      </c>
      <c r="AC19" s="4">
        <v>117</v>
      </c>
      <c r="AD19" s="4">
        <v>478</v>
      </c>
      <c r="AE19" s="4">
        <v>52</v>
      </c>
      <c r="AF19" s="4">
        <v>1134</v>
      </c>
      <c r="AG19" s="4">
        <v>227</v>
      </c>
      <c r="AH19" s="4">
        <v>807</v>
      </c>
      <c r="AI19" s="4">
        <v>100</v>
      </c>
      <c r="AJ19" s="4">
        <v>641</v>
      </c>
      <c r="AK19" s="4">
        <v>137</v>
      </c>
      <c r="AL19" s="4">
        <v>436</v>
      </c>
      <c r="AM19" s="4">
        <v>68</v>
      </c>
      <c r="AN19" s="4">
        <v>493</v>
      </c>
      <c r="AO19" s="4">
        <v>90</v>
      </c>
      <c r="AP19" s="4">
        <v>371</v>
      </c>
      <c r="AQ19" s="4">
        <v>79</v>
      </c>
      <c r="AR19" s="4">
        <v>32</v>
      </c>
      <c r="AS19" s="4">
        <v>69</v>
      </c>
      <c r="AT19" s="4">
        <v>306</v>
      </c>
      <c r="AU19" s="4">
        <v>33</v>
      </c>
      <c r="AV19" s="4">
        <v>52</v>
      </c>
      <c r="AW19" s="4">
        <v>9</v>
      </c>
      <c r="AX19" s="4">
        <v>218</v>
      </c>
      <c r="AY19" s="4">
        <v>13</v>
      </c>
      <c r="AZ19" s="4">
        <v>36</v>
      </c>
      <c r="BA19" s="4">
        <v>270</v>
      </c>
      <c r="BB19" s="4">
        <v>62</v>
      </c>
      <c r="BC19" s="4">
        <v>88</v>
      </c>
      <c r="BD19" s="4">
        <v>41</v>
      </c>
      <c r="BE19" s="4">
        <v>279</v>
      </c>
      <c r="BF19" s="4">
        <v>341</v>
      </c>
      <c r="BG19" s="4">
        <v>175</v>
      </c>
      <c r="BH19" s="4">
        <v>137</v>
      </c>
      <c r="BI19" s="4">
        <v>150</v>
      </c>
      <c r="BJ19" s="4">
        <v>483</v>
      </c>
      <c r="BK19" s="4">
        <v>196</v>
      </c>
      <c r="BL19" s="4">
        <v>287</v>
      </c>
      <c r="BM19" s="4">
        <v>132</v>
      </c>
      <c r="BN19" s="4">
        <v>61</v>
      </c>
      <c r="BO19" s="4">
        <v>70</v>
      </c>
      <c r="BP19" s="4">
        <v>71</v>
      </c>
      <c r="BQ19" s="4">
        <v>39</v>
      </c>
      <c r="BR19" s="4">
        <v>32</v>
      </c>
      <c r="BS19" s="4">
        <v>280</v>
      </c>
      <c r="BT19" s="4">
        <v>96</v>
      </c>
      <c r="BU19" s="4">
        <v>184</v>
      </c>
      <c r="BV19" s="4">
        <v>0</v>
      </c>
      <c r="BW19" s="4">
        <v>37</v>
      </c>
      <c r="BX19" s="4">
        <v>104</v>
      </c>
      <c r="BY19" s="4">
        <v>386</v>
      </c>
      <c r="BZ19" s="4">
        <v>433</v>
      </c>
      <c r="CA19" s="4">
        <v>461</v>
      </c>
      <c r="CB19" s="4">
        <v>0</v>
      </c>
      <c r="CC19" s="4">
        <v>27</v>
      </c>
      <c r="CD19" s="4">
        <v>101</v>
      </c>
      <c r="CE19" s="4">
        <v>328</v>
      </c>
      <c r="CF19" s="4">
        <v>326</v>
      </c>
      <c r="CG19" s="4">
        <v>357</v>
      </c>
      <c r="CH19" s="4">
        <v>1151</v>
      </c>
      <c r="CI19" s="4">
        <v>648</v>
      </c>
      <c r="CJ19" s="4">
        <v>503</v>
      </c>
      <c r="CK19" s="4">
        <v>1040</v>
      </c>
      <c r="CL19" s="4">
        <v>577</v>
      </c>
      <c r="CM19" s="4">
        <v>462</v>
      </c>
      <c r="CN19" s="4">
        <v>111</v>
      </c>
      <c r="CO19" s="4">
        <v>71</v>
      </c>
      <c r="CP19" s="4">
        <v>40</v>
      </c>
      <c r="CQ19" s="4">
        <v>233</v>
      </c>
      <c r="CR19" s="4">
        <v>212</v>
      </c>
      <c r="CS19" s="4">
        <v>81</v>
      </c>
      <c r="CT19" s="4">
        <v>131</v>
      </c>
      <c r="CU19" s="4">
        <v>21</v>
      </c>
      <c r="CV19" s="4">
        <v>740</v>
      </c>
      <c r="CW19" s="4">
        <v>169</v>
      </c>
      <c r="CX19" s="4">
        <v>32</v>
      </c>
      <c r="CY19" s="4">
        <v>47</v>
      </c>
      <c r="CZ19" s="4">
        <v>51</v>
      </c>
      <c r="DA19" s="4">
        <v>56</v>
      </c>
      <c r="DB19" s="4">
        <v>55</v>
      </c>
      <c r="DC19" s="4">
        <v>0</v>
      </c>
      <c r="DD19" s="4">
        <v>449</v>
      </c>
      <c r="DE19" s="4">
        <v>701</v>
      </c>
      <c r="DF19" s="4">
        <v>603</v>
      </c>
      <c r="DG19" s="4">
        <v>5</v>
      </c>
      <c r="DH19" s="4">
        <v>24</v>
      </c>
      <c r="DI19" s="4">
        <v>70</v>
      </c>
      <c r="DJ19" s="4">
        <v>0</v>
      </c>
      <c r="DK19" s="4">
        <v>131</v>
      </c>
      <c r="DL19" s="4">
        <v>26</v>
      </c>
      <c r="DM19" s="4">
        <v>8</v>
      </c>
      <c r="DN19" s="4">
        <v>577</v>
      </c>
      <c r="DO19" s="4">
        <v>409</v>
      </c>
      <c r="DP19" s="4">
        <v>0.3</v>
      </c>
      <c r="DQ19" s="4">
        <v>2878</v>
      </c>
      <c r="DR19" s="4">
        <v>66.8</v>
      </c>
      <c r="DS19" s="4">
        <v>74.900000000000006</v>
      </c>
      <c r="DT19" s="4">
        <v>63.8</v>
      </c>
      <c r="DU19" s="4">
        <v>59</v>
      </c>
      <c r="DV19" s="4">
        <v>51.9</v>
      </c>
      <c r="DW19" s="4">
        <v>21.2</v>
      </c>
      <c r="DX19" s="4">
        <v>18.600000000000001</v>
      </c>
      <c r="DY19" s="4">
        <v>90.4</v>
      </c>
      <c r="DZ19" s="4">
        <v>44.4</v>
      </c>
      <c r="EA19" s="4">
        <v>71.2</v>
      </c>
      <c r="EB19" s="43">
        <v>43.2</v>
      </c>
    </row>
    <row r="20" spans="1:132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2392</v>
      </c>
      <c r="I20" s="4">
        <v>543</v>
      </c>
      <c r="J20" s="4">
        <v>1525</v>
      </c>
      <c r="K20" s="4">
        <v>324</v>
      </c>
      <c r="L20" s="4">
        <v>1194</v>
      </c>
      <c r="M20" s="4">
        <v>255</v>
      </c>
      <c r="N20" s="4">
        <v>800</v>
      </c>
      <c r="O20" s="4">
        <v>140</v>
      </c>
      <c r="P20" s="4">
        <v>1197</v>
      </c>
      <c r="Q20" s="4">
        <v>288</v>
      </c>
      <c r="R20" s="4">
        <v>725</v>
      </c>
      <c r="S20" s="4">
        <v>185</v>
      </c>
      <c r="T20" s="4">
        <v>1534</v>
      </c>
      <c r="U20" s="4">
        <v>184</v>
      </c>
      <c r="V20" s="4">
        <v>1194</v>
      </c>
      <c r="W20" s="4">
        <v>157</v>
      </c>
      <c r="X20" s="4">
        <v>873</v>
      </c>
      <c r="Y20" s="4">
        <v>100</v>
      </c>
      <c r="Z20" s="4">
        <v>702</v>
      </c>
      <c r="AA20" s="4">
        <v>71</v>
      </c>
      <c r="AB20" s="4">
        <v>661</v>
      </c>
      <c r="AC20" s="4">
        <v>84</v>
      </c>
      <c r="AD20" s="4">
        <v>491</v>
      </c>
      <c r="AE20" s="4">
        <v>86</v>
      </c>
      <c r="AF20" s="4">
        <v>1141</v>
      </c>
      <c r="AG20" s="4">
        <v>126</v>
      </c>
      <c r="AH20" s="4">
        <v>895</v>
      </c>
      <c r="AI20" s="4">
        <v>119</v>
      </c>
      <c r="AJ20" s="4">
        <v>654</v>
      </c>
      <c r="AK20" s="4">
        <v>68</v>
      </c>
      <c r="AL20" s="4">
        <v>532</v>
      </c>
      <c r="AM20" s="4">
        <v>53</v>
      </c>
      <c r="AN20" s="4">
        <v>487</v>
      </c>
      <c r="AO20" s="4">
        <v>58</v>
      </c>
      <c r="AP20" s="4">
        <v>363</v>
      </c>
      <c r="AQ20" s="4">
        <v>98</v>
      </c>
      <c r="AR20" s="4">
        <v>66</v>
      </c>
      <c r="AS20" s="4">
        <v>81</v>
      </c>
      <c r="AT20" s="4">
        <v>394</v>
      </c>
      <c r="AU20" s="4">
        <v>28</v>
      </c>
      <c r="AV20" s="4">
        <v>57</v>
      </c>
      <c r="AW20" s="4">
        <v>14</v>
      </c>
      <c r="AX20" s="4">
        <v>298</v>
      </c>
      <c r="AY20" s="4">
        <v>18</v>
      </c>
      <c r="AZ20" s="4">
        <v>38</v>
      </c>
      <c r="BA20" s="4">
        <v>371</v>
      </c>
      <c r="BB20" s="4">
        <v>126</v>
      </c>
      <c r="BC20" s="4">
        <v>83</v>
      </c>
      <c r="BD20" s="4">
        <v>29</v>
      </c>
      <c r="BE20" s="4">
        <v>356</v>
      </c>
      <c r="BF20" s="4">
        <v>344</v>
      </c>
      <c r="BG20" s="4">
        <v>153</v>
      </c>
      <c r="BH20" s="4">
        <v>120</v>
      </c>
      <c r="BI20" s="4">
        <v>107</v>
      </c>
      <c r="BJ20" s="4">
        <v>857</v>
      </c>
      <c r="BK20" s="4">
        <v>321</v>
      </c>
      <c r="BL20" s="4">
        <v>536</v>
      </c>
      <c r="BM20" s="4">
        <v>312</v>
      </c>
      <c r="BN20" s="4">
        <v>147</v>
      </c>
      <c r="BO20" s="4">
        <v>165</v>
      </c>
      <c r="BP20" s="4">
        <v>83</v>
      </c>
      <c r="BQ20" s="4">
        <v>40</v>
      </c>
      <c r="BR20" s="4">
        <v>44</v>
      </c>
      <c r="BS20" s="4">
        <v>462</v>
      </c>
      <c r="BT20" s="4">
        <v>134</v>
      </c>
      <c r="BU20" s="4">
        <v>328</v>
      </c>
      <c r="BV20" s="4">
        <v>0</v>
      </c>
      <c r="BW20" s="4">
        <v>32</v>
      </c>
      <c r="BX20" s="4">
        <v>58</v>
      </c>
      <c r="BY20" s="4">
        <v>209</v>
      </c>
      <c r="BZ20" s="4">
        <v>482</v>
      </c>
      <c r="CA20" s="4">
        <v>436</v>
      </c>
      <c r="CB20" s="4">
        <v>0</v>
      </c>
      <c r="CC20" s="4">
        <v>27</v>
      </c>
      <c r="CD20" s="4">
        <v>55</v>
      </c>
      <c r="CE20" s="4">
        <v>173</v>
      </c>
      <c r="CF20" s="4">
        <v>388</v>
      </c>
      <c r="CG20" s="4">
        <v>340</v>
      </c>
      <c r="CH20" s="4">
        <v>1162</v>
      </c>
      <c r="CI20" s="4">
        <v>664</v>
      </c>
      <c r="CJ20" s="4">
        <v>498</v>
      </c>
      <c r="CK20" s="4">
        <v>1073</v>
      </c>
      <c r="CL20" s="4">
        <v>606</v>
      </c>
      <c r="CM20" s="4">
        <v>468</v>
      </c>
      <c r="CN20" s="4">
        <v>89</v>
      </c>
      <c r="CO20" s="4">
        <v>58</v>
      </c>
      <c r="CP20" s="4">
        <v>30</v>
      </c>
      <c r="CQ20" s="4">
        <v>286</v>
      </c>
      <c r="CR20" s="4">
        <v>262</v>
      </c>
      <c r="CS20" s="4">
        <v>90</v>
      </c>
      <c r="CT20" s="4">
        <v>172</v>
      </c>
      <c r="CU20" s="4">
        <v>23</v>
      </c>
      <c r="CV20" s="4">
        <v>737</v>
      </c>
      <c r="CW20" s="4">
        <v>225</v>
      </c>
      <c r="CX20" s="4">
        <v>56</v>
      </c>
      <c r="CY20" s="4">
        <v>19</v>
      </c>
      <c r="CZ20" s="4">
        <v>36</v>
      </c>
      <c r="DA20" s="4">
        <v>57</v>
      </c>
      <c r="DB20" s="4">
        <v>31</v>
      </c>
      <c r="DC20" s="4">
        <v>1</v>
      </c>
      <c r="DD20" s="4">
        <v>422</v>
      </c>
      <c r="DE20" s="4">
        <v>740</v>
      </c>
      <c r="DF20" s="4">
        <v>667</v>
      </c>
      <c r="DG20" s="4">
        <v>10</v>
      </c>
      <c r="DH20" s="4">
        <v>24</v>
      </c>
      <c r="DI20" s="4">
        <v>39</v>
      </c>
      <c r="DJ20" s="4">
        <v>31</v>
      </c>
      <c r="DK20" s="4">
        <v>125</v>
      </c>
      <c r="DL20" s="4">
        <v>46</v>
      </c>
      <c r="DM20" s="4">
        <v>0</v>
      </c>
      <c r="DN20" s="4">
        <v>484</v>
      </c>
      <c r="DO20" s="4">
        <v>317</v>
      </c>
      <c r="DP20" s="4">
        <v>0.3</v>
      </c>
      <c r="DQ20" s="4">
        <v>3649</v>
      </c>
      <c r="DR20" s="4">
        <v>65.599999999999994</v>
      </c>
      <c r="DS20" s="4">
        <v>64.099999999999994</v>
      </c>
      <c r="DT20" s="4">
        <v>33.9</v>
      </c>
      <c r="DU20" s="4">
        <v>47.7</v>
      </c>
      <c r="DV20" s="4">
        <v>23.2</v>
      </c>
      <c r="DW20" s="4">
        <v>25.7</v>
      </c>
      <c r="DX20" s="4">
        <v>31</v>
      </c>
      <c r="DY20" s="4">
        <v>92.3</v>
      </c>
      <c r="DZ20" s="4">
        <v>43.6</v>
      </c>
      <c r="EA20" s="4">
        <v>68.7</v>
      </c>
      <c r="EB20" s="43">
        <v>39.299999999999997</v>
      </c>
    </row>
    <row r="21" spans="1:132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2145</v>
      </c>
      <c r="I21" s="4">
        <v>621</v>
      </c>
      <c r="J21" s="4">
        <v>1170</v>
      </c>
      <c r="K21" s="4">
        <v>354</v>
      </c>
      <c r="L21" s="4">
        <v>1120</v>
      </c>
      <c r="M21" s="4">
        <v>330</v>
      </c>
      <c r="N21" s="4">
        <v>615</v>
      </c>
      <c r="O21" s="4">
        <v>175</v>
      </c>
      <c r="P21" s="4">
        <v>1025</v>
      </c>
      <c r="Q21" s="4">
        <v>291</v>
      </c>
      <c r="R21" s="4">
        <v>555</v>
      </c>
      <c r="S21" s="4">
        <v>179</v>
      </c>
      <c r="T21" s="4">
        <v>1483</v>
      </c>
      <c r="U21" s="4">
        <v>208</v>
      </c>
      <c r="V21" s="4">
        <v>1056</v>
      </c>
      <c r="W21" s="4">
        <v>220</v>
      </c>
      <c r="X21" s="4">
        <v>807</v>
      </c>
      <c r="Y21" s="4">
        <v>110</v>
      </c>
      <c r="Z21" s="4">
        <v>577</v>
      </c>
      <c r="AA21" s="4">
        <v>121</v>
      </c>
      <c r="AB21" s="4">
        <v>676</v>
      </c>
      <c r="AC21" s="4">
        <v>98</v>
      </c>
      <c r="AD21" s="4">
        <v>479</v>
      </c>
      <c r="AE21" s="4">
        <v>99</v>
      </c>
      <c r="AF21" s="4">
        <v>1281</v>
      </c>
      <c r="AG21" s="4">
        <v>147</v>
      </c>
      <c r="AH21" s="4">
        <v>942</v>
      </c>
      <c r="AI21" s="4">
        <v>193</v>
      </c>
      <c r="AJ21" s="4">
        <v>681</v>
      </c>
      <c r="AK21" s="4">
        <v>71</v>
      </c>
      <c r="AL21" s="4">
        <v>510</v>
      </c>
      <c r="AM21" s="4">
        <v>101</v>
      </c>
      <c r="AN21" s="4">
        <v>600</v>
      </c>
      <c r="AO21" s="4">
        <v>76</v>
      </c>
      <c r="AP21" s="4">
        <v>432</v>
      </c>
      <c r="AQ21" s="4">
        <v>33</v>
      </c>
      <c r="AR21" s="4">
        <v>92</v>
      </c>
      <c r="AS21" s="4">
        <v>52</v>
      </c>
      <c r="AT21" s="4">
        <v>202</v>
      </c>
      <c r="AU21" s="4">
        <v>14</v>
      </c>
      <c r="AV21" s="4">
        <v>61</v>
      </c>
      <c r="AW21" s="4">
        <v>29</v>
      </c>
      <c r="AX21" s="4">
        <v>113</v>
      </c>
      <c r="AY21" s="4">
        <v>36</v>
      </c>
      <c r="AZ21" s="4">
        <v>28</v>
      </c>
      <c r="BA21" s="4">
        <v>109</v>
      </c>
      <c r="BB21" s="4">
        <v>28</v>
      </c>
      <c r="BC21" s="4">
        <v>29</v>
      </c>
      <c r="BD21" s="4">
        <v>10</v>
      </c>
      <c r="BE21" s="4">
        <v>123</v>
      </c>
      <c r="BF21" s="4">
        <v>251</v>
      </c>
      <c r="BG21" s="4">
        <v>192</v>
      </c>
      <c r="BH21" s="4">
        <v>297</v>
      </c>
      <c r="BI21" s="4">
        <v>482</v>
      </c>
      <c r="BJ21" s="4">
        <v>661</v>
      </c>
      <c r="BK21" s="4">
        <v>313</v>
      </c>
      <c r="BL21" s="4">
        <v>349</v>
      </c>
      <c r="BM21" s="4">
        <v>402</v>
      </c>
      <c r="BN21" s="4">
        <v>214</v>
      </c>
      <c r="BO21" s="4">
        <v>188</v>
      </c>
      <c r="BP21" s="4">
        <v>70</v>
      </c>
      <c r="BQ21" s="4">
        <v>31</v>
      </c>
      <c r="BR21" s="4">
        <v>39</v>
      </c>
      <c r="BS21" s="4">
        <v>189</v>
      </c>
      <c r="BT21" s="4">
        <v>67</v>
      </c>
      <c r="BU21" s="4">
        <v>122</v>
      </c>
      <c r="BV21" s="4">
        <v>0</v>
      </c>
      <c r="BW21" s="4">
        <v>49</v>
      </c>
      <c r="BX21" s="4">
        <v>544</v>
      </c>
      <c r="BY21" s="4">
        <v>358</v>
      </c>
      <c r="BZ21" s="4">
        <v>264</v>
      </c>
      <c r="CA21" s="4">
        <v>190</v>
      </c>
      <c r="CB21" s="4">
        <v>0</v>
      </c>
      <c r="CC21" s="4">
        <v>49</v>
      </c>
      <c r="CD21" s="4">
        <v>508</v>
      </c>
      <c r="CE21" s="4">
        <v>330</v>
      </c>
      <c r="CF21" s="4">
        <v>233</v>
      </c>
      <c r="CG21" s="4">
        <v>150</v>
      </c>
      <c r="CH21" s="4">
        <v>1298</v>
      </c>
      <c r="CI21" s="4">
        <v>698</v>
      </c>
      <c r="CJ21" s="4">
        <v>600</v>
      </c>
      <c r="CK21" s="4">
        <v>1073</v>
      </c>
      <c r="CL21" s="4">
        <v>566</v>
      </c>
      <c r="CM21" s="4">
        <v>507</v>
      </c>
      <c r="CN21" s="4">
        <v>226</v>
      </c>
      <c r="CO21" s="4">
        <v>132</v>
      </c>
      <c r="CP21" s="4">
        <v>93</v>
      </c>
      <c r="CQ21" s="4">
        <v>192</v>
      </c>
      <c r="CR21" s="4">
        <v>157</v>
      </c>
      <c r="CS21" s="4">
        <v>41</v>
      </c>
      <c r="CT21" s="4">
        <v>115</v>
      </c>
      <c r="CU21" s="4">
        <v>35</v>
      </c>
      <c r="CV21" s="4">
        <v>895</v>
      </c>
      <c r="CW21" s="4">
        <v>67</v>
      </c>
      <c r="CX21" s="4">
        <v>27</v>
      </c>
      <c r="CY21" s="4">
        <v>12</v>
      </c>
      <c r="CZ21" s="4">
        <v>72</v>
      </c>
      <c r="DA21" s="4">
        <v>158</v>
      </c>
      <c r="DB21" s="4">
        <v>67</v>
      </c>
      <c r="DC21" s="4">
        <v>0</v>
      </c>
      <c r="DD21" s="4">
        <v>383</v>
      </c>
      <c r="DE21" s="4">
        <v>915</v>
      </c>
      <c r="DF21" s="4">
        <v>814</v>
      </c>
      <c r="DG21" s="4">
        <v>7</v>
      </c>
      <c r="DH21" s="4">
        <v>70</v>
      </c>
      <c r="DI21" s="4">
        <v>24</v>
      </c>
      <c r="DJ21" s="4">
        <v>73</v>
      </c>
      <c r="DK21" s="4">
        <v>69</v>
      </c>
      <c r="DL21" s="4">
        <v>40</v>
      </c>
      <c r="DM21" s="4">
        <v>18</v>
      </c>
      <c r="DN21" s="4">
        <v>661</v>
      </c>
      <c r="DO21" s="4">
        <v>433</v>
      </c>
      <c r="DP21" s="4">
        <v>0.9</v>
      </c>
      <c r="DQ21" s="4">
        <v>3613</v>
      </c>
      <c r="DR21" s="4">
        <v>59.4</v>
      </c>
      <c r="DS21" s="4">
        <v>69.099999999999994</v>
      </c>
      <c r="DT21" s="4">
        <v>33.5</v>
      </c>
      <c r="DU21" s="4">
        <v>59.7</v>
      </c>
      <c r="DV21" s="4">
        <v>23.7</v>
      </c>
      <c r="DW21" s="4">
        <v>13.6</v>
      </c>
      <c r="DX21" s="4">
        <v>29.3</v>
      </c>
      <c r="DY21" s="4">
        <v>82.7</v>
      </c>
      <c r="DZ21" s="4">
        <v>47.3</v>
      </c>
      <c r="EA21" s="4">
        <v>83.4</v>
      </c>
      <c r="EB21" s="43">
        <v>35.700000000000003</v>
      </c>
    </row>
    <row r="22" spans="1:132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1297</v>
      </c>
      <c r="I22" s="4">
        <v>322</v>
      </c>
      <c r="J22" s="4">
        <v>679</v>
      </c>
      <c r="K22" s="4">
        <v>296</v>
      </c>
      <c r="L22" s="4">
        <v>613</v>
      </c>
      <c r="M22" s="4">
        <v>155</v>
      </c>
      <c r="N22" s="4">
        <v>328</v>
      </c>
      <c r="O22" s="4">
        <v>130</v>
      </c>
      <c r="P22" s="4">
        <v>684</v>
      </c>
      <c r="Q22" s="4">
        <v>167</v>
      </c>
      <c r="R22" s="4">
        <v>351</v>
      </c>
      <c r="S22" s="4">
        <v>166</v>
      </c>
      <c r="T22" s="4">
        <v>916</v>
      </c>
      <c r="U22" s="4">
        <v>95</v>
      </c>
      <c r="V22" s="4">
        <v>625</v>
      </c>
      <c r="W22" s="4">
        <v>196</v>
      </c>
      <c r="X22" s="4">
        <v>462</v>
      </c>
      <c r="Y22" s="4">
        <v>54</v>
      </c>
      <c r="Z22" s="4">
        <v>304</v>
      </c>
      <c r="AA22" s="4">
        <v>104</v>
      </c>
      <c r="AB22" s="4">
        <v>454</v>
      </c>
      <c r="AC22" s="4">
        <v>41</v>
      </c>
      <c r="AD22" s="4">
        <v>321</v>
      </c>
      <c r="AE22" s="4">
        <v>92</v>
      </c>
      <c r="AF22" s="4">
        <v>852</v>
      </c>
      <c r="AG22" s="4">
        <v>77</v>
      </c>
      <c r="AH22" s="4">
        <v>588</v>
      </c>
      <c r="AI22" s="4">
        <v>187</v>
      </c>
      <c r="AJ22" s="4">
        <v>425</v>
      </c>
      <c r="AK22" s="4">
        <v>43</v>
      </c>
      <c r="AL22" s="4">
        <v>286</v>
      </c>
      <c r="AM22" s="4">
        <v>96</v>
      </c>
      <c r="AN22" s="4">
        <v>427</v>
      </c>
      <c r="AO22" s="4">
        <v>34</v>
      </c>
      <c r="AP22" s="4">
        <v>302</v>
      </c>
      <c r="AQ22" s="4">
        <v>10</v>
      </c>
      <c r="AR22" s="4">
        <v>91</v>
      </c>
      <c r="AS22" s="4">
        <v>19</v>
      </c>
      <c r="AT22" s="4">
        <v>64</v>
      </c>
      <c r="AU22" s="4">
        <v>8</v>
      </c>
      <c r="AV22" s="4">
        <v>18</v>
      </c>
      <c r="AW22" s="4">
        <v>7</v>
      </c>
      <c r="AX22" s="4">
        <v>37</v>
      </c>
      <c r="AY22" s="4">
        <v>12</v>
      </c>
      <c r="AZ22" s="4">
        <v>9</v>
      </c>
      <c r="BA22" s="4">
        <v>43</v>
      </c>
      <c r="BB22" s="4">
        <v>7</v>
      </c>
      <c r="BC22" s="4">
        <v>11</v>
      </c>
      <c r="BD22" s="4">
        <v>0</v>
      </c>
      <c r="BE22" s="4">
        <v>77</v>
      </c>
      <c r="BF22" s="4">
        <v>138</v>
      </c>
      <c r="BG22" s="4">
        <v>161</v>
      </c>
      <c r="BH22" s="4">
        <v>190</v>
      </c>
      <c r="BI22" s="4">
        <v>296</v>
      </c>
      <c r="BJ22" s="4">
        <v>381</v>
      </c>
      <c r="BK22" s="4">
        <v>151</v>
      </c>
      <c r="BL22" s="4">
        <v>230</v>
      </c>
      <c r="BM22" s="4">
        <v>219</v>
      </c>
      <c r="BN22" s="4">
        <v>100</v>
      </c>
      <c r="BO22" s="4">
        <v>119</v>
      </c>
      <c r="BP22" s="4">
        <v>85</v>
      </c>
      <c r="BQ22" s="4">
        <v>26</v>
      </c>
      <c r="BR22" s="4">
        <v>59</v>
      </c>
      <c r="BS22" s="4">
        <v>77</v>
      </c>
      <c r="BT22" s="4">
        <v>25</v>
      </c>
      <c r="BU22" s="4">
        <v>52</v>
      </c>
      <c r="BV22" s="4">
        <v>0</v>
      </c>
      <c r="BW22" s="4">
        <v>83</v>
      </c>
      <c r="BX22" s="4">
        <v>297</v>
      </c>
      <c r="BY22" s="4">
        <v>279</v>
      </c>
      <c r="BZ22" s="4">
        <v>181</v>
      </c>
      <c r="CA22" s="4">
        <v>77</v>
      </c>
      <c r="CB22" s="4">
        <v>0</v>
      </c>
      <c r="CC22" s="4">
        <v>82</v>
      </c>
      <c r="CD22" s="4">
        <v>285</v>
      </c>
      <c r="CE22" s="4">
        <v>271</v>
      </c>
      <c r="CF22" s="4">
        <v>156</v>
      </c>
      <c r="CG22" s="4">
        <v>59</v>
      </c>
      <c r="CH22" s="4">
        <v>874</v>
      </c>
      <c r="CI22" s="4">
        <v>440</v>
      </c>
      <c r="CJ22" s="4">
        <v>434</v>
      </c>
      <c r="CK22" s="4">
        <v>712</v>
      </c>
      <c r="CL22" s="4">
        <v>333</v>
      </c>
      <c r="CM22" s="4">
        <v>378</v>
      </c>
      <c r="CN22" s="4">
        <v>162</v>
      </c>
      <c r="CO22" s="4">
        <v>107</v>
      </c>
      <c r="CP22" s="4">
        <v>55</v>
      </c>
      <c r="CQ22" s="4">
        <v>156</v>
      </c>
      <c r="CR22" s="4">
        <v>132</v>
      </c>
      <c r="CS22" s="4">
        <v>23</v>
      </c>
      <c r="CT22" s="4">
        <v>109</v>
      </c>
      <c r="CU22" s="4">
        <v>24</v>
      </c>
      <c r="CV22" s="4">
        <v>625</v>
      </c>
      <c r="CW22" s="4">
        <v>50</v>
      </c>
      <c r="CX22" s="4">
        <v>13</v>
      </c>
      <c r="CY22" s="4">
        <v>0</v>
      </c>
      <c r="CZ22" s="4">
        <v>24</v>
      </c>
      <c r="DA22" s="4">
        <v>97</v>
      </c>
      <c r="DB22" s="4">
        <v>66</v>
      </c>
      <c r="DC22" s="4">
        <v>0</v>
      </c>
      <c r="DD22" s="4">
        <v>312</v>
      </c>
      <c r="DE22" s="4">
        <v>562</v>
      </c>
      <c r="DF22" s="4">
        <v>484</v>
      </c>
      <c r="DG22" s="4">
        <v>5</v>
      </c>
      <c r="DH22" s="4">
        <v>37</v>
      </c>
      <c r="DI22" s="4">
        <v>36</v>
      </c>
      <c r="DJ22" s="4">
        <v>52</v>
      </c>
      <c r="DK22" s="4">
        <v>90</v>
      </c>
      <c r="DL22" s="4">
        <v>38</v>
      </c>
      <c r="DM22" s="4">
        <v>11</v>
      </c>
      <c r="DN22" s="4">
        <v>555</v>
      </c>
      <c r="DO22" s="4">
        <v>128</v>
      </c>
      <c r="DP22" s="4">
        <v>0.6</v>
      </c>
      <c r="DQ22" s="4">
        <v>2324</v>
      </c>
      <c r="DR22" s="4">
        <v>55.8</v>
      </c>
      <c r="DS22" s="4">
        <v>70.599999999999994</v>
      </c>
      <c r="DT22" s="4">
        <v>29.5</v>
      </c>
      <c r="DU22" s="4">
        <v>65.7</v>
      </c>
      <c r="DV22" s="4">
        <v>23.9</v>
      </c>
      <c r="DW22" s="4">
        <v>7</v>
      </c>
      <c r="DX22" s="4">
        <v>18.899999999999999</v>
      </c>
      <c r="DY22" s="4">
        <v>81.5</v>
      </c>
      <c r="DZ22" s="4">
        <v>53.1</v>
      </c>
      <c r="EA22" s="4">
        <v>87.8</v>
      </c>
      <c r="EB22" s="43">
        <v>43.8</v>
      </c>
    </row>
    <row r="23" spans="1:132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2844</v>
      </c>
      <c r="I23" s="4">
        <v>802</v>
      </c>
      <c r="J23" s="4">
        <v>1645</v>
      </c>
      <c r="K23" s="4">
        <v>397</v>
      </c>
      <c r="L23" s="4">
        <v>1314</v>
      </c>
      <c r="M23" s="4">
        <v>390</v>
      </c>
      <c r="N23" s="4">
        <v>763</v>
      </c>
      <c r="O23" s="4">
        <v>161</v>
      </c>
      <c r="P23" s="4">
        <v>1530</v>
      </c>
      <c r="Q23" s="4">
        <v>412</v>
      </c>
      <c r="R23" s="4">
        <v>882</v>
      </c>
      <c r="S23" s="4">
        <v>236</v>
      </c>
      <c r="T23" s="4">
        <v>1912</v>
      </c>
      <c r="U23" s="4">
        <v>232</v>
      </c>
      <c r="V23" s="4">
        <v>1434</v>
      </c>
      <c r="W23" s="4">
        <v>246</v>
      </c>
      <c r="X23" s="4">
        <v>937</v>
      </c>
      <c r="Y23" s="4">
        <v>119</v>
      </c>
      <c r="Z23" s="4">
        <v>709</v>
      </c>
      <c r="AA23" s="4">
        <v>109</v>
      </c>
      <c r="AB23" s="4">
        <v>975</v>
      </c>
      <c r="AC23" s="4">
        <v>114</v>
      </c>
      <c r="AD23" s="4">
        <v>725</v>
      </c>
      <c r="AE23" s="4">
        <v>137</v>
      </c>
      <c r="AF23" s="4">
        <v>1601</v>
      </c>
      <c r="AG23" s="4">
        <v>165</v>
      </c>
      <c r="AH23" s="4">
        <v>1224</v>
      </c>
      <c r="AI23" s="4">
        <v>213</v>
      </c>
      <c r="AJ23" s="4">
        <v>775</v>
      </c>
      <c r="AK23" s="4">
        <v>87</v>
      </c>
      <c r="AL23" s="4">
        <v>604</v>
      </c>
      <c r="AM23" s="4">
        <v>84</v>
      </c>
      <c r="AN23" s="4">
        <v>826</v>
      </c>
      <c r="AO23" s="4">
        <v>78</v>
      </c>
      <c r="AP23" s="4">
        <v>620</v>
      </c>
      <c r="AQ23" s="4">
        <v>52</v>
      </c>
      <c r="AR23" s="4">
        <v>128</v>
      </c>
      <c r="AS23" s="4">
        <v>85</v>
      </c>
      <c r="AT23" s="4">
        <v>311</v>
      </c>
      <c r="AU23" s="4">
        <v>29</v>
      </c>
      <c r="AV23" s="4">
        <v>68</v>
      </c>
      <c r="AW23" s="4">
        <v>44</v>
      </c>
      <c r="AX23" s="4">
        <v>210</v>
      </c>
      <c r="AY23" s="4">
        <v>21</v>
      </c>
      <c r="AZ23" s="4">
        <v>33</v>
      </c>
      <c r="BA23" s="4">
        <v>190</v>
      </c>
      <c r="BB23" s="4">
        <v>66</v>
      </c>
      <c r="BC23" s="4">
        <v>70</v>
      </c>
      <c r="BD23" s="4">
        <v>13</v>
      </c>
      <c r="BE23" s="4">
        <v>315</v>
      </c>
      <c r="BF23" s="4">
        <v>433</v>
      </c>
      <c r="BG23" s="4">
        <v>287</v>
      </c>
      <c r="BH23" s="4">
        <v>313</v>
      </c>
      <c r="BI23" s="4">
        <v>305</v>
      </c>
      <c r="BJ23" s="4">
        <v>932</v>
      </c>
      <c r="BK23" s="4">
        <v>377</v>
      </c>
      <c r="BL23" s="4">
        <v>555</v>
      </c>
      <c r="BM23" s="4">
        <v>563</v>
      </c>
      <c r="BN23" s="4">
        <v>270</v>
      </c>
      <c r="BO23" s="4">
        <v>293</v>
      </c>
      <c r="BP23" s="4">
        <v>87</v>
      </c>
      <c r="BQ23" s="4">
        <v>38</v>
      </c>
      <c r="BR23" s="4">
        <v>49</v>
      </c>
      <c r="BS23" s="4">
        <v>281</v>
      </c>
      <c r="BT23" s="4">
        <v>69</v>
      </c>
      <c r="BU23" s="4">
        <v>213</v>
      </c>
      <c r="BV23" s="4">
        <v>0</v>
      </c>
      <c r="BW23" s="4">
        <v>74</v>
      </c>
      <c r="BX23" s="4">
        <v>400</v>
      </c>
      <c r="BY23" s="4">
        <v>580</v>
      </c>
      <c r="BZ23" s="4">
        <v>574</v>
      </c>
      <c r="CA23" s="4">
        <v>398</v>
      </c>
      <c r="CB23" s="4">
        <v>0</v>
      </c>
      <c r="CC23" s="4">
        <v>71</v>
      </c>
      <c r="CD23" s="4">
        <v>390</v>
      </c>
      <c r="CE23" s="4">
        <v>533</v>
      </c>
      <c r="CF23" s="4">
        <v>475</v>
      </c>
      <c r="CG23" s="4">
        <v>296</v>
      </c>
      <c r="CH23" s="4">
        <v>1612</v>
      </c>
      <c r="CI23" s="4">
        <v>782</v>
      </c>
      <c r="CJ23" s="4">
        <v>829</v>
      </c>
      <c r="CK23" s="4">
        <v>1443</v>
      </c>
      <c r="CL23" s="4">
        <v>691</v>
      </c>
      <c r="CM23" s="4">
        <v>752</v>
      </c>
      <c r="CN23" s="4">
        <v>168</v>
      </c>
      <c r="CO23" s="4">
        <v>91</v>
      </c>
      <c r="CP23" s="4">
        <v>78</v>
      </c>
      <c r="CQ23" s="4">
        <v>228</v>
      </c>
      <c r="CR23" s="4">
        <v>198</v>
      </c>
      <c r="CS23" s="4">
        <v>39</v>
      </c>
      <c r="CT23" s="4">
        <v>159</v>
      </c>
      <c r="CU23" s="4">
        <v>30</v>
      </c>
      <c r="CV23" s="4">
        <v>1235</v>
      </c>
      <c r="CW23" s="4">
        <v>119</v>
      </c>
      <c r="CX23" s="4">
        <v>38</v>
      </c>
      <c r="CY23" s="4">
        <v>4</v>
      </c>
      <c r="CZ23" s="4">
        <v>47</v>
      </c>
      <c r="DA23" s="4">
        <v>131</v>
      </c>
      <c r="DB23" s="4">
        <v>37</v>
      </c>
      <c r="DC23" s="4">
        <v>0</v>
      </c>
      <c r="DD23" s="4">
        <v>526</v>
      </c>
      <c r="DE23" s="4">
        <v>1086</v>
      </c>
      <c r="DF23" s="4">
        <v>982</v>
      </c>
      <c r="DG23" s="4">
        <v>15</v>
      </c>
      <c r="DH23" s="4">
        <v>17</v>
      </c>
      <c r="DI23" s="4">
        <v>71</v>
      </c>
      <c r="DJ23" s="4">
        <v>55</v>
      </c>
      <c r="DK23" s="4">
        <v>128</v>
      </c>
      <c r="DL23" s="4">
        <v>48</v>
      </c>
      <c r="DM23" s="4">
        <v>3</v>
      </c>
      <c r="DN23" s="4">
        <v>1269</v>
      </c>
      <c r="DO23" s="4">
        <v>269</v>
      </c>
      <c r="DP23" s="4">
        <v>0.5</v>
      </c>
      <c r="DQ23" s="4">
        <v>4341</v>
      </c>
      <c r="DR23" s="4">
        <v>65.5</v>
      </c>
      <c r="DS23" s="4">
        <v>67.2</v>
      </c>
      <c r="DT23" s="4">
        <v>28.9</v>
      </c>
      <c r="DU23" s="4">
        <v>56.3</v>
      </c>
      <c r="DV23" s="4">
        <v>20.6</v>
      </c>
      <c r="DW23" s="4">
        <v>16.3</v>
      </c>
      <c r="DX23" s="4">
        <v>29.3</v>
      </c>
      <c r="DY23" s="4">
        <v>89.5</v>
      </c>
      <c r="DZ23" s="4">
        <v>52.1</v>
      </c>
      <c r="EA23" s="4">
        <v>85.6</v>
      </c>
      <c r="EB23" s="43">
        <v>36.5</v>
      </c>
    </row>
    <row r="24" spans="1:132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1536</v>
      </c>
      <c r="I24" s="4">
        <v>459</v>
      </c>
      <c r="J24" s="4">
        <v>841</v>
      </c>
      <c r="K24" s="4">
        <v>236</v>
      </c>
      <c r="L24" s="4">
        <v>750</v>
      </c>
      <c r="M24" s="4">
        <v>197</v>
      </c>
      <c r="N24" s="4">
        <v>430</v>
      </c>
      <c r="O24" s="4">
        <v>123</v>
      </c>
      <c r="P24" s="4">
        <v>787</v>
      </c>
      <c r="Q24" s="4">
        <v>262</v>
      </c>
      <c r="R24" s="4">
        <v>412</v>
      </c>
      <c r="S24" s="4">
        <v>113</v>
      </c>
      <c r="T24" s="4">
        <v>925</v>
      </c>
      <c r="U24" s="4">
        <v>140</v>
      </c>
      <c r="V24" s="4">
        <v>652</v>
      </c>
      <c r="W24" s="4">
        <v>134</v>
      </c>
      <c r="X24" s="4">
        <v>515</v>
      </c>
      <c r="Y24" s="4">
        <v>56</v>
      </c>
      <c r="Z24" s="4">
        <v>386</v>
      </c>
      <c r="AA24" s="4">
        <v>73</v>
      </c>
      <c r="AB24" s="4">
        <v>410</v>
      </c>
      <c r="AC24" s="4">
        <v>84</v>
      </c>
      <c r="AD24" s="4">
        <v>265</v>
      </c>
      <c r="AE24" s="4">
        <v>61</v>
      </c>
      <c r="AF24" s="4">
        <v>637</v>
      </c>
      <c r="AG24" s="4">
        <v>75</v>
      </c>
      <c r="AH24" s="4">
        <v>471</v>
      </c>
      <c r="AI24" s="4">
        <v>91</v>
      </c>
      <c r="AJ24" s="4">
        <v>350</v>
      </c>
      <c r="AK24" s="4">
        <v>26</v>
      </c>
      <c r="AL24" s="4">
        <v>274</v>
      </c>
      <c r="AM24" s="4">
        <v>50</v>
      </c>
      <c r="AN24" s="4">
        <v>287</v>
      </c>
      <c r="AO24" s="4">
        <v>49</v>
      </c>
      <c r="AP24" s="4">
        <v>197</v>
      </c>
      <c r="AQ24" s="4">
        <v>86</v>
      </c>
      <c r="AR24" s="4">
        <v>41</v>
      </c>
      <c r="AS24" s="4">
        <v>66</v>
      </c>
      <c r="AT24" s="4">
        <v>289</v>
      </c>
      <c r="AU24" s="4">
        <v>23</v>
      </c>
      <c r="AV24" s="4">
        <v>65</v>
      </c>
      <c r="AW24" s="4">
        <v>14</v>
      </c>
      <c r="AX24" s="4">
        <v>180</v>
      </c>
      <c r="AY24" s="4">
        <v>3</v>
      </c>
      <c r="AZ24" s="4">
        <v>43</v>
      </c>
      <c r="BA24" s="4">
        <v>202</v>
      </c>
      <c r="BB24" s="4">
        <v>66</v>
      </c>
      <c r="BC24" s="4">
        <v>49</v>
      </c>
      <c r="BD24" s="4">
        <v>30</v>
      </c>
      <c r="BE24" s="4">
        <v>227</v>
      </c>
      <c r="BF24" s="4">
        <v>219</v>
      </c>
      <c r="BG24" s="4">
        <v>89</v>
      </c>
      <c r="BH24" s="4">
        <v>76</v>
      </c>
      <c r="BI24" s="4">
        <v>64</v>
      </c>
      <c r="BJ24" s="4">
        <v>611</v>
      </c>
      <c r="BK24" s="4">
        <v>234</v>
      </c>
      <c r="BL24" s="4">
        <v>377</v>
      </c>
      <c r="BM24" s="4">
        <v>261</v>
      </c>
      <c r="BN24" s="4">
        <v>120</v>
      </c>
      <c r="BO24" s="4">
        <v>141</v>
      </c>
      <c r="BP24" s="4">
        <v>49</v>
      </c>
      <c r="BQ24" s="4">
        <v>26</v>
      </c>
      <c r="BR24" s="4">
        <v>23</v>
      </c>
      <c r="BS24" s="4">
        <v>301</v>
      </c>
      <c r="BT24" s="4">
        <v>87</v>
      </c>
      <c r="BU24" s="4">
        <v>213</v>
      </c>
      <c r="BV24" s="4">
        <v>0</v>
      </c>
      <c r="BW24" s="4">
        <v>28</v>
      </c>
      <c r="BX24" s="4">
        <v>54</v>
      </c>
      <c r="BY24" s="4">
        <v>173</v>
      </c>
      <c r="BZ24" s="4">
        <v>287</v>
      </c>
      <c r="CA24" s="4">
        <v>342</v>
      </c>
      <c r="CB24" s="4">
        <v>0</v>
      </c>
      <c r="CC24" s="4">
        <v>23</v>
      </c>
      <c r="CD24" s="4">
        <v>54</v>
      </c>
      <c r="CE24" s="4">
        <v>142</v>
      </c>
      <c r="CF24" s="4">
        <v>186</v>
      </c>
      <c r="CG24" s="4">
        <v>227</v>
      </c>
      <c r="CH24" s="4">
        <v>647</v>
      </c>
      <c r="CI24" s="4">
        <v>361</v>
      </c>
      <c r="CJ24" s="4">
        <v>287</v>
      </c>
      <c r="CK24" s="4">
        <v>599</v>
      </c>
      <c r="CL24" s="4">
        <v>337</v>
      </c>
      <c r="CM24" s="4">
        <v>262</v>
      </c>
      <c r="CN24" s="4">
        <v>48</v>
      </c>
      <c r="CO24" s="4">
        <v>23</v>
      </c>
      <c r="CP24" s="4">
        <v>25</v>
      </c>
      <c r="CQ24" s="4">
        <v>145</v>
      </c>
      <c r="CR24" s="4">
        <v>135</v>
      </c>
      <c r="CS24" s="4">
        <v>38</v>
      </c>
      <c r="CT24" s="4">
        <v>97</v>
      </c>
      <c r="CU24" s="4">
        <v>10</v>
      </c>
      <c r="CV24" s="4">
        <v>465</v>
      </c>
      <c r="CW24" s="4">
        <v>89</v>
      </c>
      <c r="CX24" s="4">
        <v>11</v>
      </c>
      <c r="CY24" s="4">
        <v>14</v>
      </c>
      <c r="CZ24" s="4">
        <v>19</v>
      </c>
      <c r="DA24" s="4">
        <v>33</v>
      </c>
      <c r="DB24" s="4">
        <v>16</v>
      </c>
      <c r="DC24" s="4">
        <v>0</v>
      </c>
      <c r="DD24" s="4">
        <v>248</v>
      </c>
      <c r="DE24" s="4">
        <v>399</v>
      </c>
      <c r="DF24" s="4">
        <v>346</v>
      </c>
      <c r="DG24" s="4">
        <v>13</v>
      </c>
      <c r="DH24" s="4">
        <v>21</v>
      </c>
      <c r="DI24" s="4">
        <v>20</v>
      </c>
      <c r="DJ24" s="4">
        <v>13</v>
      </c>
      <c r="DK24" s="4">
        <v>96</v>
      </c>
      <c r="DL24" s="4">
        <v>33</v>
      </c>
      <c r="DM24" s="4">
        <v>0</v>
      </c>
      <c r="DN24" s="4">
        <v>379</v>
      </c>
      <c r="DO24" s="4">
        <v>118</v>
      </c>
      <c r="DP24" s="4">
        <v>0.2</v>
      </c>
      <c r="DQ24" s="4">
        <v>2461</v>
      </c>
      <c r="DR24" s="4">
        <v>62.4</v>
      </c>
      <c r="DS24" s="4">
        <v>60.2</v>
      </c>
      <c r="DT24" s="4">
        <v>30.5</v>
      </c>
      <c r="DU24" s="4">
        <v>41.5</v>
      </c>
      <c r="DV24" s="4">
        <v>16.3</v>
      </c>
      <c r="DW24" s="4">
        <v>31.2</v>
      </c>
      <c r="DX24" s="4">
        <v>46.4</v>
      </c>
      <c r="DY24" s="4">
        <v>92.6</v>
      </c>
      <c r="DZ24" s="4">
        <v>43.7</v>
      </c>
      <c r="EA24" s="4">
        <v>77.599999999999994</v>
      </c>
      <c r="EB24" s="43">
        <v>41.4</v>
      </c>
    </row>
    <row r="25" spans="1:132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1326</v>
      </c>
      <c r="I25" s="4">
        <v>344</v>
      </c>
      <c r="J25" s="4">
        <v>803</v>
      </c>
      <c r="K25" s="4">
        <v>180</v>
      </c>
      <c r="L25" s="4">
        <v>659</v>
      </c>
      <c r="M25" s="4">
        <v>181</v>
      </c>
      <c r="N25" s="4">
        <v>387</v>
      </c>
      <c r="O25" s="4">
        <v>90</v>
      </c>
      <c r="P25" s="4">
        <v>667</v>
      </c>
      <c r="Q25" s="4">
        <v>162</v>
      </c>
      <c r="R25" s="4">
        <v>416</v>
      </c>
      <c r="S25" s="4">
        <v>89</v>
      </c>
      <c r="T25" s="4">
        <v>835</v>
      </c>
      <c r="U25" s="4">
        <v>106</v>
      </c>
      <c r="V25" s="4">
        <v>646</v>
      </c>
      <c r="W25" s="4">
        <v>83</v>
      </c>
      <c r="X25" s="4">
        <v>461</v>
      </c>
      <c r="Y25" s="4">
        <v>59</v>
      </c>
      <c r="Z25" s="4">
        <v>350</v>
      </c>
      <c r="AA25" s="4">
        <v>52</v>
      </c>
      <c r="AB25" s="4">
        <v>374</v>
      </c>
      <c r="AC25" s="4">
        <v>46</v>
      </c>
      <c r="AD25" s="4">
        <v>296</v>
      </c>
      <c r="AE25" s="4">
        <v>31</v>
      </c>
      <c r="AF25" s="4">
        <v>599</v>
      </c>
      <c r="AG25" s="4">
        <v>62</v>
      </c>
      <c r="AH25" s="4">
        <v>484</v>
      </c>
      <c r="AI25" s="4">
        <v>53</v>
      </c>
      <c r="AJ25" s="4">
        <v>310</v>
      </c>
      <c r="AK25" s="4">
        <v>35</v>
      </c>
      <c r="AL25" s="4">
        <v>250</v>
      </c>
      <c r="AM25" s="4">
        <v>25</v>
      </c>
      <c r="AN25" s="4">
        <v>289</v>
      </c>
      <c r="AO25" s="4">
        <v>27</v>
      </c>
      <c r="AP25" s="4">
        <v>234</v>
      </c>
      <c r="AQ25" s="4">
        <v>74</v>
      </c>
      <c r="AR25" s="4">
        <v>28</v>
      </c>
      <c r="AS25" s="4">
        <v>37</v>
      </c>
      <c r="AT25" s="4">
        <v>236</v>
      </c>
      <c r="AU25" s="4">
        <v>18</v>
      </c>
      <c r="AV25" s="4">
        <v>43</v>
      </c>
      <c r="AW25" s="4">
        <v>10</v>
      </c>
      <c r="AX25" s="4">
        <v>162</v>
      </c>
      <c r="AY25" s="4">
        <v>4</v>
      </c>
      <c r="AZ25" s="4">
        <v>30</v>
      </c>
      <c r="BA25" s="4">
        <v>167</v>
      </c>
      <c r="BB25" s="4">
        <v>76</v>
      </c>
      <c r="BC25" s="4">
        <v>52</v>
      </c>
      <c r="BD25" s="4">
        <v>17</v>
      </c>
      <c r="BE25" s="4">
        <v>198</v>
      </c>
      <c r="BF25" s="4">
        <v>210</v>
      </c>
      <c r="BG25" s="4">
        <v>103</v>
      </c>
      <c r="BH25" s="4">
        <v>72</v>
      </c>
      <c r="BI25" s="4">
        <v>33</v>
      </c>
      <c r="BJ25" s="4">
        <v>491</v>
      </c>
      <c r="BK25" s="4">
        <v>197</v>
      </c>
      <c r="BL25" s="4">
        <v>294</v>
      </c>
      <c r="BM25" s="4">
        <v>201</v>
      </c>
      <c r="BN25" s="4">
        <v>114</v>
      </c>
      <c r="BO25" s="4">
        <v>88</v>
      </c>
      <c r="BP25" s="4">
        <v>66</v>
      </c>
      <c r="BQ25" s="4">
        <v>29</v>
      </c>
      <c r="BR25" s="4">
        <v>37</v>
      </c>
      <c r="BS25" s="4">
        <v>224</v>
      </c>
      <c r="BT25" s="4">
        <v>55</v>
      </c>
      <c r="BU25" s="4">
        <v>169</v>
      </c>
      <c r="BV25" s="4">
        <v>0</v>
      </c>
      <c r="BW25" s="4">
        <v>39</v>
      </c>
      <c r="BX25" s="4">
        <v>33</v>
      </c>
      <c r="BY25" s="4">
        <v>199</v>
      </c>
      <c r="BZ25" s="4">
        <v>277</v>
      </c>
      <c r="CA25" s="4">
        <v>218</v>
      </c>
      <c r="CB25" s="4">
        <v>0</v>
      </c>
      <c r="CC25" s="4">
        <v>29</v>
      </c>
      <c r="CD25" s="4">
        <v>25</v>
      </c>
      <c r="CE25" s="4">
        <v>176</v>
      </c>
      <c r="CF25" s="4">
        <v>227</v>
      </c>
      <c r="CG25" s="4">
        <v>149</v>
      </c>
      <c r="CH25" s="4">
        <v>603</v>
      </c>
      <c r="CI25" s="4">
        <v>310</v>
      </c>
      <c r="CJ25" s="4">
        <v>293</v>
      </c>
      <c r="CK25" s="4">
        <v>543</v>
      </c>
      <c r="CL25" s="4">
        <v>272</v>
      </c>
      <c r="CM25" s="4">
        <v>271</v>
      </c>
      <c r="CN25" s="4">
        <v>60</v>
      </c>
      <c r="CO25" s="4">
        <v>38</v>
      </c>
      <c r="CP25" s="4">
        <v>22</v>
      </c>
      <c r="CQ25" s="4">
        <v>129</v>
      </c>
      <c r="CR25" s="4">
        <v>112</v>
      </c>
      <c r="CS25" s="4">
        <v>36</v>
      </c>
      <c r="CT25" s="4">
        <v>75</v>
      </c>
      <c r="CU25" s="4">
        <v>17</v>
      </c>
      <c r="CV25" s="4">
        <v>436</v>
      </c>
      <c r="CW25" s="4">
        <v>70</v>
      </c>
      <c r="CX25" s="4">
        <v>26</v>
      </c>
      <c r="CY25" s="4">
        <v>4</v>
      </c>
      <c r="CZ25" s="4">
        <v>7</v>
      </c>
      <c r="DA25" s="4">
        <v>41</v>
      </c>
      <c r="DB25" s="4">
        <v>19</v>
      </c>
      <c r="DC25" s="4">
        <v>0</v>
      </c>
      <c r="DD25" s="4">
        <v>185</v>
      </c>
      <c r="DE25" s="4">
        <v>418</v>
      </c>
      <c r="DF25" s="4">
        <v>395</v>
      </c>
      <c r="DG25" s="4">
        <v>0</v>
      </c>
      <c r="DH25" s="4">
        <v>11</v>
      </c>
      <c r="DI25" s="4">
        <v>12</v>
      </c>
      <c r="DJ25" s="4">
        <v>3</v>
      </c>
      <c r="DK25" s="4">
        <v>44</v>
      </c>
      <c r="DL25" s="4">
        <v>4</v>
      </c>
      <c r="DM25" s="4">
        <v>11</v>
      </c>
      <c r="DN25" s="4">
        <v>418</v>
      </c>
      <c r="DO25" s="4">
        <v>131</v>
      </c>
      <c r="DP25" s="4">
        <v>0.2</v>
      </c>
      <c r="DQ25" s="4">
        <v>2349</v>
      </c>
      <c r="DR25" s="4">
        <v>56.4</v>
      </c>
      <c r="DS25" s="4">
        <v>63</v>
      </c>
      <c r="DT25" s="4">
        <v>30.8</v>
      </c>
      <c r="DU25" s="4">
        <v>45.2</v>
      </c>
      <c r="DV25" s="4">
        <v>18</v>
      </c>
      <c r="DW25" s="4">
        <v>28.3</v>
      </c>
      <c r="DX25" s="4">
        <v>40.6</v>
      </c>
      <c r="DY25" s="4">
        <v>90</v>
      </c>
      <c r="DZ25" s="4">
        <v>49.9</v>
      </c>
      <c r="EA25" s="4">
        <v>80.3</v>
      </c>
      <c r="EB25" s="43">
        <v>34.1</v>
      </c>
    </row>
    <row r="26" spans="1:132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2110</v>
      </c>
      <c r="I26" s="4">
        <v>490</v>
      </c>
      <c r="J26" s="4">
        <v>1305</v>
      </c>
      <c r="K26" s="4">
        <v>315</v>
      </c>
      <c r="L26" s="4">
        <v>984</v>
      </c>
      <c r="M26" s="4">
        <v>235</v>
      </c>
      <c r="N26" s="4">
        <v>621</v>
      </c>
      <c r="O26" s="4">
        <v>128</v>
      </c>
      <c r="P26" s="4">
        <v>1127</v>
      </c>
      <c r="Q26" s="4">
        <v>255</v>
      </c>
      <c r="R26" s="4">
        <v>685</v>
      </c>
      <c r="S26" s="4">
        <v>187</v>
      </c>
      <c r="T26" s="4">
        <v>1542</v>
      </c>
      <c r="U26" s="4">
        <v>205</v>
      </c>
      <c r="V26" s="4">
        <v>1111</v>
      </c>
      <c r="W26" s="4">
        <v>226</v>
      </c>
      <c r="X26" s="4">
        <v>781</v>
      </c>
      <c r="Y26" s="4">
        <v>99</v>
      </c>
      <c r="Z26" s="4">
        <v>584</v>
      </c>
      <c r="AA26" s="4">
        <v>98</v>
      </c>
      <c r="AB26" s="4">
        <v>761</v>
      </c>
      <c r="AC26" s="4">
        <v>106</v>
      </c>
      <c r="AD26" s="4">
        <v>527</v>
      </c>
      <c r="AE26" s="4">
        <v>128</v>
      </c>
      <c r="AF26" s="4">
        <v>1279</v>
      </c>
      <c r="AG26" s="4">
        <v>158</v>
      </c>
      <c r="AH26" s="4">
        <v>924</v>
      </c>
      <c r="AI26" s="4">
        <v>197</v>
      </c>
      <c r="AJ26" s="4">
        <v>660</v>
      </c>
      <c r="AK26" s="4">
        <v>82</v>
      </c>
      <c r="AL26" s="4">
        <v>494</v>
      </c>
      <c r="AM26" s="4">
        <v>85</v>
      </c>
      <c r="AN26" s="4">
        <v>619</v>
      </c>
      <c r="AO26" s="4">
        <v>77</v>
      </c>
      <c r="AP26" s="4">
        <v>430</v>
      </c>
      <c r="AQ26" s="4">
        <v>64</v>
      </c>
      <c r="AR26" s="4">
        <v>112</v>
      </c>
      <c r="AS26" s="4">
        <v>68</v>
      </c>
      <c r="AT26" s="4">
        <v>263</v>
      </c>
      <c r="AU26" s="4">
        <v>30</v>
      </c>
      <c r="AV26" s="4">
        <v>47</v>
      </c>
      <c r="AW26" s="4">
        <v>31</v>
      </c>
      <c r="AX26" s="4">
        <v>187</v>
      </c>
      <c r="AY26" s="4">
        <v>16</v>
      </c>
      <c r="AZ26" s="4">
        <v>29</v>
      </c>
      <c r="BA26" s="4">
        <v>111</v>
      </c>
      <c r="BB26" s="4">
        <v>24</v>
      </c>
      <c r="BC26" s="4">
        <v>52</v>
      </c>
      <c r="BD26" s="4">
        <v>31</v>
      </c>
      <c r="BE26" s="4">
        <v>293</v>
      </c>
      <c r="BF26" s="4">
        <v>356</v>
      </c>
      <c r="BG26" s="4">
        <v>204</v>
      </c>
      <c r="BH26" s="4">
        <v>257</v>
      </c>
      <c r="BI26" s="4">
        <v>270</v>
      </c>
      <c r="BJ26" s="4">
        <v>568</v>
      </c>
      <c r="BK26" s="4">
        <v>202</v>
      </c>
      <c r="BL26" s="4">
        <v>366</v>
      </c>
      <c r="BM26" s="4">
        <v>269</v>
      </c>
      <c r="BN26" s="4">
        <v>123</v>
      </c>
      <c r="BO26" s="4">
        <v>146</v>
      </c>
      <c r="BP26" s="4">
        <v>67</v>
      </c>
      <c r="BQ26" s="4">
        <v>23</v>
      </c>
      <c r="BR26" s="4">
        <v>45</v>
      </c>
      <c r="BS26" s="4">
        <v>232</v>
      </c>
      <c r="BT26" s="4">
        <v>57</v>
      </c>
      <c r="BU26" s="4">
        <v>176</v>
      </c>
      <c r="BV26" s="4">
        <v>0</v>
      </c>
      <c r="BW26" s="4">
        <v>73</v>
      </c>
      <c r="BX26" s="4">
        <v>313</v>
      </c>
      <c r="BY26" s="4">
        <v>454</v>
      </c>
      <c r="BZ26" s="4">
        <v>461</v>
      </c>
      <c r="CA26" s="4">
        <v>360</v>
      </c>
      <c r="CB26" s="4">
        <v>0</v>
      </c>
      <c r="CC26" s="4">
        <v>66</v>
      </c>
      <c r="CD26" s="4">
        <v>300</v>
      </c>
      <c r="CE26" s="4">
        <v>421</v>
      </c>
      <c r="CF26" s="4">
        <v>352</v>
      </c>
      <c r="CG26" s="4">
        <v>279</v>
      </c>
      <c r="CH26" s="4">
        <v>1286</v>
      </c>
      <c r="CI26" s="4">
        <v>667</v>
      </c>
      <c r="CJ26" s="4">
        <v>619</v>
      </c>
      <c r="CK26" s="4">
        <v>1170</v>
      </c>
      <c r="CL26" s="4">
        <v>590</v>
      </c>
      <c r="CM26" s="4">
        <v>580</v>
      </c>
      <c r="CN26" s="4">
        <v>116</v>
      </c>
      <c r="CO26" s="4">
        <v>77</v>
      </c>
      <c r="CP26" s="4">
        <v>39</v>
      </c>
      <c r="CQ26" s="4">
        <v>159</v>
      </c>
      <c r="CR26" s="4">
        <v>152</v>
      </c>
      <c r="CS26" s="4">
        <v>30</v>
      </c>
      <c r="CT26" s="4">
        <v>122</v>
      </c>
      <c r="CU26" s="4">
        <v>6</v>
      </c>
      <c r="CV26" s="4">
        <v>984</v>
      </c>
      <c r="CW26" s="4">
        <v>133</v>
      </c>
      <c r="CX26" s="4">
        <v>34</v>
      </c>
      <c r="CY26" s="4">
        <v>9</v>
      </c>
      <c r="CZ26" s="4">
        <v>11</v>
      </c>
      <c r="DA26" s="4">
        <v>66</v>
      </c>
      <c r="DB26" s="4">
        <v>47</v>
      </c>
      <c r="DC26" s="4">
        <v>3</v>
      </c>
      <c r="DD26" s="4">
        <v>406</v>
      </c>
      <c r="DE26" s="4">
        <v>880</v>
      </c>
      <c r="DF26" s="4">
        <v>803</v>
      </c>
      <c r="DG26" s="4">
        <v>12</v>
      </c>
      <c r="DH26" s="4">
        <v>24</v>
      </c>
      <c r="DI26" s="4">
        <v>41</v>
      </c>
      <c r="DJ26" s="4">
        <v>29</v>
      </c>
      <c r="DK26" s="4">
        <v>68</v>
      </c>
      <c r="DL26" s="4">
        <v>46</v>
      </c>
      <c r="DM26" s="4">
        <v>34</v>
      </c>
      <c r="DN26" s="4">
        <v>1004</v>
      </c>
      <c r="DO26" s="4">
        <v>241</v>
      </c>
      <c r="DP26" s="4">
        <v>0.4</v>
      </c>
      <c r="DQ26" s="4">
        <v>3195</v>
      </c>
      <c r="DR26" s="4">
        <v>66</v>
      </c>
      <c r="DS26" s="4">
        <v>73.099999999999994</v>
      </c>
      <c r="DT26" s="4">
        <v>41.8</v>
      </c>
      <c r="DU26" s="4">
        <v>60.6</v>
      </c>
      <c r="DV26" s="4">
        <v>32.200000000000003</v>
      </c>
      <c r="DW26" s="4">
        <v>17.100000000000001</v>
      </c>
      <c r="DX26" s="4">
        <v>22.9</v>
      </c>
      <c r="DY26" s="4">
        <v>91</v>
      </c>
      <c r="DZ26" s="4">
        <v>49.6</v>
      </c>
      <c r="EA26" s="4">
        <v>84.1</v>
      </c>
      <c r="EB26" s="43">
        <v>34.700000000000003</v>
      </c>
    </row>
    <row r="27" spans="1:132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1408</v>
      </c>
      <c r="I27" s="4">
        <v>404</v>
      </c>
      <c r="J27" s="4">
        <v>832</v>
      </c>
      <c r="K27" s="4">
        <v>172</v>
      </c>
      <c r="L27" s="4">
        <v>645</v>
      </c>
      <c r="M27" s="4">
        <v>172</v>
      </c>
      <c r="N27" s="4">
        <v>389</v>
      </c>
      <c r="O27" s="4">
        <v>84</v>
      </c>
      <c r="P27" s="4">
        <v>763</v>
      </c>
      <c r="Q27" s="4">
        <v>232</v>
      </c>
      <c r="R27" s="4">
        <v>443</v>
      </c>
      <c r="S27" s="4">
        <v>89</v>
      </c>
      <c r="T27" s="4">
        <v>772</v>
      </c>
      <c r="U27" s="4">
        <v>134</v>
      </c>
      <c r="V27" s="4">
        <v>566</v>
      </c>
      <c r="W27" s="4">
        <v>72</v>
      </c>
      <c r="X27" s="4">
        <v>421</v>
      </c>
      <c r="Y27" s="4">
        <v>61</v>
      </c>
      <c r="Z27" s="4">
        <v>324</v>
      </c>
      <c r="AA27" s="4">
        <v>36</v>
      </c>
      <c r="AB27" s="4">
        <v>351</v>
      </c>
      <c r="AC27" s="4">
        <v>73</v>
      </c>
      <c r="AD27" s="4">
        <v>242</v>
      </c>
      <c r="AE27" s="4">
        <v>36</v>
      </c>
      <c r="AF27" s="4">
        <v>535</v>
      </c>
      <c r="AG27" s="4">
        <v>67</v>
      </c>
      <c r="AH27" s="4">
        <v>416</v>
      </c>
      <c r="AI27" s="4">
        <v>52</v>
      </c>
      <c r="AJ27" s="4">
        <v>283</v>
      </c>
      <c r="AK27" s="4">
        <v>29</v>
      </c>
      <c r="AL27" s="4">
        <v>231</v>
      </c>
      <c r="AM27" s="4">
        <v>23</v>
      </c>
      <c r="AN27" s="4">
        <v>252</v>
      </c>
      <c r="AO27" s="4">
        <v>38</v>
      </c>
      <c r="AP27" s="4">
        <v>185</v>
      </c>
      <c r="AQ27" s="4">
        <v>79</v>
      </c>
      <c r="AR27" s="4">
        <v>29</v>
      </c>
      <c r="AS27" s="4">
        <v>52</v>
      </c>
      <c r="AT27" s="4">
        <v>237</v>
      </c>
      <c r="AU27" s="4">
        <v>10</v>
      </c>
      <c r="AV27" s="4">
        <v>67</v>
      </c>
      <c r="AW27" s="4">
        <v>11</v>
      </c>
      <c r="AX27" s="4">
        <v>150</v>
      </c>
      <c r="AY27" s="4">
        <v>0</v>
      </c>
      <c r="AZ27" s="4">
        <v>20</v>
      </c>
      <c r="BA27" s="4">
        <v>151</v>
      </c>
      <c r="BB27" s="4">
        <v>66</v>
      </c>
      <c r="BC27" s="4">
        <v>52</v>
      </c>
      <c r="BD27" s="4">
        <v>19</v>
      </c>
      <c r="BE27" s="4">
        <v>240</v>
      </c>
      <c r="BF27" s="4">
        <v>169</v>
      </c>
      <c r="BG27" s="4">
        <v>81</v>
      </c>
      <c r="BH27" s="4">
        <v>52</v>
      </c>
      <c r="BI27" s="4">
        <v>28</v>
      </c>
      <c r="BJ27" s="4">
        <v>636</v>
      </c>
      <c r="BK27" s="4">
        <v>224</v>
      </c>
      <c r="BL27" s="4">
        <v>412</v>
      </c>
      <c r="BM27" s="4">
        <v>235</v>
      </c>
      <c r="BN27" s="4">
        <v>91</v>
      </c>
      <c r="BO27" s="4">
        <v>144</v>
      </c>
      <c r="BP27" s="4">
        <v>35</v>
      </c>
      <c r="BQ27" s="4">
        <v>16</v>
      </c>
      <c r="BR27" s="4">
        <v>19</v>
      </c>
      <c r="BS27" s="4">
        <v>366</v>
      </c>
      <c r="BT27" s="4">
        <v>117</v>
      </c>
      <c r="BU27" s="4">
        <v>249</v>
      </c>
      <c r="BV27" s="4">
        <v>0</v>
      </c>
      <c r="BW27" s="4">
        <v>17</v>
      </c>
      <c r="BX27" s="4">
        <v>37</v>
      </c>
      <c r="BY27" s="4">
        <v>134</v>
      </c>
      <c r="BZ27" s="4">
        <v>232</v>
      </c>
      <c r="CA27" s="4">
        <v>307</v>
      </c>
      <c r="CB27" s="4">
        <v>0</v>
      </c>
      <c r="CC27" s="4">
        <v>9</v>
      </c>
      <c r="CD27" s="4">
        <v>34</v>
      </c>
      <c r="CE27" s="4">
        <v>107</v>
      </c>
      <c r="CF27" s="4">
        <v>179</v>
      </c>
      <c r="CG27" s="4">
        <v>227</v>
      </c>
      <c r="CH27" s="4">
        <v>537</v>
      </c>
      <c r="CI27" s="4">
        <v>284</v>
      </c>
      <c r="CJ27" s="4">
        <v>253</v>
      </c>
      <c r="CK27" s="4">
        <v>500</v>
      </c>
      <c r="CL27" s="4">
        <v>266</v>
      </c>
      <c r="CM27" s="4">
        <v>234</v>
      </c>
      <c r="CN27" s="4">
        <v>37</v>
      </c>
      <c r="CO27" s="4">
        <v>18</v>
      </c>
      <c r="CP27" s="4">
        <v>19</v>
      </c>
      <c r="CQ27" s="4">
        <v>112</v>
      </c>
      <c r="CR27" s="4">
        <v>108</v>
      </c>
      <c r="CS27" s="4">
        <v>23</v>
      </c>
      <c r="CT27" s="4">
        <v>85</v>
      </c>
      <c r="CU27" s="4">
        <v>5</v>
      </c>
      <c r="CV27" s="4">
        <v>394</v>
      </c>
      <c r="CW27" s="4">
        <v>47</v>
      </c>
      <c r="CX27" s="4">
        <v>35</v>
      </c>
      <c r="CY27" s="4">
        <v>3</v>
      </c>
      <c r="CZ27" s="4">
        <v>21</v>
      </c>
      <c r="DA27" s="4">
        <v>27</v>
      </c>
      <c r="DB27" s="4">
        <v>10</v>
      </c>
      <c r="DC27" s="4">
        <v>0</v>
      </c>
      <c r="DD27" s="4">
        <v>196</v>
      </c>
      <c r="DE27" s="4">
        <v>341</v>
      </c>
      <c r="DF27" s="4">
        <v>282</v>
      </c>
      <c r="DG27" s="4">
        <v>3</v>
      </c>
      <c r="DH27" s="4">
        <v>11</v>
      </c>
      <c r="DI27" s="4">
        <v>45</v>
      </c>
      <c r="DJ27" s="4">
        <v>16</v>
      </c>
      <c r="DK27" s="4">
        <v>50</v>
      </c>
      <c r="DL27" s="4">
        <v>33</v>
      </c>
      <c r="DM27" s="4">
        <v>6</v>
      </c>
      <c r="DN27" s="4">
        <v>329</v>
      </c>
      <c r="DO27" s="4">
        <v>123</v>
      </c>
      <c r="DP27" s="4">
        <v>0.2</v>
      </c>
      <c r="DQ27" s="4">
        <v>2342</v>
      </c>
      <c r="DR27" s="4">
        <v>60.1</v>
      </c>
      <c r="DS27" s="4">
        <v>54.8</v>
      </c>
      <c r="DT27" s="4">
        <v>33.200000000000003</v>
      </c>
      <c r="DU27" s="4">
        <v>38</v>
      </c>
      <c r="DV27" s="4">
        <v>16.600000000000001</v>
      </c>
      <c r="DW27" s="4">
        <v>30.7</v>
      </c>
      <c r="DX27" s="4">
        <v>50</v>
      </c>
      <c r="DY27" s="4">
        <v>93.1</v>
      </c>
      <c r="DZ27" s="4">
        <v>46.8</v>
      </c>
      <c r="EA27" s="4">
        <v>78.8</v>
      </c>
      <c r="EB27" s="43">
        <v>39.200000000000003</v>
      </c>
    </row>
    <row r="28" spans="1:132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1248</v>
      </c>
      <c r="I28" s="4">
        <v>285</v>
      </c>
      <c r="J28" s="4">
        <v>782</v>
      </c>
      <c r="K28" s="4">
        <v>181</v>
      </c>
      <c r="L28" s="4">
        <v>588</v>
      </c>
      <c r="M28" s="4">
        <v>141</v>
      </c>
      <c r="N28" s="4">
        <v>350</v>
      </c>
      <c r="O28" s="4">
        <v>96</v>
      </c>
      <c r="P28" s="4">
        <v>661</v>
      </c>
      <c r="Q28" s="4">
        <v>144</v>
      </c>
      <c r="R28" s="4">
        <v>432</v>
      </c>
      <c r="S28" s="4">
        <v>84</v>
      </c>
      <c r="T28" s="4">
        <v>755</v>
      </c>
      <c r="U28" s="4">
        <v>81</v>
      </c>
      <c r="V28" s="4">
        <v>569</v>
      </c>
      <c r="W28" s="4">
        <v>106</v>
      </c>
      <c r="X28" s="4">
        <v>410</v>
      </c>
      <c r="Y28" s="4">
        <v>39</v>
      </c>
      <c r="Z28" s="4">
        <v>306</v>
      </c>
      <c r="AA28" s="4">
        <v>65</v>
      </c>
      <c r="AB28" s="4">
        <v>346</v>
      </c>
      <c r="AC28" s="4">
        <v>41</v>
      </c>
      <c r="AD28" s="4">
        <v>263</v>
      </c>
      <c r="AE28" s="4">
        <v>41</v>
      </c>
      <c r="AF28" s="4">
        <v>514</v>
      </c>
      <c r="AG28" s="4">
        <v>43</v>
      </c>
      <c r="AH28" s="4">
        <v>405</v>
      </c>
      <c r="AI28" s="4">
        <v>66</v>
      </c>
      <c r="AJ28" s="4">
        <v>282</v>
      </c>
      <c r="AK28" s="4">
        <v>12</v>
      </c>
      <c r="AL28" s="4">
        <v>231</v>
      </c>
      <c r="AM28" s="4">
        <v>39</v>
      </c>
      <c r="AN28" s="4">
        <v>232</v>
      </c>
      <c r="AO28" s="4">
        <v>31</v>
      </c>
      <c r="AP28" s="4">
        <v>174</v>
      </c>
      <c r="AQ28" s="4">
        <v>51</v>
      </c>
      <c r="AR28" s="4">
        <v>27</v>
      </c>
      <c r="AS28" s="4">
        <v>54</v>
      </c>
      <c r="AT28" s="4">
        <v>241</v>
      </c>
      <c r="AU28" s="4">
        <v>7</v>
      </c>
      <c r="AV28" s="4">
        <v>38</v>
      </c>
      <c r="AW28" s="4">
        <v>10</v>
      </c>
      <c r="AX28" s="4">
        <v>164</v>
      </c>
      <c r="AY28" s="4">
        <v>15</v>
      </c>
      <c r="AZ28" s="4">
        <v>39</v>
      </c>
      <c r="BA28" s="4">
        <v>177</v>
      </c>
      <c r="BB28" s="4">
        <v>101</v>
      </c>
      <c r="BC28" s="4">
        <v>43</v>
      </c>
      <c r="BD28" s="4">
        <v>4</v>
      </c>
      <c r="BE28" s="4">
        <v>159</v>
      </c>
      <c r="BF28" s="4">
        <v>215</v>
      </c>
      <c r="BG28" s="4">
        <v>57</v>
      </c>
      <c r="BH28" s="4">
        <v>59</v>
      </c>
      <c r="BI28" s="4">
        <v>44</v>
      </c>
      <c r="BJ28" s="4">
        <v>493</v>
      </c>
      <c r="BK28" s="4">
        <v>178</v>
      </c>
      <c r="BL28" s="4">
        <v>315</v>
      </c>
      <c r="BM28" s="4">
        <v>181</v>
      </c>
      <c r="BN28" s="4">
        <v>98</v>
      </c>
      <c r="BO28" s="4">
        <v>83</v>
      </c>
      <c r="BP28" s="4">
        <v>22</v>
      </c>
      <c r="BQ28" s="4">
        <v>5</v>
      </c>
      <c r="BR28" s="4">
        <v>18</v>
      </c>
      <c r="BS28" s="4">
        <v>289</v>
      </c>
      <c r="BT28" s="4">
        <v>75</v>
      </c>
      <c r="BU28" s="4">
        <v>214</v>
      </c>
      <c r="BV28" s="4">
        <v>0</v>
      </c>
      <c r="BW28" s="4">
        <v>46</v>
      </c>
      <c r="BX28" s="4">
        <v>47</v>
      </c>
      <c r="BY28" s="4">
        <v>125</v>
      </c>
      <c r="BZ28" s="4">
        <v>250</v>
      </c>
      <c r="CA28" s="4">
        <v>296</v>
      </c>
      <c r="CB28" s="4">
        <v>0</v>
      </c>
      <c r="CC28" s="4">
        <v>46</v>
      </c>
      <c r="CD28" s="4">
        <v>47</v>
      </c>
      <c r="CE28" s="4">
        <v>81</v>
      </c>
      <c r="CF28" s="4">
        <v>177</v>
      </c>
      <c r="CG28" s="4">
        <v>180</v>
      </c>
      <c r="CH28" s="4">
        <v>521</v>
      </c>
      <c r="CI28" s="4">
        <v>288</v>
      </c>
      <c r="CJ28" s="4">
        <v>232</v>
      </c>
      <c r="CK28" s="4">
        <v>461</v>
      </c>
      <c r="CL28" s="4">
        <v>243</v>
      </c>
      <c r="CM28" s="4">
        <v>218</v>
      </c>
      <c r="CN28" s="4">
        <v>60</v>
      </c>
      <c r="CO28" s="4">
        <v>46</v>
      </c>
      <c r="CP28" s="4">
        <v>14</v>
      </c>
      <c r="CQ28" s="4">
        <v>107</v>
      </c>
      <c r="CR28" s="4">
        <v>94</v>
      </c>
      <c r="CS28" s="4">
        <v>32</v>
      </c>
      <c r="CT28" s="4">
        <v>62</v>
      </c>
      <c r="CU28" s="4">
        <v>14</v>
      </c>
      <c r="CV28" s="4">
        <v>360</v>
      </c>
      <c r="CW28" s="4">
        <v>69</v>
      </c>
      <c r="CX28" s="4">
        <v>12</v>
      </c>
      <c r="CY28" s="4">
        <v>10</v>
      </c>
      <c r="CZ28" s="4">
        <v>10</v>
      </c>
      <c r="DA28" s="4">
        <v>34</v>
      </c>
      <c r="DB28" s="4">
        <v>22</v>
      </c>
      <c r="DC28" s="4">
        <v>4</v>
      </c>
      <c r="DD28" s="4">
        <v>225</v>
      </c>
      <c r="DE28" s="4">
        <v>296</v>
      </c>
      <c r="DF28" s="4">
        <v>250</v>
      </c>
      <c r="DG28" s="4">
        <v>4</v>
      </c>
      <c r="DH28" s="4">
        <v>3</v>
      </c>
      <c r="DI28" s="4">
        <v>39</v>
      </c>
      <c r="DJ28" s="4">
        <v>3</v>
      </c>
      <c r="DK28" s="4">
        <v>45</v>
      </c>
      <c r="DL28" s="4">
        <v>7</v>
      </c>
      <c r="DM28" s="4">
        <v>5</v>
      </c>
      <c r="DN28" s="4">
        <v>349</v>
      </c>
      <c r="DO28" s="4">
        <v>124</v>
      </c>
      <c r="DP28" s="4">
        <v>0.1</v>
      </c>
      <c r="DQ28" s="4">
        <v>2163</v>
      </c>
      <c r="DR28" s="4">
        <v>57.7</v>
      </c>
      <c r="DS28" s="4">
        <v>60.5</v>
      </c>
      <c r="DT28" s="4">
        <v>28.4</v>
      </c>
      <c r="DU28" s="4">
        <v>41.2</v>
      </c>
      <c r="DV28" s="4">
        <v>15.1</v>
      </c>
      <c r="DW28" s="4">
        <v>31.9</v>
      </c>
      <c r="DX28" s="4">
        <v>46.9</v>
      </c>
      <c r="DY28" s="4">
        <v>88.5</v>
      </c>
      <c r="DZ28" s="4">
        <v>47.3</v>
      </c>
      <c r="EA28" s="4">
        <v>78.099999999999994</v>
      </c>
      <c r="EB28" s="43">
        <v>48.8</v>
      </c>
    </row>
    <row r="29" spans="1:132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1810</v>
      </c>
      <c r="I29" s="4">
        <v>451</v>
      </c>
      <c r="J29" s="4">
        <v>1053</v>
      </c>
      <c r="K29" s="4">
        <v>306</v>
      </c>
      <c r="L29" s="4">
        <v>878</v>
      </c>
      <c r="M29" s="4">
        <v>213</v>
      </c>
      <c r="N29" s="4">
        <v>485</v>
      </c>
      <c r="O29" s="4">
        <v>181</v>
      </c>
      <c r="P29" s="4">
        <v>932</v>
      </c>
      <c r="Q29" s="4">
        <v>238</v>
      </c>
      <c r="R29" s="4">
        <v>568</v>
      </c>
      <c r="S29" s="4">
        <v>126</v>
      </c>
      <c r="T29" s="4">
        <v>1099</v>
      </c>
      <c r="U29" s="4">
        <v>169</v>
      </c>
      <c r="V29" s="4">
        <v>774</v>
      </c>
      <c r="W29" s="4">
        <v>156</v>
      </c>
      <c r="X29" s="4">
        <v>597</v>
      </c>
      <c r="Y29" s="4">
        <v>82</v>
      </c>
      <c r="Z29" s="4">
        <v>416</v>
      </c>
      <c r="AA29" s="4">
        <v>99</v>
      </c>
      <c r="AB29" s="4">
        <v>502</v>
      </c>
      <c r="AC29" s="4">
        <v>88</v>
      </c>
      <c r="AD29" s="4">
        <v>357</v>
      </c>
      <c r="AE29" s="4">
        <v>56</v>
      </c>
      <c r="AF29" s="4">
        <v>805</v>
      </c>
      <c r="AG29" s="4">
        <v>108</v>
      </c>
      <c r="AH29" s="4">
        <v>563</v>
      </c>
      <c r="AI29" s="4">
        <v>134</v>
      </c>
      <c r="AJ29" s="4">
        <v>434</v>
      </c>
      <c r="AK29" s="4">
        <v>52</v>
      </c>
      <c r="AL29" s="4">
        <v>303</v>
      </c>
      <c r="AM29" s="4">
        <v>79</v>
      </c>
      <c r="AN29" s="4">
        <v>371</v>
      </c>
      <c r="AO29" s="4">
        <v>56</v>
      </c>
      <c r="AP29" s="4">
        <v>260</v>
      </c>
      <c r="AQ29" s="4">
        <v>89</v>
      </c>
      <c r="AR29" s="4">
        <v>55</v>
      </c>
      <c r="AS29" s="4">
        <v>56</v>
      </c>
      <c r="AT29" s="4">
        <v>294</v>
      </c>
      <c r="AU29" s="4">
        <v>17</v>
      </c>
      <c r="AV29" s="4">
        <v>62</v>
      </c>
      <c r="AW29" s="4">
        <v>11</v>
      </c>
      <c r="AX29" s="4">
        <v>211</v>
      </c>
      <c r="AY29" s="4">
        <v>12</v>
      </c>
      <c r="AZ29" s="4">
        <v>21</v>
      </c>
      <c r="BA29" s="4">
        <v>196</v>
      </c>
      <c r="BB29" s="4">
        <v>80</v>
      </c>
      <c r="BC29" s="4">
        <v>59</v>
      </c>
      <c r="BD29" s="4">
        <v>28</v>
      </c>
      <c r="BE29" s="4">
        <v>267</v>
      </c>
      <c r="BF29" s="4">
        <v>253</v>
      </c>
      <c r="BG29" s="4">
        <v>138</v>
      </c>
      <c r="BH29" s="4">
        <v>89</v>
      </c>
      <c r="BI29" s="4">
        <v>96</v>
      </c>
      <c r="BJ29" s="4">
        <v>711</v>
      </c>
      <c r="BK29" s="4">
        <v>281</v>
      </c>
      <c r="BL29" s="4">
        <v>430</v>
      </c>
      <c r="BM29" s="4">
        <v>216</v>
      </c>
      <c r="BN29" s="4">
        <v>94</v>
      </c>
      <c r="BO29" s="4">
        <v>121</v>
      </c>
      <c r="BP29" s="4">
        <v>79</v>
      </c>
      <c r="BQ29" s="4">
        <v>37</v>
      </c>
      <c r="BR29" s="4">
        <v>43</v>
      </c>
      <c r="BS29" s="4">
        <v>416</v>
      </c>
      <c r="BT29" s="4">
        <v>150</v>
      </c>
      <c r="BU29" s="4">
        <v>266</v>
      </c>
      <c r="BV29" s="4">
        <v>0</v>
      </c>
      <c r="BW29" s="4">
        <v>51</v>
      </c>
      <c r="BX29" s="4">
        <v>150</v>
      </c>
      <c r="BY29" s="4">
        <v>226</v>
      </c>
      <c r="BZ29" s="4">
        <v>340</v>
      </c>
      <c r="CA29" s="4">
        <v>375</v>
      </c>
      <c r="CB29" s="4">
        <v>0</v>
      </c>
      <c r="CC29" s="4">
        <v>50</v>
      </c>
      <c r="CD29" s="4">
        <v>142</v>
      </c>
      <c r="CE29" s="4">
        <v>182</v>
      </c>
      <c r="CF29" s="4">
        <v>262</v>
      </c>
      <c r="CG29" s="4">
        <v>242</v>
      </c>
      <c r="CH29" s="4">
        <v>815</v>
      </c>
      <c r="CI29" s="4">
        <v>441</v>
      </c>
      <c r="CJ29" s="4">
        <v>375</v>
      </c>
      <c r="CK29" s="4">
        <v>725</v>
      </c>
      <c r="CL29" s="4">
        <v>377</v>
      </c>
      <c r="CM29" s="4">
        <v>348</v>
      </c>
      <c r="CN29" s="4">
        <v>90</v>
      </c>
      <c r="CO29" s="4">
        <v>63</v>
      </c>
      <c r="CP29" s="4">
        <v>27</v>
      </c>
      <c r="CQ29" s="4">
        <v>215</v>
      </c>
      <c r="CR29" s="4">
        <v>193</v>
      </c>
      <c r="CS29" s="4">
        <v>56</v>
      </c>
      <c r="CT29" s="4">
        <v>138</v>
      </c>
      <c r="CU29" s="4">
        <v>21</v>
      </c>
      <c r="CV29" s="4">
        <v>541</v>
      </c>
      <c r="CW29" s="4">
        <v>94</v>
      </c>
      <c r="CX29" s="4">
        <v>35</v>
      </c>
      <c r="CY29" s="4">
        <v>15</v>
      </c>
      <c r="CZ29" s="4">
        <v>40</v>
      </c>
      <c r="DA29" s="4">
        <v>66</v>
      </c>
      <c r="DB29" s="4">
        <v>17</v>
      </c>
      <c r="DC29" s="4">
        <v>7</v>
      </c>
      <c r="DD29" s="4">
        <v>260</v>
      </c>
      <c r="DE29" s="4">
        <v>556</v>
      </c>
      <c r="DF29" s="4">
        <v>469</v>
      </c>
      <c r="DG29" s="4">
        <v>11</v>
      </c>
      <c r="DH29" s="4">
        <v>26</v>
      </c>
      <c r="DI29" s="4">
        <v>51</v>
      </c>
      <c r="DJ29" s="4">
        <v>8</v>
      </c>
      <c r="DK29" s="4">
        <v>80</v>
      </c>
      <c r="DL29" s="4">
        <v>18</v>
      </c>
      <c r="DM29" s="4">
        <v>11</v>
      </c>
      <c r="DN29" s="4">
        <v>468</v>
      </c>
      <c r="DO29" s="4">
        <v>302</v>
      </c>
      <c r="DP29" s="4">
        <v>0.2</v>
      </c>
      <c r="DQ29" s="4">
        <v>2876</v>
      </c>
      <c r="DR29" s="4">
        <v>62.9</v>
      </c>
      <c r="DS29" s="4">
        <v>60.7</v>
      </c>
      <c r="DT29" s="4">
        <v>37.5</v>
      </c>
      <c r="DU29" s="4">
        <v>44.5</v>
      </c>
      <c r="DV29" s="4">
        <v>23.9</v>
      </c>
      <c r="DW29" s="4">
        <v>26.8</v>
      </c>
      <c r="DX29" s="4">
        <v>36.700000000000003</v>
      </c>
      <c r="DY29" s="4">
        <v>89</v>
      </c>
      <c r="DZ29" s="4">
        <v>48</v>
      </c>
      <c r="EA29" s="4">
        <v>74.599999999999994</v>
      </c>
      <c r="EB29" s="43">
        <v>35.9</v>
      </c>
    </row>
    <row r="30" spans="1:132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1316</v>
      </c>
      <c r="I30" s="4">
        <v>393</v>
      </c>
      <c r="J30" s="4">
        <v>752</v>
      </c>
      <c r="K30" s="4">
        <v>171</v>
      </c>
      <c r="L30" s="4">
        <v>693</v>
      </c>
      <c r="M30" s="4">
        <v>226</v>
      </c>
      <c r="N30" s="4">
        <v>375</v>
      </c>
      <c r="O30" s="4">
        <v>92</v>
      </c>
      <c r="P30" s="4">
        <v>623</v>
      </c>
      <c r="Q30" s="4">
        <v>167</v>
      </c>
      <c r="R30" s="4">
        <v>377</v>
      </c>
      <c r="S30" s="4">
        <v>79</v>
      </c>
      <c r="T30" s="4">
        <v>748</v>
      </c>
      <c r="U30" s="4">
        <v>133</v>
      </c>
      <c r="V30" s="4">
        <v>527</v>
      </c>
      <c r="W30" s="4">
        <v>88</v>
      </c>
      <c r="X30" s="4">
        <v>446</v>
      </c>
      <c r="Y30" s="4">
        <v>79</v>
      </c>
      <c r="Z30" s="4">
        <v>316</v>
      </c>
      <c r="AA30" s="4">
        <v>52</v>
      </c>
      <c r="AB30" s="4">
        <v>301</v>
      </c>
      <c r="AC30" s="4">
        <v>54</v>
      </c>
      <c r="AD30" s="4">
        <v>211</v>
      </c>
      <c r="AE30" s="4">
        <v>37</v>
      </c>
      <c r="AF30" s="4">
        <v>507</v>
      </c>
      <c r="AG30" s="4">
        <v>72</v>
      </c>
      <c r="AH30" s="4">
        <v>370</v>
      </c>
      <c r="AI30" s="4">
        <v>65</v>
      </c>
      <c r="AJ30" s="4">
        <v>310</v>
      </c>
      <c r="AK30" s="4">
        <v>38</v>
      </c>
      <c r="AL30" s="4">
        <v>235</v>
      </c>
      <c r="AM30" s="4">
        <v>37</v>
      </c>
      <c r="AN30" s="4">
        <v>196</v>
      </c>
      <c r="AO30" s="4">
        <v>34</v>
      </c>
      <c r="AP30" s="4">
        <v>135</v>
      </c>
      <c r="AQ30" s="4">
        <v>79</v>
      </c>
      <c r="AR30" s="4">
        <v>28</v>
      </c>
      <c r="AS30" s="4">
        <v>43</v>
      </c>
      <c r="AT30" s="4">
        <v>241</v>
      </c>
      <c r="AU30" s="4">
        <v>10</v>
      </c>
      <c r="AV30" s="4">
        <v>61</v>
      </c>
      <c r="AW30" s="4">
        <v>3</v>
      </c>
      <c r="AX30" s="4">
        <v>157</v>
      </c>
      <c r="AY30" s="4">
        <v>1</v>
      </c>
      <c r="AZ30" s="4">
        <v>23</v>
      </c>
      <c r="BA30" s="4">
        <v>256</v>
      </c>
      <c r="BB30" s="4">
        <v>99</v>
      </c>
      <c r="BC30" s="4">
        <v>42</v>
      </c>
      <c r="BD30" s="4">
        <v>6</v>
      </c>
      <c r="BE30" s="4">
        <v>173</v>
      </c>
      <c r="BF30" s="4">
        <v>161</v>
      </c>
      <c r="BG30" s="4">
        <v>66</v>
      </c>
      <c r="BH30" s="4">
        <v>33</v>
      </c>
      <c r="BI30" s="4">
        <v>18</v>
      </c>
      <c r="BJ30" s="4">
        <v>568</v>
      </c>
      <c r="BK30" s="4">
        <v>246</v>
      </c>
      <c r="BL30" s="4">
        <v>321</v>
      </c>
      <c r="BM30" s="4">
        <v>192</v>
      </c>
      <c r="BN30" s="4">
        <v>100</v>
      </c>
      <c r="BO30" s="4">
        <v>92</v>
      </c>
      <c r="BP30" s="4">
        <v>50</v>
      </c>
      <c r="BQ30" s="4">
        <v>23</v>
      </c>
      <c r="BR30" s="4">
        <v>27</v>
      </c>
      <c r="BS30" s="4">
        <v>325</v>
      </c>
      <c r="BT30" s="4">
        <v>124</v>
      </c>
      <c r="BU30" s="4">
        <v>201</v>
      </c>
      <c r="BV30" s="4">
        <v>0</v>
      </c>
      <c r="BW30" s="4">
        <v>47</v>
      </c>
      <c r="BX30" s="4">
        <v>19</v>
      </c>
      <c r="BY30" s="4">
        <v>132</v>
      </c>
      <c r="BZ30" s="4">
        <v>224</v>
      </c>
      <c r="CA30" s="4">
        <v>257</v>
      </c>
      <c r="CB30" s="4">
        <v>0</v>
      </c>
      <c r="CC30" s="4">
        <v>40</v>
      </c>
      <c r="CD30" s="4">
        <v>9</v>
      </c>
      <c r="CE30" s="4">
        <v>112</v>
      </c>
      <c r="CF30" s="4">
        <v>159</v>
      </c>
      <c r="CG30" s="4">
        <v>169</v>
      </c>
      <c r="CH30" s="4">
        <v>514</v>
      </c>
      <c r="CI30" s="4">
        <v>314</v>
      </c>
      <c r="CJ30" s="4">
        <v>200</v>
      </c>
      <c r="CK30" s="4">
        <v>450</v>
      </c>
      <c r="CL30" s="4">
        <v>279</v>
      </c>
      <c r="CM30" s="4">
        <v>171</v>
      </c>
      <c r="CN30" s="4">
        <v>63</v>
      </c>
      <c r="CO30" s="4">
        <v>34</v>
      </c>
      <c r="CP30" s="4">
        <v>29</v>
      </c>
      <c r="CQ30" s="4">
        <v>114</v>
      </c>
      <c r="CR30" s="4">
        <v>98</v>
      </c>
      <c r="CS30" s="4">
        <v>42</v>
      </c>
      <c r="CT30" s="4">
        <v>56</v>
      </c>
      <c r="CU30" s="4">
        <v>16</v>
      </c>
      <c r="CV30" s="4">
        <v>337</v>
      </c>
      <c r="CW30" s="4">
        <v>71</v>
      </c>
      <c r="CX30" s="4">
        <v>28</v>
      </c>
      <c r="CY30" s="4">
        <v>3</v>
      </c>
      <c r="CZ30" s="4">
        <v>11</v>
      </c>
      <c r="DA30" s="4">
        <v>37</v>
      </c>
      <c r="DB30" s="4">
        <v>26</v>
      </c>
      <c r="DC30" s="4">
        <v>0</v>
      </c>
      <c r="DD30" s="4">
        <v>196</v>
      </c>
      <c r="DE30" s="4">
        <v>318</v>
      </c>
      <c r="DF30" s="4">
        <v>283</v>
      </c>
      <c r="DG30" s="4">
        <v>1</v>
      </c>
      <c r="DH30" s="4">
        <v>12</v>
      </c>
      <c r="DI30" s="4">
        <v>22</v>
      </c>
      <c r="DJ30" s="4">
        <v>4</v>
      </c>
      <c r="DK30" s="4">
        <v>29</v>
      </c>
      <c r="DL30" s="4">
        <v>0</v>
      </c>
      <c r="DM30" s="4">
        <v>5</v>
      </c>
      <c r="DN30" s="4">
        <v>297</v>
      </c>
      <c r="DO30" s="4">
        <v>164</v>
      </c>
      <c r="DP30" s="4">
        <v>0.2</v>
      </c>
      <c r="DQ30" s="4">
        <v>2270</v>
      </c>
      <c r="DR30" s="4">
        <v>58</v>
      </c>
      <c r="DS30" s="4">
        <v>56.8</v>
      </c>
      <c r="DT30" s="4">
        <v>33.799999999999997</v>
      </c>
      <c r="DU30" s="4">
        <v>38.5</v>
      </c>
      <c r="DV30" s="4">
        <v>18.3</v>
      </c>
      <c r="DW30" s="4">
        <v>32.200000000000003</v>
      </c>
      <c r="DX30" s="4">
        <v>45.9</v>
      </c>
      <c r="DY30" s="4">
        <v>87.5</v>
      </c>
      <c r="DZ30" s="4">
        <v>38</v>
      </c>
      <c r="EA30" s="4">
        <v>74.900000000000006</v>
      </c>
      <c r="EB30" s="43">
        <v>43.6</v>
      </c>
    </row>
    <row r="31" spans="1:132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1562</v>
      </c>
      <c r="I31" s="4">
        <v>415</v>
      </c>
      <c r="J31" s="4">
        <v>963</v>
      </c>
      <c r="K31" s="4">
        <v>183</v>
      </c>
      <c r="L31" s="4">
        <v>756</v>
      </c>
      <c r="M31" s="4">
        <v>212</v>
      </c>
      <c r="N31" s="4">
        <v>471</v>
      </c>
      <c r="O31" s="4">
        <v>73</v>
      </c>
      <c r="P31" s="4">
        <v>806</v>
      </c>
      <c r="Q31" s="4">
        <v>203</v>
      </c>
      <c r="R31" s="4">
        <v>492</v>
      </c>
      <c r="S31" s="4">
        <v>111</v>
      </c>
      <c r="T31" s="4">
        <v>967</v>
      </c>
      <c r="U31" s="4">
        <v>155</v>
      </c>
      <c r="V31" s="4">
        <v>705</v>
      </c>
      <c r="W31" s="4">
        <v>108</v>
      </c>
      <c r="X31" s="4">
        <v>525</v>
      </c>
      <c r="Y31" s="4">
        <v>78</v>
      </c>
      <c r="Z31" s="4">
        <v>403</v>
      </c>
      <c r="AA31" s="4">
        <v>45</v>
      </c>
      <c r="AB31" s="4">
        <v>442</v>
      </c>
      <c r="AC31" s="4">
        <v>78</v>
      </c>
      <c r="AD31" s="4">
        <v>302</v>
      </c>
      <c r="AE31" s="4">
        <v>63</v>
      </c>
      <c r="AF31" s="4">
        <v>672</v>
      </c>
      <c r="AG31" s="4">
        <v>91</v>
      </c>
      <c r="AH31" s="4">
        <v>507</v>
      </c>
      <c r="AI31" s="4">
        <v>74</v>
      </c>
      <c r="AJ31" s="4">
        <v>380</v>
      </c>
      <c r="AK31" s="4">
        <v>46</v>
      </c>
      <c r="AL31" s="4">
        <v>299</v>
      </c>
      <c r="AM31" s="4">
        <v>35</v>
      </c>
      <c r="AN31" s="4">
        <v>293</v>
      </c>
      <c r="AO31" s="4">
        <v>45</v>
      </c>
      <c r="AP31" s="4">
        <v>209</v>
      </c>
      <c r="AQ31" s="4">
        <v>49</v>
      </c>
      <c r="AR31" s="4">
        <v>38</v>
      </c>
      <c r="AS31" s="4">
        <v>76</v>
      </c>
      <c r="AT31" s="4">
        <v>295</v>
      </c>
      <c r="AU31" s="4">
        <v>19</v>
      </c>
      <c r="AV31" s="4">
        <v>64</v>
      </c>
      <c r="AW31" s="4">
        <v>6</v>
      </c>
      <c r="AX31" s="4">
        <v>197</v>
      </c>
      <c r="AY31" s="4">
        <v>13</v>
      </c>
      <c r="AZ31" s="4">
        <v>34</v>
      </c>
      <c r="BA31" s="4">
        <v>275</v>
      </c>
      <c r="BB31" s="4">
        <v>115</v>
      </c>
      <c r="BC31" s="4">
        <v>68</v>
      </c>
      <c r="BD31" s="4">
        <v>18</v>
      </c>
      <c r="BE31" s="4">
        <v>186</v>
      </c>
      <c r="BF31" s="4">
        <v>200</v>
      </c>
      <c r="BG31" s="4">
        <v>90</v>
      </c>
      <c r="BH31" s="4">
        <v>74</v>
      </c>
      <c r="BI31" s="4">
        <v>74</v>
      </c>
      <c r="BJ31" s="4">
        <v>595</v>
      </c>
      <c r="BK31" s="4">
        <v>231</v>
      </c>
      <c r="BL31" s="4">
        <v>363</v>
      </c>
      <c r="BM31" s="4">
        <v>156</v>
      </c>
      <c r="BN31" s="4">
        <v>85</v>
      </c>
      <c r="BO31" s="4">
        <v>71</v>
      </c>
      <c r="BP31" s="4">
        <v>46</v>
      </c>
      <c r="BQ31" s="4">
        <v>25</v>
      </c>
      <c r="BR31" s="4">
        <v>20</v>
      </c>
      <c r="BS31" s="4">
        <v>393</v>
      </c>
      <c r="BT31" s="4">
        <v>121</v>
      </c>
      <c r="BU31" s="4">
        <v>272</v>
      </c>
      <c r="BV31" s="4">
        <v>0</v>
      </c>
      <c r="BW31" s="4">
        <v>31</v>
      </c>
      <c r="BX31" s="4">
        <v>21</v>
      </c>
      <c r="BY31" s="4">
        <v>120</v>
      </c>
      <c r="BZ31" s="4">
        <v>257</v>
      </c>
      <c r="CA31" s="4">
        <v>295</v>
      </c>
      <c r="CB31" s="4">
        <v>0</v>
      </c>
      <c r="CC31" s="4">
        <v>29</v>
      </c>
      <c r="CD31" s="4">
        <v>20</v>
      </c>
      <c r="CE31" s="4">
        <v>80</v>
      </c>
      <c r="CF31" s="4">
        <v>187</v>
      </c>
      <c r="CG31" s="4">
        <v>207</v>
      </c>
      <c r="CH31" s="4">
        <v>681</v>
      </c>
      <c r="CI31" s="4">
        <v>389</v>
      </c>
      <c r="CJ31" s="4">
        <v>293</v>
      </c>
      <c r="CK31" s="4">
        <v>615</v>
      </c>
      <c r="CL31" s="4">
        <v>340</v>
      </c>
      <c r="CM31" s="4">
        <v>275</v>
      </c>
      <c r="CN31" s="4">
        <v>67</v>
      </c>
      <c r="CO31" s="4">
        <v>49</v>
      </c>
      <c r="CP31" s="4">
        <v>18</v>
      </c>
      <c r="CQ31" s="4">
        <v>156</v>
      </c>
      <c r="CR31" s="4">
        <v>149</v>
      </c>
      <c r="CS31" s="4">
        <v>47</v>
      </c>
      <c r="CT31" s="4">
        <v>101</v>
      </c>
      <c r="CU31" s="4">
        <v>7</v>
      </c>
      <c r="CV31" s="4">
        <v>485</v>
      </c>
      <c r="CW31" s="4">
        <v>71</v>
      </c>
      <c r="CX31" s="4">
        <v>23</v>
      </c>
      <c r="CY31" s="4">
        <v>12</v>
      </c>
      <c r="CZ31" s="4">
        <v>25</v>
      </c>
      <c r="DA31" s="4">
        <v>48</v>
      </c>
      <c r="DB31" s="4">
        <v>15</v>
      </c>
      <c r="DC31" s="4">
        <v>4</v>
      </c>
      <c r="DD31" s="4">
        <v>263</v>
      </c>
      <c r="DE31" s="4">
        <v>418</v>
      </c>
      <c r="DF31" s="4">
        <v>348</v>
      </c>
      <c r="DG31" s="4">
        <v>19</v>
      </c>
      <c r="DH31" s="4">
        <v>10</v>
      </c>
      <c r="DI31" s="4">
        <v>41</v>
      </c>
      <c r="DJ31" s="4">
        <v>28</v>
      </c>
      <c r="DK31" s="4">
        <v>34</v>
      </c>
      <c r="DL31" s="4">
        <v>16</v>
      </c>
      <c r="DM31" s="4">
        <v>3</v>
      </c>
      <c r="DN31" s="4">
        <v>344</v>
      </c>
      <c r="DO31" s="4">
        <v>109</v>
      </c>
      <c r="DP31" s="4">
        <v>0.2</v>
      </c>
      <c r="DQ31" s="4">
        <v>2635</v>
      </c>
      <c r="DR31" s="4">
        <v>59.3</v>
      </c>
      <c r="DS31" s="4">
        <v>61.9</v>
      </c>
      <c r="DT31" s="4">
        <v>37.299999999999997</v>
      </c>
      <c r="DU31" s="4">
        <v>43</v>
      </c>
      <c r="DV31" s="4">
        <v>21.9</v>
      </c>
      <c r="DW31" s="4">
        <v>30.5</v>
      </c>
      <c r="DX31" s="4">
        <v>41.3</v>
      </c>
      <c r="DY31" s="4">
        <v>90.3</v>
      </c>
      <c r="DZ31" s="4">
        <v>44.7</v>
      </c>
      <c r="EA31" s="4">
        <v>78.900000000000006</v>
      </c>
      <c r="EB31" s="43">
        <v>42.8</v>
      </c>
    </row>
    <row r="32" spans="1:132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1279</v>
      </c>
      <c r="I32" s="4">
        <v>337</v>
      </c>
      <c r="J32" s="4">
        <v>744</v>
      </c>
      <c r="K32" s="4">
        <v>198</v>
      </c>
      <c r="L32" s="4">
        <v>688</v>
      </c>
      <c r="M32" s="4">
        <v>191</v>
      </c>
      <c r="N32" s="4">
        <v>385</v>
      </c>
      <c r="O32" s="4">
        <v>112</v>
      </c>
      <c r="P32" s="4">
        <v>592</v>
      </c>
      <c r="Q32" s="4">
        <v>146</v>
      </c>
      <c r="R32" s="4">
        <v>359</v>
      </c>
      <c r="S32" s="4">
        <v>87</v>
      </c>
      <c r="T32" s="4">
        <v>705</v>
      </c>
      <c r="U32" s="4">
        <v>105</v>
      </c>
      <c r="V32" s="4">
        <v>506</v>
      </c>
      <c r="W32" s="4">
        <v>95</v>
      </c>
      <c r="X32" s="4">
        <v>436</v>
      </c>
      <c r="Y32" s="4">
        <v>68</v>
      </c>
      <c r="Z32" s="4">
        <v>310</v>
      </c>
      <c r="AA32" s="4">
        <v>58</v>
      </c>
      <c r="AB32" s="4">
        <v>269</v>
      </c>
      <c r="AC32" s="4">
        <v>36</v>
      </c>
      <c r="AD32" s="4">
        <v>196</v>
      </c>
      <c r="AE32" s="4">
        <v>37</v>
      </c>
      <c r="AF32" s="4">
        <v>451</v>
      </c>
      <c r="AG32" s="4">
        <v>45</v>
      </c>
      <c r="AH32" s="4">
        <v>342</v>
      </c>
      <c r="AI32" s="4">
        <v>63</v>
      </c>
      <c r="AJ32" s="4">
        <v>272</v>
      </c>
      <c r="AK32" s="4">
        <v>35</v>
      </c>
      <c r="AL32" s="4">
        <v>204</v>
      </c>
      <c r="AM32" s="4">
        <v>33</v>
      </c>
      <c r="AN32" s="4">
        <v>178</v>
      </c>
      <c r="AO32" s="4">
        <v>10</v>
      </c>
      <c r="AP32" s="4">
        <v>138</v>
      </c>
      <c r="AQ32" s="4">
        <v>69</v>
      </c>
      <c r="AR32" s="4">
        <v>30</v>
      </c>
      <c r="AS32" s="4">
        <v>45</v>
      </c>
      <c r="AT32" s="4">
        <v>255</v>
      </c>
      <c r="AU32" s="4">
        <v>15</v>
      </c>
      <c r="AV32" s="4">
        <v>60</v>
      </c>
      <c r="AW32" s="4">
        <v>11</v>
      </c>
      <c r="AX32" s="4">
        <v>163</v>
      </c>
      <c r="AY32" s="4">
        <v>6</v>
      </c>
      <c r="AZ32" s="4">
        <v>32</v>
      </c>
      <c r="BA32" s="4">
        <v>197</v>
      </c>
      <c r="BB32" s="4">
        <v>102</v>
      </c>
      <c r="BC32" s="4">
        <v>37</v>
      </c>
      <c r="BD32" s="4">
        <v>7</v>
      </c>
      <c r="BE32" s="4">
        <v>202</v>
      </c>
      <c r="BF32" s="4">
        <v>116</v>
      </c>
      <c r="BG32" s="4">
        <v>58</v>
      </c>
      <c r="BH32" s="4">
        <v>37</v>
      </c>
      <c r="BI32" s="4">
        <v>59</v>
      </c>
      <c r="BJ32" s="4">
        <v>574</v>
      </c>
      <c r="BK32" s="4">
        <v>251</v>
      </c>
      <c r="BL32" s="4">
        <v>322</v>
      </c>
      <c r="BM32" s="4">
        <v>199</v>
      </c>
      <c r="BN32" s="4">
        <v>101</v>
      </c>
      <c r="BO32" s="4">
        <v>98</v>
      </c>
      <c r="BP32" s="4">
        <v>49</v>
      </c>
      <c r="BQ32" s="4">
        <v>26</v>
      </c>
      <c r="BR32" s="4">
        <v>22</v>
      </c>
      <c r="BS32" s="4">
        <v>326</v>
      </c>
      <c r="BT32" s="4">
        <v>124</v>
      </c>
      <c r="BU32" s="4">
        <v>202</v>
      </c>
      <c r="BV32" s="4">
        <v>0</v>
      </c>
      <c r="BW32" s="4">
        <v>12</v>
      </c>
      <c r="BX32" s="4">
        <v>53</v>
      </c>
      <c r="BY32" s="4">
        <v>94</v>
      </c>
      <c r="BZ32" s="4">
        <v>194</v>
      </c>
      <c r="CA32" s="4">
        <v>242</v>
      </c>
      <c r="CB32" s="4">
        <v>0</v>
      </c>
      <c r="CC32" s="4">
        <v>8</v>
      </c>
      <c r="CD32" s="4">
        <v>48</v>
      </c>
      <c r="CE32" s="4">
        <v>81</v>
      </c>
      <c r="CF32" s="4">
        <v>132</v>
      </c>
      <c r="CG32" s="4">
        <v>151</v>
      </c>
      <c r="CH32" s="4">
        <v>462</v>
      </c>
      <c r="CI32" s="4">
        <v>277</v>
      </c>
      <c r="CJ32" s="4">
        <v>185</v>
      </c>
      <c r="CK32" s="4">
        <v>384</v>
      </c>
      <c r="CL32" s="4">
        <v>235</v>
      </c>
      <c r="CM32" s="4">
        <v>149</v>
      </c>
      <c r="CN32" s="4">
        <v>78</v>
      </c>
      <c r="CO32" s="4">
        <v>42</v>
      </c>
      <c r="CP32" s="4">
        <v>36</v>
      </c>
      <c r="CQ32" s="4">
        <v>94</v>
      </c>
      <c r="CR32" s="4">
        <v>78</v>
      </c>
      <c r="CS32" s="4">
        <v>33</v>
      </c>
      <c r="CT32" s="4">
        <v>45</v>
      </c>
      <c r="CU32" s="4">
        <v>16</v>
      </c>
      <c r="CV32" s="4">
        <v>279</v>
      </c>
      <c r="CW32" s="4">
        <v>71</v>
      </c>
      <c r="CX32" s="4">
        <v>14</v>
      </c>
      <c r="CY32" s="4">
        <v>13</v>
      </c>
      <c r="CZ32" s="4">
        <v>7</v>
      </c>
      <c r="DA32" s="4">
        <v>66</v>
      </c>
      <c r="DB32" s="4">
        <v>8</v>
      </c>
      <c r="DC32" s="4">
        <v>3</v>
      </c>
      <c r="DD32" s="4">
        <v>198</v>
      </c>
      <c r="DE32" s="4">
        <v>263</v>
      </c>
      <c r="DF32" s="4">
        <v>212</v>
      </c>
      <c r="DG32" s="4">
        <v>14</v>
      </c>
      <c r="DH32" s="4">
        <v>12</v>
      </c>
      <c r="DI32" s="4">
        <v>24</v>
      </c>
      <c r="DJ32" s="4">
        <v>11</v>
      </c>
      <c r="DK32" s="4">
        <v>51</v>
      </c>
      <c r="DL32" s="4">
        <v>13</v>
      </c>
      <c r="DM32" s="4">
        <v>3</v>
      </c>
      <c r="DN32" s="4">
        <v>246</v>
      </c>
      <c r="DO32" s="4">
        <v>111</v>
      </c>
      <c r="DP32" s="4">
        <v>0.3</v>
      </c>
      <c r="DQ32" s="4">
        <v>2081</v>
      </c>
      <c r="DR32" s="4">
        <v>61.5</v>
      </c>
      <c r="DS32" s="4">
        <v>55.1</v>
      </c>
      <c r="DT32" s="4">
        <v>31.2</v>
      </c>
      <c r="DU32" s="4">
        <v>35.299999999999997</v>
      </c>
      <c r="DV32" s="4">
        <v>13.4</v>
      </c>
      <c r="DW32" s="4">
        <v>36.200000000000003</v>
      </c>
      <c r="DX32" s="4">
        <v>57.1</v>
      </c>
      <c r="DY32" s="4">
        <v>83.1</v>
      </c>
      <c r="DZ32" s="4">
        <v>38.799999999999997</v>
      </c>
      <c r="EA32" s="4">
        <v>72.7</v>
      </c>
      <c r="EB32" s="43">
        <v>51.6</v>
      </c>
    </row>
    <row r="33" spans="1:132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389</v>
      </c>
      <c r="I33" s="4">
        <v>66</v>
      </c>
      <c r="J33" s="4">
        <v>265</v>
      </c>
      <c r="K33" s="4">
        <v>57</v>
      </c>
      <c r="L33" s="4">
        <v>257</v>
      </c>
      <c r="M33" s="4">
        <v>41</v>
      </c>
      <c r="N33" s="4">
        <v>174</v>
      </c>
      <c r="O33" s="4">
        <v>41</v>
      </c>
      <c r="P33" s="4">
        <v>132</v>
      </c>
      <c r="Q33" s="4">
        <v>25</v>
      </c>
      <c r="R33" s="4">
        <v>91</v>
      </c>
      <c r="S33" s="4">
        <v>16</v>
      </c>
      <c r="T33" s="4">
        <v>168</v>
      </c>
      <c r="U33" s="4">
        <v>16</v>
      </c>
      <c r="V33" s="4">
        <v>127</v>
      </c>
      <c r="W33" s="4">
        <v>26</v>
      </c>
      <c r="X33" s="4">
        <v>104</v>
      </c>
      <c r="Y33" s="4">
        <v>8</v>
      </c>
      <c r="Z33" s="4">
        <v>77</v>
      </c>
      <c r="AA33" s="4">
        <v>19</v>
      </c>
      <c r="AB33" s="4">
        <v>64</v>
      </c>
      <c r="AC33" s="4">
        <v>7</v>
      </c>
      <c r="AD33" s="4">
        <v>50</v>
      </c>
      <c r="AE33" s="4">
        <v>7</v>
      </c>
      <c r="AF33" s="4">
        <v>126</v>
      </c>
      <c r="AG33" s="4">
        <v>10</v>
      </c>
      <c r="AH33" s="4">
        <v>98</v>
      </c>
      <c r="AI33" s="4">
        <v>19</v>
      </c>
      <c r="AJ33" s="4">
        <v>78</v>
      </c>
      <c r="AK33" s="4">
        <v>6</v>
      </c>
      <c r="AL33" s="4">
        <v>61</v>
      </c>
      <c r="AM33" s="4">
        <v>11</v>
      </c>
      <c r="AN33" s="4">
        <v>48</v>
      </c>
      <c r="AO33" s="4">
        <v>4</v>
      </c>
      <c r="AP33" s="4">
        <v>36</v>
      </c>
      <c r="AQ33" s="4">
        <v>6</v>
      </c>
      <c r="AR33" s="4">
        <v>7</v>
      </c>
      <c r="AS33" s="4">
        <v>13</v>
      </c>
      <c r="AT33" s="4">
        <v>42</v>
      </c>
      <c r="AU33" s="4">
        <v>0</v>
      </c>
      <c r="AV33" s="4">
        <v>6</v>
      </c>
      <c r="AW33" s="4">
        <v>5</v>
      </c>
      <c r="AX33" s="4">
        <v>29</v>
      </c>
      <c r="AY33" s="4">
        <v>0</v>
      </c>
      <c r="AZ33" s="4">
        <v>7</v>
      </c>
      <c r="BA33" s="4">
        <v>41</v>
      </c>
      <c r="BB33" s="4">
        <v>15</v>
      </c>
      <c r="BC33" s="4">
        <v>13</v>
      </c>
      <c r="BD33" s="4">
        <v>3</v>
      </c>
      <c r="BE33" s="4">
        <v>52</v>
      </c>
      <c r="BF33" s="4">
        <v>44</v>
      </c>
      <c r="BG33" s="4">
        <v>6</v>
      </c>
      <c r="BH33" s="4">
        <v>9</v>
      </c>
      <c r="BI33" s="4">
        <v>3</v>
      </c>
      <c r="BJ33" s="4">
        <v>220</v>
      </c>
      <c r="BK33" s="4">
        <v>153</v>
      </c>
      <c r="BL33" s="4">
        <v>68</v>
      </c>
      <c r="BM33" s="4">
        <v>40</v>
      </c>
      <c r="BN33" s="4">
        <v>25</v>
      </c>
      <c r="BO33" s="4">
        <v>14</v>
      </c>
      <c r="BP33" s="4">
        <v>3</v>
      </c>
      <c r="BQ33" s="4">
        <v>1</v>
      </c>
      <c r="BR33" s="4">
        <v>2</v>
      </c>
      <c r="BS33" s="4">
        <v>178</v>
      </c>
      <c r="BT33" s="4">
        <v>126</v>
      </c>
      <c r="BU33" s="4">
        <v>51</v>
      </c>
      <c r="BV33" s="4">
        <v>0</v>
      </c>
      <c r="BW33" s="4">
        <v>0</v>
      </c>
      <c r="BX33" s="4">
        <v>5</v>
      </c>
      <c r="BY33" s="4">
        <v>28</v>
      </c>
      <c r="BZ33" s="4">
        <v>50</v>
      </c>
      <c r="CA33" s="4">
        <v>108</v>
      </c>
      <c r="CB33" s="4">
        <v>0</v>
      </c>
      <c r="CC33" s="4">
        <v>0</v>
      </c>
      <c r="CD33" s="4">
        <v>5</v>
      </c>
      <c r="CE33" s="4">
        <v>24</v>
      </c>
      <c r="CF33" s="4">
        <v>35</v>
      </c>
      <c r="CG33" s="4">
        <v>76</v>
      </c>
      <c r="CH33" s="4">
        <v>128</v>
      </c>
      <c r="CI33" s="4">
        <v>78</v>
      </c>
      <c r="CJ33" s="4">
        <v>50</v>
      </c>
      <c r="CK33" s="4">
        <v>127</v>
      </c>
      <c r="CL33" s="4">
        <v>77</v>
      </c>
      <c r="CM33" s="4">
        <v>49</v>
      </c>
      <c r="CN33" s="4">
        <v>2</v>
      </c>
      <c r="CO33" s="4">
        <v>1</v>
      </c>
      <c r="CP33" s="4">
        <v>1</v>
      </c>
      <c r="CQ33" s="4">
        <v>42</v>
      </c>
      <c r="CR33" s="4">
        <v>41</v>
      </c>
      <c r="CS33" s="4">
        <v>20</v>
      </c>
      <c r="CT33" s="4">
        <v>21</v>
      </c>
      <c r="CU33" s="4">
        <v>1</v>
      </c>
      <c r="CV33" s="4">
        <v>69</v>
      </c>
      <c r="CW33" s="4">
        <v>24</v>
      </c>
      <c r="CX33" s="4">
        <v>25</v>
      </c>
      <c r="CY33" s="4">
        <v>3</v>
      </c>
      <c r="CZ33" s="4">
        <v>6</v>
      </c>
      <c r="DA33" s="4">
        <v>2</v>
      </c>
      <c r="DB33" s="4">
        <v>0</v>
      </c>
      <c r="DC33" s="4">
        <v>0</v>
      </c>
      <c r="DD33" s="4">
        <v>40</v>
      </c>
      <c r="DE33" s="4">
        <v>89</v>
      </c>
      <c r="DF33" s="4">
        <v>83</v>
      </c>
      <c r="DG33" s="4">
        <v>1</v>
      </c>
      <c r="DH33" s="4">
        <v>5</v>
      </c>
      <c r="DI33" s="4">
        <v>0</v>
      </c>
      <c r="DJ33" s="4">
        <v>0</v>
      </c>
      <c r="DK33" s="4">
        <v>4</v>
      </c>
      <c r="DL33" s="4">
        <v>3</v>
      </c>
      <c r="DM33" s="4">
        <v>0</v>
      </c>
      <c r="DN33" s="4">
        <v>74</v>
      </c>
      <c r="DO33" s="4">
        <v>63</v>
      </c>
      <c r="DP33" s="4">
        <v>0.1</v>
      </c>
      <c r="DQ33" s="4">
        <v>554</v>
      </c>
      <c r="DR33" s="4">
        <v>70.2</v>
      </c>
      <c r="DS33" s="4">
        <v>43.2</v>
      </c>
      <c r="DT33" s="4">
        <v>24.2</v>
      </c>
      <c r="DU33" s="4">
        <v>32.4</v>
      </c>
      <c r="DV33" s="4">
        <v>15.2</v>
      </c>
      <c r="DW33" s="4">
        <v>25</v>
      </c>
      <c r="DX33" s="4">
        <v>37.5</v>
      </c>
      <c r="DY33" s="4">
        <v>99.2</v>
      </c>
      <c r="DZ33" s="4">
        <v>38.6</v>
      </c>
      <c r="EA33" s="4">
        <v>54.3</v>
      </c>
      <c r="EB33" s="43">
        <v>31.5</v>
      </c>
    </row>
    <row r="34" spans="1:132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1397</v>
      </c>
      <c r="I34" s="4">
        <v>309</v>
      </c>
      <c r="J34" s="4">
        <v>919</v>
      </c>
      <c r="K34" s="4">
        <v>168</v>
      </c>
      <c r="L34" s="4">
        <v>603</v>
      </c>
      <c r="M34" s="4">
        <v>139</v>
      </c>
      <c r="N34" s="4">
        <v>394</v>
      </c>
      <c r="O34" s="4">
        <v>70</v>
      </c>
      <c r="P34" s="4">
        <v>794</v>
      </c>
      <c r="Q34" s="4">
        <v>170</v>
      </c>
      <c r="R34" s="4">
        <v>525</v>
      </c>
      <c r="S34" s="4">
        <v>98</v>
      </c>
      <c r="T34" s="4">
        <v>745</v>
      </c>
      <c r="U34" s="4">
        <v>78</v>
      </c>
      <c r="V34" s="4">
        <v>573</v>
      </c>
      <c r="W34" s="4">
        <v>94</v>
      </c>
      <c r="X34" s="4">
        <v>376</v>
      </c>
      <c r="Y34" s="4">
        <v>40</v>
      </c>
      <c r="Z34" s="4">
        <v>288</v>
      </c>
      <c r="AA34" s="4">
        <v>47</v>
      </c>
      <c r="AB34" s="4">
        <v>370</v>
      </c>
      <c r="AC34" s="4">
        <v>38</v>
      </c>
      <c r="AD34" s="4">
        <v>285</v>
      </c>
      <c r="AE34" s="4">
        <v>47</v>
      </c>
      <c r="AF34" s="4">
        <v>488</v>
      </c>
      <c r="AG34" s="4">
        <v>29</v>
      </c>
      <c r="AH34" s="4">
        <v>408</v>
      </c>
      <c r="AI34" s="4">
        <v>51</v>
      </c>
      <c r="AJ34" s="4">
        <v>235</v>
      </c>
      <c r="AK34" s="4">
        <v>10</v>
      </c>
      <c r="AL34" s="4">
        <v>202</v>
      </c>
      <c r="AM34" s="4">
        <v>23</v>
      </c>
      <c r="AN34" s="4">
        <v>252</v>
      </c>
      <c r="AO34" s="4">
        <v>18</v>
      </c>
      <c r="AP34" s="4">
        <v>206</v>
      </c>
      <c r="AQ34" s="4">
        <v>62</v>
      </c>
      <c r="AR34" s="4">
        <v>28</v>
      </c>
      <c r="AS34" s="4">
        <v>45</v>
      </c>
      <c r="AT34" s="4">
        <v>258</v>
      </c>
      <c r="AU34" s="4">
        <v>4</v>
      </c>
      <c r="AV34" s="4">
        <v>49</v>
      </c>
      <c r="AW34" s="4">
        <v>21</v>
      </c>
      <c r="AX34" s="4">
        <v>166</v>
      </c>
      <c r="AY34" s="4">
        <v>0</v>
      </c>
      <c r="AZ34" s="4">
        <v>43</v>
      </c>
      <c r="BA34" s="4">
        <v>228</v>
      </c>
      <c r="BB34" s="4">
        <v>102</v>
      </c>
      <c r="BC34" s="4">
        <v>32</v>
      </c>
      <c r="BD34" s="4">
        <v>24</v>
      </c>
      <c r="BE34" s="4">
        <v>168</v>
      </c>
      <c r="BF34" s="4">
        <v>174</v>
      </c>
      <c r="BG34" s="4">
        <v>62</v>
      </c>
      <c r="BH34" s="4">
        <v>53</v>
      </c>
      <c r="BI34" s="4">
        <v>30</v>
      </c>
      <c r="BJ34" s="4">
        <v>651</v>
      </c>
      <c r="BK34" s="4">
        <v>227</v>
      </c>
      <c r="BL34" s="4">
        <v>424</v>
      </c>
      <c r="BM34" s="4">
        <v>201</v>
      </c>
      <c r="BN34" s="4">
        <v>91</v>
      </c>
      <c r="BO34" s="4">
        <v>111</v>
      </c>
      <c r="BP34" s="4">
        <v>43</v>
      </c>
      <c r="BQ34" s="4">
        <v>16</v>
      </c>
      <c r="BR34" s="4">
        <v>26</v>
      </c>
      <c r="BS34" s="4">
        <v>407</v>
      </c>
      <c r="BT34" s="4">
        <v>120</v>
      </c>
      <c r="BU34" s="4">
        <v>287</v>
      </c>
      <c r="BV34" s="4">
        <v>0</v>
      </c>
      <c r="BW34" s="4">
        <v>23</v>
      </c>
      <c r="BX34" s="4">
        <v>24</v>
      </c>
      <c r="BY34" s="4">
        <v>72</v>
      </c>
      <c r="BZ34" s="4">
        <v>252</v>
      </c>
      <c r="CA34" s="4">
        <v>263</v>
      </c>
      <c r="CB34" s="4">
        <v>0</v>
      </c>
      <c r="CC34" s="4">
        <v>18</v>
      </c>
      <c r="CD34" s="4">
        <v>21</v>
      </c>
      <c r="CE34" s="4">
        <v>62</v>
      </c>
      <c r="CF34" s="4">
        <v>195</v>
      </c>
      <c r="CG34" s="4">
        <v>156</v>
      </c>
      <c r="CH34" s="4">
        <v>494</v>
      </c>
      <c r="CI34" s="4">
        <v>241</v>
      </c>
      <c r="CJ34" s="4">
        <v>252</v>
      </c>
      <c r="CK34" s="4">
        <v>440</v>
      </c>
      <c r="CL34" s="4">
        <v>208</v>
      </c>
      <c r="CM34" s="4">
        <v>232</v>
      </c>
      <c r="CN34" s="4">
        <v>54</v>
      </c>
      <c r="CO34" s="4">
        <v>34</v>
      </c>
      <c r="CP34" s="4">
        <v>20</v>
      </c>
      <c r="CQ34" s="4">
        <v>135</v>
      </c>
      <c r="CR34" s="4">
        <v>119</v>
      </c>
      <c r="CS34" s="4">
        <v>24</v>
      </c>
      <c r="CT34" s="4">
        <v>95</v>
      </c>
      <c r="CU34" s="4">
        <v>16</v>
      </c>
      <c r="CV34" s="4">
        <v>314</v>
      </c>
      <c r="CW34" s="4">
        <v>92</v>
      </c>
      <c r="CX34" s="4">
        <v>19</v>
      </c>
      <c r="CY34" s="4">
        <v>13</v>
      </c>
      <c r="CZ34" s="4">
        <v>3</v>
      </c>
      <c r="DA34" s="4">
        <v>42</v>
      </c>
      <c r="DB34" s="4">
        <v>8</v>
      </c>
      <c r="DC34" s="4">
        <v>4</v>
      </c>
      <c r="DD34" s="4">
        <v>258</v>
      </c>
      <c r="DE34" s="4">
        <v>236</v>
      </c>
      <c r="DF34" s="4">
        <v>215</v>
      </c>
      <c r="DG34" s="4">
        <v>6</v>
      </c>
      <c r="DH34" s="4">
        <v>0</v>
      </c>
      <c r="DI34" s="4">
        <v>15</v>
      </c>
      <c r="DJ34" s="4">
        <v>9</v>
      </c>
      <c r="DK34" s="4">
        <v>48</v>
      </c>
      <c r="DL34" s="4">
        <v>4</v>
      </c>
      <c r="DM34" s="4">
        <v>0</v>
      </c>
      <c r="DN34" s="4">
        <v>326</v>
      </c>
      <c r="DO34" s="4">
        <v>72</v>
      </c>
      <c r="DP34" s="4">
        <v>0.2</v>
      </c>
      <c r="DQ34" s="4">
        <v>2341</v>
      </c>
      <c r="DR34" s="4">
        <v>59.7</v>
      </c>
      <c r="DS34" s="4">
        <v>53.3</v>
      </c>
      <c r="DT34" s="4">
        <v>25.2</v>
      </c>
      <c r="DU34" s="4">
        <v>34.9</v>
      </c>
      <c r="DV34" s="4">
        <v>9.4</v>
      </c>
      <c r="DW34" s="4">
        <v>34.6</v>
      </c>
      <c r="DX34" s="4">
        <v>62.8</v>
      </c>
      <c r="DY34" s="4">
        <v>89.1</v>
      </c>
      <c r="DZ34" s="4">
        <v>52.7</v>
      </c>
      <c r="EA34" s="4">
        <v>71.400000000000006</v>
      </c>
      <c r="EB34" s="43">
        <v>58.6</v>
      </c>
    </row>
    <row r="35" spans="1:132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933</v>
      </c>
      <c r="I35" s="4">
        <v>197</v>
      </c>
      <c r="J35" s="4">
        <v>540</v>
      </c>
      <c r="K35" s="4">
        <v>196</v>
      </c>
      <c r="L35" s="4">
        <v>472</v>
      </c>
      <c r="M35" s="4">
        <v>117</v>
      </c>
      <c r="N35" s="4">
        <v>262</v>
      </c>
      <c r="O35" s="4">
        <v>94</v>
      </c>
      <c r="P35" s="4">
        <v>460</v>
      </c>
      <c r="Q35" s="4">
        <v>80</v>
      </c>
      <c r="R35" s="4">
        <v>278</v>
      </c>
      <c r="S35" s="4">
        <v>102</v>
      </c>
      <c r="T35" s="4">
        <v>548</v>
      </c>
      <c r="U35" s="4">
        <v>56</v>
      </c>
      <c r="V35" s="4">
        <v>400</v>
      </c>
      <c r="W35" s="4">
        <v>91</v>
      </c>
      <c r="X35" s="4">
        <v>296</v>
      </c>
      <c r="Y35" s="4">
        <v>33</v>
      </c>
      <c r="Z35" s="4">
        <v>214</v>
      </c>
      <c r="AA35" s="4">
        <v>48</v>
      </c>
      <c r="AB35" s="4">
        <v>252</v>
      </c>
      <c r="AC35" s="4">
        <v>23</v>
      </c>
      <c r="AD35" s="4">
        <v>186</v>
      </c>
      <c r="AE35" s="4">
        <v>43</v>
      </c>
      <c r="AF35" s="4">
        <v>434</v>
      </c>
      <c r="AG35" s="4">
        <v>44</v>
      </c>
      <c r="AH35" s="4">
        <v>326</v>
      </c>
      <c r="AI35" s="4">
        <v>63</v>
      </c>
      <c r="AJ35" s="4">
        <v>232</v>
      </c>
      <c r="AK35" s="4">
        <v>26</v>
      </c>
      <c r="AL35" s="4">
        <v>173</v>
      </c>
      <c r="AM35" s="4">
        <v>34</v>
      </c>
      <c r="AN35" s="4">
        <v>202</v>
      </c>
      <c r="AO35" s="4">
        <v>19</v>
      </c>
      <c r="AP35" s="4">
        <v>153</v>
      </c>
      <c r="AQ35" s="4">
        <v>38</v>
      </c>
      <c r="AR35" s="4">
        <v>30</v>
      </c>
      <c r="AS35" s="4">
        <v>22</v>
      </c>
      <c r="AT35" s="4">
        <v>114</v>
      </c>
      <c r="AU35" s="4">
        <v>3</v>
      </c>
      <c r="AV35" s="4">
        <v>12</v>
      </c>
      <c r="AW35" s="4">
        <v>3</v>
      </c>
      <c r="AX35" s="4">
        <v>74</v>
      </c>
      <c r="AY35" s="4">
        <v>0</v>
      </c>
      <c r="AZ35" s="4">
        <v>28</v>
      </c>
      <c r="BA35" s="4">
        <v>147</v>
      </c>
      <c r="BB35" s="4">
        <v>44</v>
      </c>
      <c r="BC35" s="4">
        <v>20</v>
      </c>
      <c r="BD35" s="4">
        <v>3</v>
      </c>
      <c r="BE35" s="4">
        <v>144</v>
      </c>
      <c r="BF35" s="4">
        <v>115</v>
      </c>
      <c r="BG35" s="4">
        <v>66</v>
      </c>
      <c r="BH35" s="4">
        <v>26</v>
      </c>
      <c r="BI35" s="4">
        <v>31</v>
      </c>
      <c r="BJ35" s="4">
        <v>385</v>
      </c>
      <c r="BK35" s="4">
        <v>177</v>
      </c>
      <c r="BL35" s="4">
        <v>208</v>
      </c>
      <c r="BM35" s="4">
        <v>122</v>
      </c>
      <c r="BN35" s="4">
        <v>70</v>
      </c>
      <c r="BO35" s="4">
        <v>53</v>
      </c>
      <c r="BP35" s="4">
        <v>49</v>
      </c>
      <c r="BQ35" s="4">
        <v>20</v>
      </c>
      <c r="BR35" s="4">
        <v>28</v>
      </c>
      <c r="BS35" s="4">
        <v>214</v>
      </c>
      <c r="BT35" s="4">
        <v>87</v>
      </c>
      <c r="BU35" s="4">
        <v>127</v>
      </c>
      <c r="BV35" s="4">
        <v>0</v>
      </c>
      <c r="BW35" s="4">
        <v>32</v>
      </c>
      <c r="BX35" s="4">
        <v>45</v>
      </c>
      <c r="BY35" s="4">
        <v>77</v>
      </c>
      <c r="BZ35" s="4">
        <v>238</v>
      </c>
      <c r="CA35" s="4">
        <v>139</v>
      </c>
      <c r="CB35" s="4">
        <v>0</v>
      </c>
      <c r="CC35" s="4">
        <v>32</v>
      </c>
      <c r="CD35" s="4">
        <v>39</v>
      </c>
      <c r="CE35" s="4">
        <v>70</v>
      </c>
      <c r="CF35" s="4">
        <v>188</v>
      </c>
      <c r="CG35" s="4">
        <v>115</v>
      </c>
      <c r="CH35" s="4">
        <v>447</v>
      </c>
      <c r="CI35" s="4">
        <v>239</v>
      </c>
      <c r="CJ35" s="4">
        <v>208</v>
      </c>
      <c r="CK35" s="4">
        <v>407</v>
      </c>
      <c r="CL35" s="4">
        <v>208</v>
      </c>
      <c r="CM35" s="4">
        <v>199</v>
      </c>
      <c r="CN35" s="4">
        <v>40</v>
      </c>
      <c r="CO35" s="4">
        <v>31</v>
      </c>
      <c r="CP35" s="4">
        <v>9</v>
      </c>
      <c r="CQ35" s="4">
        <v>87</v>
      </c>
      <c r="CR35" s="4">
        <v>83</v>
      </c>
      <c r="CS35" s="4">
        <v>24</v>
      </c>
      <c r="CT35" s="4">
        <v>59</v>
      </c>
      <c r="CU35" s="4">
        <v>3</v>
      </c>
      <c r="CV35" s="4">
        <v>315</v>
      </c>
      <c r="CW35" s="4">
        <v>66</v>
      </c>
      <c r="CX35" s="4">
        <v>11</v>
      </c>
      <c r="CY35" s="4">
        <v>6</v>
      </c>
      <c r="CZ35" s="4">
        <v>8</v>
      </c>
      <c r="DA35" s="4">
        <v>22</v>
      </c>
      <c r="DB35" s="4">
        <v>19</v>
      </c>
      <c r="DC35" s="4">
        <v>0</v>
      </c>
      <c r="DD35" s="4">
        <v>155</v>
      </c>
      <c r="DE35" s="4">
        <v>292</v>
      </c>
      <c r="DF35" s="4">
        <v>247</v>
      </c>
      <c r="DG35" s="4">
        <v>11</v>
      </c>
      <c r="DH35" s="4">
        <v>11</v>
      </c>
      <c r="DI35" s="4">
        <v>23</v>
      </c>
      <c r="DJ35" s="4">
        <v>15</v>
      </c>
      <c r="DK35" s="4">
        <v>23</v>
      </c>
      <c r="DL35" s="4">
        <v>8</v>
      </c>
      <c r="DM35" s="4">
        <v>0</v>
      </c>
      <c r="DN35" s="4">
        <v>380</v>
      </c>
      <c r="DO35" s="4">
        <v>33</v>
      </c>
      <c r="DP35" s="4">
        <v>1</v>
      </c>
      <c r="DQ35" s="4">
        <v>1697</v>
      </c>
      <c r="DR35" s="4">
        <v>55</v>
      </c>
      <c r="DS35" s="4">
        <v>58.7</v>
      </c>
      <c r="DT35" s="4">
        <v>28.4</v>
      </c>
      <c r="DU35" s="4">
        <v>46.5</v>
      </c>
      <c r="DV35" s="4">
        <v>22.3</v>
      </c>
      <c r="DW35" s="4">
        <v>20.8</v>
      </c>
      <c r="DX35" s="4">
        <v>21.4</v>
      </c>
      <c r="DY35" s="4">
        <v>91.1</v>
      </c>
      <c r="DZ35" s="4">
        <v>48.9</v>
      </c>
      <c r="EA35" s="4">
        <v>77.400000000000006</v>
      </c>
      <c r="EB35" s="43">
        <v>38.1</v>
      </c>
    </row>
    <row r="36" spans="1:132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2268</v>
      </c>
      <c r="I36" s="4">
        <v>502</v>
      </c>
      <c r="J36" s="4">
        <v>1380</v>
      </c>
      <c r="K36" s="4">
        <v>385</v>
      </c>
      <c r="L36" s="4">
        <v>1056</v>
      </c>
      <c r="M36" s="4">
        <v>259</v>
      </c>
      <c r="N36" s="4">
        <v>623</v>
      </c>
      <c r="O36" s="4">
        <v>174</v>
      </c>
      <c r="P36" s="4">
        <v>1212</v>
      </c>
      <c r="Q36" s="4">
        <v>243</v>
      </c>
      <c r="R36" s="4">
        <v>757</v>
      </c>
      <c r="S36" s="4">
        <v>211</v>
      </c>
      <c r="T36" s="4">
        <v>1599</v>
      </c>
      <c r="U36" s="4">
        <v>182</v>
      </c>
      <c r="V36" s="4">
        <v>1197</v>
      </c>
      <c r="W36" s="4">
        <v>220</v>
      </c>
      <c r="X36" s="4">
        <v>771</v>
      </c>
      <c r="Y36" s="4">
        <v>84</v>
      </c>
      <c r="Z36" s="4">
        <v>583</v>
      </c>
      <c r="AA36" s="4">
        <v>105</v>
      </c>
      <c r="AB36" s="4">
        <v>828</v>
      </c>
      <c r="AC36" s="4">
        <v>98</v>
      </c>
      <c r="AD36" s="4">
        <v>615</v>
      </c>
      <c r="AE36" s="4">
        <v>115</v>
      </c>
      <c r="AF36" s="4">
        <v>1273</v>
      </c>
      <c r="AG36" s="4">
        <v>115</v>
      </c>
      <c r="AH36" s="4">
        <v>990</v>
      </c>
      <c r="AI36" s="4">
        <v>168</v>
      </c>
      <c r="AJ36" s="4">
        <v>601</v>
      </c>
      <c r="AK36" s="4">
        <v>44</v>
      </c>
      <c r="AL36" s="4">
        <v>479</v>
      </c>
      <c r="AM36" s="4">
        <v>78</v>
      </c>
      <c r="AN36" s="4">
        <v>672</v>
      </c>
      <c r="AO36" s="4">
        <v>71</v>
      </c>
      <c r="AP36" s="4">
        <v>511</v>
      </c>
      <c r="AQ36" s="4">
        <v>72</v>
      </c>
      <c r="AR36" s="4">
        <v>90</v>
      </c>
      <c r="AS36" s="4">
        <v>79</v>
      </c>
      <c r="AT36" s="4">
        <v>326</v>
      </c>
      <c r="AU36" s="4">
        <v>28</v>
      </c>
      <c r="AV36" s="4">
        <v>67</v>
      </c>
      <c r="AW36" s="4">
        <v>37</v>
      </c>
      <c r="AX36" s="4">
        <v>207</v>
      </c>
      <c r="AY36" s="4">
        <v>29</v>
      </c>
      <c r="AZ36" s="4">
        <v>52</v>
      </c>
      <c r="BA36" s="4">
        <v>192</v>
      </c>
      <c r="BB36" s="4">
        <v>62</v>
      </c>
      <c r="BC36" s="4">
        <v>75</v>
      </c>
      <c r="BD36" s="4">
        <v>20</v>
      </c>
      <c r="BE36" s="4">
        <v>283</v>
      </c>
      <c r="BF36" s="4">
        <v>415</v>
      </c>
      <c r="BG36" s="4">
        <v>212</v>
      </c>
      <c r="BH36" s="4">
        <v>250</v>
      </c>
      <c r="BI36" s="4">
        <v>172</v>
      </c>
      <c r="BJ36" s="4">
        <v>669</v>
      </c>
      <c r="BK36" s="4">
        <v>285</v>
      </c>
      <c r="BL36" s="4">
        <v>384</v>
      </c>
      <c r="BM36" s="4">
        <v>282</v>
      </c>
      <c r="BN36" s="4">
        <v>154</v>
      </c>
      <c r="BO36" s="4">
        <v>128</v>
      </c>
      <c r="BP36" s="4">
        <v>125</v>
      </c>
      <c r="BQ36" s="4">
        <v>59</v>
      </c>
      <c r="BR36" s="4">
        <v>67</v>
      </c>
      <c r="BS36" s="4">
        <v>262</v>
      </c>
      <c r="BT36" s="4">
        <v>72</v>
      </c>
      <c r="BU36" s="4">
        <v>190</v>
      </c>
      <c r="BV36" s="4">
        <v>0</v>
      </c>
      <c r="BW36" s="4">
        <v>66</v>
      </c>
      <c r="BX36" s="4">
        <v>224</v>
      </c>
      <c r="BY36" s="4">
        <v>494</v>
      </c>
      <c r="BZ36" s="4">
        <v>433</v>
      </c>
      <c r="CA36" s="4">
        <v>416</v>
      </c>
      <c r="CB36" s="4">
        <v>0</v>
      </c>
      <c r="CC36" s="4">
        <v>65</v>
      </c>
      <c r="CD36" s="4">
        <v>194</v>
      </c>
      <c r="CE36" s="4">
        <v>445</v>
      </c>
      <c r="CF36" s="4">
        <v>352</v>
      </c>
      <c r="CG36" s="4">
        <v>293</v>
      </c>
      <c r="CH36" s="4">
        <v>1278</v>
      </c>
      <c r="CI36" s="4">
        <v>601</v>
      </c>
      <c r="CJ36" s="4">
        <v>676</v>
      </c>
      <c r="CK36" s="4">
        <v>1168</v>
      </c>
      <c r="CL36" s="4">
        <v>548</v>
      </c>
      <c r="CM36" s="4">
        <v>621</v>
      </c>
      <c r="CN36" s="4">
        <v>109</v>
      </c>
      <c r="CO36" s="4">
        <v>53</v>
      </c>
      <c r="CP36" s="4">
        <v>56</v>
      </c>
      <c r="CQ36" s="4">
        <v>186</v>
      </c>
      <c r="CR36" s="4">
        <v>178</v>
      </c>
      <c r="CS36" s="4">
        <v>60</v>
      </c>
      <c r="CT36" s="4">
        <v>119</v>
      </c>
      <c r="CU36" s="4">
        <v>8</v>
      </c>
      <c r="CV36" s="4">
        <v>989</v>
      </c>
      <c r="CW36" s="4">
        <v>127</v>
      </c>
      <c r="CX36" s="4">
        <v>31</v>
      </c>
      <c r="CY36" s="4">
        <v>3</v>
      </c>
      <c r="CZ36" s="4">
        <v>17</v>
      </c>
      <c r="DA36" s="4">
        <v>67</v>
      </c>
      <c r="DB36" s="4">
        <v>39</v>
      </c>
      <c r="DC36" s="4">
        <v>3</v>
      </c>
      <c r="DD36" s="4">
        <v>488</v>
      </c>
      <c r="DE36" s="4">
        <v>790</v>
      </c>
      <c r="DF36" s="4">
        <v>697</v>
      </c>
      <c r="DG36" s="4">
        <v>33</v>
      </c>
      <c r="DH36" s="4">
        <v>10</v>
      </c>
      <c r="DI36" s="4">
        <v>50</v>
      </c>
      <c r="DJ36" s="4">
        <v>21</v>
      </c>
      <c r="DK36" s="4">
        <v>62</v>
      </c>
      <c r="DL36" s="4">
        <v>29</v>
      </c>
      <c r="DM36" s="4">
        <v>25</v>
      </c>
      <c r="DN36" s="4">
        <v>1049</v>
      </c>
      <c r="DO36" s="4">
        <v>169</v>
      </c>
      <c r="DP36" s="4">
        <v>0.5</v>
      </c>
      <c r="DQ36" s="4">
        <v>3515</v>
      </c>
      <c r="DR36" s="4">
        <v>64.5</v>
      </c>
      <c r="DS36" s="4">
        <v>70.5</v>
      </c>
      <c r="DT36" s="4">
        <v>36.299999999999997</v>
      </c>
      <c r="DU36" s="4">
        <v>56.1</v>
      </c>
      <c r="DV36" s="4">
        <v>22.9</v>
      </c>
      <c r="DW36" s="4">
        <v>20.399999999999999</v>
      </c>
      <c r="DX36" s="4">
        <v>36.799999999999997</v>
      </c>
      <c r="DY36" s="4">
        <v>91.4</v>
      </c>
      <c r="DZ36" s="4">
        <v>53.2</v>
      </c>
      <c r="EA36" s="4">
        <v>84.7</v>
      </c>
      <c r="EB36" s="43">
        <v>41.8</v>
      </c>
    </row>
    <row r="37" spans="1:132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1525</v>
      </c>
      <c r="I37" s="4">
        <v>325</v>
      </c>
      <c r="J37" s="4">
        <v>874</v>
      </c>
      <c r="K37" s="4">
        <v>326</v>
      </c>
      <c r="L37" s="4">
        <v>758</v>
      </c>
      <c r="M37" s="4">
        <v>174</v>
      </c>
      <c r="N37" s="4">
        <v>432</v>
      </c>
      <c r="O37" s="4">
        <v>152</v>
      </c>
      <c r="P37" s="4">
        <v>767</v>
      </c>
      <c r="Q37" s="4">
        <v>151</v>
      </c>
      <c r="R37" s="4">
        <v>442</v>
      </c>
      <c r="S37" s="4">
        <v>174</v>
      </c>
      <c r="T37" s="4">
        <v>1082</v>
      </c>
      <c r="U37" s="4">
        <v>158</v>
      </c>
      <c r="V37" s="4">
        <v>735</v>
      </c>
      <c r="W37" s="4">
        <v>189</v>
      </c>
      <c r="X37" s="4">
        <v>611</v>
      </c>
      <c r="Y37" s="4">
        <v>111</v>
      </c>
      <c r="Z37" s="4">
        <v>399</v>
      </c>
      <c r="AA37" s="4">
        <v>100</v>
      </c>
      <c r="AB37" s="4">
        <v>471</v>
      </c>
      <c r="AC37" s="4">
        <v>47</v>
      </c>
      <c r="AD37" s="4">
        <v>336</v>
      </c>
      <c r="AE37" s="4">
        <v>89</v>
      </c>
      <c r="AF37" s="4">
        <v>881</v>
      </c>
      <c r="AG37" s="4">
        <v>110</v>
      </c>
      <c r="AH37" s="4">
        <v>601</v>
      </c>
      <c r="AI37" s="4">
        <v>170</v>
      </c>
      <c r="AJ37" s="4">
        <v>501</v>
      </c>
      <c r="AK37" s="4">
        <v>72</v>
      </c>
      <c r="AL37" s="4">
        <v>339</v>
      </c>
      <c r="AM37" s="4">
        <v>91</v>
      </c>
      <c r="AN37" s="4">
        <v>380</v>
      </c>
      <c r="AO37" s="4">
        <v>38</v>
      </c>
      <c r="AP37" s="4">
        <v>262</v>
      </c>
      <c r="AQ37" s="4">
        <v>50</v>
      </c>
      <c r="AR37" s="4">
        <v>79</v>
      </c>
      <c r="AS37" s="4">
        <v>52</v>
      </c>
      <c r="AT37" s="4">
        <v>201</v>
      </c>
      <c r="AU37" s="4">
        <v>16</v>
      </c>
      <c r="AV37" s="4">
        <v>48</v>
      </c>
      <c r="AW37" s="4">
        <v>16</v>
      </c>
      <c r="AX37" s="4">
        <v>134</v>
      </c>
      <c r="AY37" s="4">
        <v>7</v>
      </c>
      <c r="AZ37" s="4">
        <v>19</v>
      </c>
      <c r="BA37" s="4">
        <v>178</v>
      </c>
      <c r="BB37" s="4">
        <v>38</v>
      </c>
      <c r="BC37" s="4">
        <v>51</v>
      </c>
      <c r="BD37" s="4">
        <v>22</v>
      </c>
      <c r="BE37" s="4">
        <v>250</v>
      </c>
      <c r="BF37" s="4">
        <v>254</v>
      </c>
      <c r="BG37" s="4">
        <v>120</v>
      </c>
      <c r="BH37" s="4">
        <v>108</v>
      </c>
      <c r="BI37" s="4">
        <v>122</v>
      </c>
      <c r="BJ37" s="4">
        <v>443</v>
      </c>
      <c r="BK37" s="4">
        <v>148</v>
      </c>
      <c r="BL37" s="4">
        <v>296</v>
      </c>
      <c r="BM37" s="4">
        <v>164</v>
      </c>
      <c r="BN37" s="4">
        <v>63</v>
      </c>
      <c r="BO37" s="4">
        <v>101</v>
      </c>
      <c r="BP37" s="4">
        <v>87</v>
      </c>
      <c r="BQ37" s="4">
        <v>39</v>
      </c>
      <c r="BR37" s="4">
        <v>48</v>
      </c>
      <c r="BS37" s="4">
        <v>193</v>
      </c>
      <c r="BT37" s="4">
        <v>45</v>
      </c>
      <c r="BU37" s="4">
        <v>147</v>
      </c>
      <c r="BV37" s="4">
        <v>0</v>
      </c>
      <c r="BW37" s="4">
        <v>52</v>
      </c>
      <c r="BX37" s="4">
        <v>152</v>
      </c>
      <c r="BY37" s="4">
        <v>246</v>
      </c>
      <c r="BZ37" s="4">
        <v>238</v>
      </c>
      <c r="CA37" s="4">
        <v>320</v>
      </c>
      <c r="CB37" s="4">
        <v>0</v>
      </c>
      <c r="CC37" s="4">
        <v>47</v>
      </c>
      <c r="CD37" s="4">
        <v>143</v>
      </c>
      <c r="CE37" s="4">
        <v>235</v>
      </c>
      <c r="CF37" s="4">
        <v>174</v>
      </c>
      <c r="CG37" s="4">
        <v>247</v>
      </c>
      <c r="CH37" s="4">
        <v>881</v>
      </c>
      <c r="CI37" s="4">
        <v>501</v>
      </c>
      <c r="CJ37" s="4">
        <v>380</v>
      </c>
      <c r="CK37" s="4">
        <v>777</v>
      </c>
      <c r="CL37" s="4">
        <v>428</v>
      </c>
      <c r="CM37" s="4">
        <v>350</v>
      </c>
      <c r="CN37" s="4">
        <v>104</v>
      </c>
      <c r="CO37" s="4">
        <v>74</v>
      </c>
      <c r="CP37" s="4">
        <v>30</v>
      </c>
      <c r="CQ37" s="4">
        <v>181</v>
      </c>
      <c r="CR37" s="4">
        <v>169</v>
      </c>
      <c r="CS37" s="4">
        <v>59</v>
      </c>
      <c r="CT37" s="4">
        <v>110</v>
      </c>
      <c r="CU37" s="4">
        <v>12</v>
      </c>
      <c r="CV37" s="4">
        <v>652</v>
      </c>
      <c r="CW37" s="4">
        <v>67</v>
      </c>
      <c r="CX37" s="4">
        <v>23</v>
      </c>
      <c r="CY37" s="4">
        <v>3</v>
      </c>
      <c r="CZ37" s="4">
        <v>32</v>
      </c>
      <c r="DA37" s="4">
        <v>60</v>
      </c>
      <c r="DB37" s="4">
        <v>43</v>
      </c>
      <c r="DC37" s="4">
        <v>0</v>
      </c>
      <c r="DD37" s="4">
        <v>236</v>
      </c>
      <c r="DE37" s="4">
        <v>645</v>
      </c>
      <c r="DF37" s="4">
        <v>551</v>
      </c>
      <c r="DG37" s="4">
        <v>22</v>
      </c>
      <c r="DH37" s="4">
        <v>28</v>
      </c>
      <c r="DI37" s="4">
        <v>44</v>
      </c>
      <c r="DJ37" s="4">
        <v>17</v>
      </c>
      <c r="DK37" s="4">
        <v>16</v>
      </c>
      <c r="DL37" s="4">
        <v>18</v>
      </c>
      <c r="DM37" s="4">
        <v>3</v>
      </c>
      <c r="DN37" s="4">
        <v>668</v>
      </c>
      <c r="DO37" s="4">
        <v>123</v>
      </c>
      <c r="DP37" s="4">
        <v>0.5</v>
      </c>
      <c r="DQ37" s="4">
        <v>2279</v>
      </c>
      <c r="DR37" s="4">
        <v>66.900000000000006</v>
      </c>
      <c r="DS37" s="4">
        <v>71</v>
      </c>
      <c r="DT37" s="4">
        <v>48.6</v>
      </c>
      <c r="DU37" s="4">
        <v>57.8</v>
      </c>
      <c r="DV37" s="4">
        <v>33.799999999999997</v>
      </c>
      <c r="DW37" s="4">
        <v>18.600000000000001</v>
      </c>
      <c r="DX37" s="4">
        <v>30.4</v>
      </c>
      <c r="DY37" s="4">
        <v>88.2</v>
      </c>
      <c r="DZ37" s="4">
        <v>45</v>
      </c>
      <c r="EA37" s="4">
        <v>83.9</v>
      </c>
      <c r="EB37" s="43">
        <v>30.4</v>
      </c>
    </row>
    <row r="38" spans="1:132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1550</v>
      </c>
      <c r="I38" s="4">
        <v>390</v>
      </c>
      <c r="J38" s="4">
        <v>966</v>
      </c>
      <c r="K38" s="4">
        <v>194</v>
      </c>
      <c r="L38" s="4">
        <v>748</v>
      </c>
      <c r="M38" s="4">
        <v>196</v>
      </c>
      <c r="N38" s="4">
        <v>487</v>
      </c>
      <c r="O38" s="4">
        <v>65</v>
      </c>
      <c r="P38" s="4">
        <v>802</v>
      </c>
      <c r="Q38" s="4">
        <v>194</v>
      </c>
      <c r="R38" s="4">
        <v>479</v>
      </c>
      <c r="S38" s="4">
        <v>129</v>
      </c>
      <c r="T38" s="4">
        <v>1061</v>
      </c>
      <c r="U38" s="4">
        <v>146</v>
      </c>
      <c r="V38" s="4">
        <v>779</v>
      </c>
      <c r="W38" s="4">
        <v>137</v>
      </c>
      <c r="X38" s="4">
        <v>563</v>
      </c>
      <c r="Y38" s="4">
        <v>85</v>
      </c>
      <c r="Z38" s="4">
        <v>433</v>
      </c>
      <c r="AA38" s="4">
        <v>45</v>
      </c>
      <c r="AB38" s="4">
        <v>499</v>
      </c>
      <c r="AC38" s="4">
        <v>61</v>
      </c>
      <c r="AD38" s="4">
        <v>346</v>
      </c>
      <c r="AE38" s="4">
        <v>92</v>
      </c>
      <c r="AF38" s="4">
        <v>872</v>
      </c>
      <c r="AG38" s="4">
        <v>112</v>
      </c>
      <c r="AH38" s="4">
        <v>632</v>
      </c>
      <c r="AI38" s="4">
        <v>128</v>
      </c>
      <c r="AJ38" s="4">
        <v>482</v>
      </c>
      <c r="AK38" s="4">
        <v>61</v>
      </c>
      <c r="AL38" s="4">
        <v>376</v>
      </c>
      <c r="AM38" s="4">
        <v>45</v>
      </c>
      <c r="AN38" s="4">
        <v>390</v>
      </c>
      <c r="AO38" s="4">
        <v>51</v>
      </c>
      <c r="AP38" s="4">
        <v>256</v>
      </c>
      <c r="AQ38" s="4">
        <v>48</v>
      </c>
      <c r="AR38" s="4">
        <v>83</v>
      </c>
      <c r="AS38" s="4">
        <v>39</v>
      </c>
      <c r="AT38" s="4">
        <v>189</v>
      </c>
      <c r="AU38" s="4">
        <v>27</v>
      </c>
      <c r="AV38" s="4">
        <v>34</v>
      </c>
      <c r="AW38" s="4">
        <v>27</v>
      </c>
      <c r="AX38" s="4">
        <v>146</v>
      </c>
      <c r="AY38" s="4">
        <v>7</v>
      </c>
      <c r="AZ38" s="4">
        <v>8</v>
      </c>
      <c r="BA38" s="4">
        <v>123</v>
      </c>
      <c r="BB38" s="4">
        <v>30</v>
      </c>
      <c r="BC38" s="4">
        <v>45</v>
      </c>
      <c r="BD38" s="4">
        <v>12</v>
      </c>
      <c r="BE38" s="4">
        <v>244</v>
      </c>
      <c r="BF38" s="4">
        <v>234</v>
      </c>
      <c r="BG38" s="4">
        <v>135</v>
      </c>
      <c r="BH38" s="4">
        <v>126</v>
      </c>
      <c r="BI38" s="4">
        <v>154</v>
      </c>
      <c r="BJ38" s="4">
        <v>489</v>
      </c>
      <c r="BK38" s="4">
        <v>185</v>
      </c>
      <c r="BL38" s="4">
        <v>304</v>
      </c>
      <c r="BM38" s="4">
        <v>218</v>
      </c>
      <c r="BN38" s="4">
        <v>89</v>
      </c>
      <c r="BO38" s="4">
        <v>130</v>
      </c>
      <c r="BP38" s="4">
        <v>25</v>
      </c>
      <c r="BQ38" s="4">
        <v>17</v>
      </c>
      <c r="BR38" s="4">
        <v>8</v>
      </c>
      <c r="BS38" s="4">
        <v>246</v>
      </c>
      <c r="BT38" s="4">
        <v>79</v>
      </c>
      <c r="BU38" s="4">
        <v>166</v>
      </c>
      <c r="BV38" s="4">
        <v>0</v>
      </c>
      <c r="BW38" s="4">
        <v>65</v>
      </c>
      <c r="BX38" s="4">
        <v>140</v>
      </c>
      <c r="BY38" s="4">
        <v>245</v>
      </c>
      <c r="BZ38" s="4">
        <v>278</v>
      </c>
      <c r="CA38" s="4">
        <v>278</v>
      </c>
      <c r="CB38" s="4">
        <v>0</v>
      </c>
      <c r="CC38" s="4">
        <v>60</v>
      </c>
      <c r="CD38" s="4">
        <v>140</v>
      </c>
      <c r="CE38" s="4">
        <v>217</v>
      </c>
      <c r="CF38" s="4">
        <v>224</v>
      </c>
      <c r="CG38" s="4">
        <v>217</v>
      </c>
      <c r="CH38" s="4">
        <v>879</v>
      </c>
      <c r="CI38" s="4">
        <v>489</v>
      </c>
      <c r="CJ38" s="4">
        <v>390</v>
      </c>
      <c r="CK38" s="4">
        <v>775</v>
      </c>
      <c r="CL38" s="4">
        <v>416</v>
      </c>
      <c r="CM38" s="4">
        <v>358</v>
      </c>
      <c r="CN38" s="4">
        <v>105</v>
      </c>
      <c r="CO38" s="4">
        <v>73</v>
      </c>
      <c r="CP38" s="4">
        <v>32</v>
      </c>
      <c r="CQ38" s="4">
        <v>155</v>
      </c>
      <c r="CR38" s="4">
        <v>144</v>
      </c>
      <c r="CS38" s="4">
        <v>54</v>
      </c>
      <c r="CT38" s="4">
        <v>90</v>
      </c>
      <c r="CU38" s="4">
        <v>11</v>
      </c>
      <c r="CV38" s="4">
        <v>587</v>
      </c>
      <c r="CW38" s="4">
        <v>104</v>
      </c>
      <c r="CX38" s="4">
        <v>55</v>
      </c>
      <c r="CY38" s="4">
        <v>10</v>
      </c>
      <c r="CZ38" s="4">
        <v>19</v>
      </c>
      <c r="DA38" s="4">
        <v>63</v>
      </c>
      <c r="DB38" s="4">
        <v>41</v>
      </c>
      <c r="DC38" s="4">
        <v>0</v>
      </c>
      <c r="DD38" s="4">
        <v>406</v>
      </c>
      <c r="DE38" s="4">
        <v>473</v>
      </c>
      <c r="DF38" s="4">
        <v>414</v>
      </c>
      <c r="DG38" s="4">
        <v>17</v>
      </c>
      <c r="DH38" s="4">
        <v>17</v>
      </c>
      <c r="DI38" s="4">
        <v>25</v>
      </c>
      <c r="DJ38" s="4">
        <v>29</v>
      </c>
      <c r="DK38" s="4">
        <v>62</v>
      </c>
      <c r="DL38" s="4">
        <v>27</v>
      </c>
      <c r="DM38" s="4">
        <v>1</v>
      </c>
      <c r="DN38" s="4">
        <v>634</v>
      </c>
      <c r="DO38" s="4">
        <v>113</v>
      </c>
      <c r="DP38" s="4">
        <v>0.4</v>
      </c>
      <c r="DQ38" s="4">
        <v>2646</v>
      </c>
      <c r="DR38" s="4">
        <v>58.6</v>
      </c>
      <c r="DS38" s="4">
        <v>68.5</v>
      </c>
      <c r="DT38" s="4">
        <v>37.4</v>
      </c>
      <c r="DU38" s="4">
        <v>56.3</v>
      </c>
      <c r="DV38" s="4">
        <v>28.7</v>
      </c>
      <c r="DW38" s="4">
        <v>17.8</v>
      </c>
      <c r="DX38" s="4">
        <v>23.3</v>
      </c>
      <c r="DY38" s="4">
        <v>88.2</v>
      </c>
      <c r="DZ38" s="4">
        <v>46.2</v>
      </c>
      <c r="EA38" s="4">
        <v>75.7</v>
      </c>
      <c r="EB38" s="43">
        <v>52.4</v>
      </c>
    </row>
    <row r="39" spans="1:132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1512</v>
      </c>
      <c r="I39" s="4">
        <v>366</v>
      </c>
      <c r="J39" s="4">
        <v>917</v>
      </c>
      <c r="K39" s="4">
        <v>230</v>
      </c>
      <c r="L39" s="4">
        <v>701</v>
      </c>
      <c r="M39" s="4">
        <v>187</v>
      </c>
      <c r="N39" s="4">
        <v>409</v>
      </c>
      <c r="O39" s="4">
        <v>105</v>
      </c>
      <c r="P39" s="4">
        <v>811</v>
      </c>
      <c r="Q39" s="4">
        <v>179</v>
      </c>
      <c r="R39" s="4">
        <v>508</v>
      </c>
      <c r="S39" s="4">
        <v>124</v>
      </c>
      <c r="T39" s="4">
        <v>833</v>
      </c>
      <c r="U39" s="4">
        <v>92</v>
      </c>
      <c r="V39" s="4">
        <v>634</v>
      </c>
      <c r="W39" s="4">
        <v>107</v>
      </c>
      <c r="X39" s="4">
        <v>433</v>
      </c>
      <c r="Y39" s="4">
        <v>44</v>
      </c>
      <c r="Z39" s="4">
        <v>328</v>
      </c>
      <c r="AA39" s="4">
        <v>61</v>
      </c>
      <c r="AB39" s="4">
        <v>400</v>
      </c>
      <c r="AC39" s="4">
        <v>48</v>
      </c>
      <c r="AD39" s="4">
        <v>306</v>
      </c>
      <c r="AE39" s="4">
        <v>46</v>
      </c>
      <c r="AF39" s="4">
        <v>607</v>
      </c>
      <c r="AG39" s="4">
        <v>54</v>
      </c>
      <c r="AH39" s="4">
        <v>464</v>
      </c>
      <c r="AI39" s="4">
        <v>89</v>
      </c>
      <c r="AJ39" s="4">
        <v>323</v>
      </c>
      <c r="AK39" s="4">
        <v>22</v>
      </c>
      <c r="AL39" s="4">
        <v>248</v>
      </c>
      <c r="AM39" s="4">
        <v>53</v>
      </c>
      <c r="AN39" s="4">
        <v>285</v>
      </c>
      <c r="AO39" s="4">
        <v>33</v>
      </c>
      <c r="AP39" s="4">
        <v>216</v>
      </c>
      <c r="AQ39" s="4">
        <v>70</v>
      </c>
      <c r="AR39" s="4">
        <v>36</v>
      </c>
      <c r="AS39" s="4">
        <v>76</v>
      </c>
      <c r="AT39" s="4">
        <v>225</v>
      </c>
      <c r="AU39" s="4">
        <v>16</v>
      </c>
      <c r="AV39" s="4">
        <v>38</v>
      </c>
      <c r="AW39" s="4">
        <v>4</v>
      </c>
      <c r="AX39" s="4">
        <v>170</v>
      </c>
      <c r="AY39" s="4">
        <v>3</v>
      </c>
      <c r="AZ39" s="4">
        <v>18</v>
      </c>
      <c r="BA39" s="4">
        <v>156</v>
      </c>
      <c r="BB39" s="4">
        <v>36</v>
      </c>
      <c r="BC39" s="4">
        <v>36</v>
      </c>
      <c r="BD39" s="4">
        <v>20</v>
      </c>
      <c r="BE39" s="4">
        <v>212</v>
      </c>
      <c r="BF39" s="4">
        <v>237</v>
      </c>
      <c r="BG39" s="4">
        <v>101</v>
      </c>
      <c r="BH39" s="4">
        <v>58</v>
      </c>
      <c r="BI39" s="4">
        <v>34</v>
      </c>
      <c r="BJ39" s="4">
        <v>680</v>
      </c>
      <c r="BK39" s="4">
        <v>268</v>
      </c>
      <c r="BL39" s="4">
        <v>411</v>
      </c>
      <c r="BM39" s="4">
        <v>235</v>
      </c>
      <c r="BN39" s="4">
        <v>127</v>
      </c>
      <c r="BO39" s="4">
        <v>108</v>
      </c>
      <c r="BP39" s="4">
        <v>56</v>
      </c>
      <c r="BQ39" s="4">
        <v>22</v>
      </c>
      <c r="BR39" s="4">
        <v>34</v>
      </c>
      <c r="BS39" s="4">
        <v>388</v>
      </c>
      <c r="BT39" s="4">
        <v>119</v>
      </c>
      <c r="BU39" s="4">
        <v>269</v>
      </c>
      <c r="BV39" s="4">
        <v>0</v>
      </c>
      <c r="BW39" s="4">
        <v>25</v>
      </c>
      <c r="BX39" s="4">
        <v>47</v>
      </c>
      <c r="BY39" s="4">
        <v>191</v>
      </c>
      <c r="BZ39" s="4">
        <v>271</v>
      </c>
      <c r="CA39" s="4">
        <v>307</v>
      </c>
      <c r="CB39" s="4">
        <v>0</v>
      </c>
      <c r="CC39" s="4">
        <v>25</v>
      </c>
      <c r="CD39" s="4">
        <v>47</v>
      </c>
      <c r="CE39" s="4">
        <v>150</v>
      </c>
      <c r="CF39" s="4">
        <v>196</v>
      </c>
      <c r="CG39" s="4">
        <v>204</v>
      </c>
      <c r="CH39" s="4">
        <v>611</v>
      </c>
      <c r="CI39" s="4">
        <v>323</v>
      </c>
      <c r="CJ39" s="4">
        <v>289</v>
      </c>
      <c r="CK39" s="4">
        <v>509</v>
      </c>
      <c r="CL39" s="4">
        <v>254</v>
      </c>
      <c r="CM39" s="4">
        <v>254</v>
      </c>
      <c r="CN39" s="4">
        <v>103</v>
      </c>
      <c r="CO39" s="4">
        <v>68</v>
      </c>
      <c r="CP39" s="4">
        <v>34</v>
      </c>
      <c r="CQ39" s="4">
        <v>141</v>
      </c>
      <c r="CR39" s="4">
        <v>116</v>
      </c>
      <c r="CS39" s="4">
        <v>30</v>
      </c>
      <c r="CT39" s="4">
        <v>86</v>
      </c>
      <c r="CU39" s="4">
        <v>24</v>
      </c>
      <c r="CV39" s="4">
        <v>411</v>
      </c>
      <c r="CW39" s="4">
        <v>69</v>
      </c>
      <c r="CX39" s="4">
        <v>2</v>
      </c>
      <c r="CY39" s="4">
        <v>3</v>
      </c>
      <c r="CZ39" s="4">
        <v>24</v>
      </c>
      <c r="DA39" s="4">
        <v>100</v>
      </c>
      <c r="DB39" s="4">
        <v>0</v>
      </c>
      <c r="DC39" s="4">
        <v>3</v>
      </c>
      <c r="DD39" s="4">
        <v>260</v>
      </c>
      <c r="DE39" s="4">
        <v>351</v>
      </c>
      <c r="DF39" s="4">
        <v>318</v>
      </c>
      <c r="DG39" s="4">
        <v>3</v>
      </c>
      <c r="DH39" s="4">
        <v>9</v>
      </c>
      <c r="DI39" s="4">
        <v>21</v>
      </c>
      <c r="DJ39" s="4">
        <v>0</v>
      </c>
      <c r="DK39" s="4">
        <v>24</v>
      </c>
      <c r="DL39" s="4">
        <v>14</v>
      </c>
      <c r="DM39" s="4">
        <v>6</v>
      </c>
      <c r="DN39" s="4">
        <v>452</v>
      </c>
      <c r="DO39" s="4">
        <v>132</v>
      </c>
      <c r="DP39" s="4">
        <v>0.2</v>
      </c>
      <c r="DQ39" s="4">
        <v>2532</v>
      </c>
      <c r="DR39" s="4">
        <v>59.7</v>
      </c>
      <c r="DS39" s="4">
        <v>55.1</v>
      </c>
      <c r="DT39" s="4">
        <v>25.1</v>
      </c>
      <c r="DU39" s="4">
        <v>40.1</v>
      </c>
      <c r="DV39" s="4">
        <v>14.8</v>
      </c>
      <c r="DW39" s="4">
        <v>27</v>
      </c>
      <c r="DX39" s="4">
        <v>41.3</v>
      </c>
      <c r="DY39" s="4">
        <v>83.3</v>
      </c>
      <c r="DZ39" s="4">
        <v>49.9</v>
      </c>
      <c r="EA39" s="4">
        <v>80.7</v>
      </c>
      <c r="EB39" s="43">
        <v>51.1</v>
      </c>
    </row>
    <row r="40" spans="1:132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1431</v>
      </c>
      <c r="I40" s="51">
        <v>363</v>
      </c>
      <c r="J40" s="51">
        <v>852</v>
      </c>
      <c r="K40" s="51">
        <v>215</v>
      </c>
      <c r="L40" s="51">
        <v>693</v>
      </c>
      <c r="M40" s="51">
        <v>200</v>
      </c>
      <c r="N40" s="51">
        <v>400</v>
      </c>
      <c r="O40" s="51">
        <v>93</v>
      </c>
      <c r="P40" s="51">
        <v>737</v>
      </c>
      <c r="Q40" s="51">
        <v>163</v>
      </c>
      <c r="R40" s="51">
        <v>452</v>
      </c>
      <c r="S40" s="51">
        <v>122</v>
      </c>
      <c r="T40" s="51">
        <v>881</v>
      </c>
      <c r="U40" s="51">
        <v>172</v>
      </c>
      <c r="V40" s="51">
        <v>615</v>
      </c>
      <c r="W40" s="51">
        <v>94</v>
      </c>
      <c r="X40" s="51">
        <v>512</v>
      </c>
      <c r="Y40" s="51">
        <v>113</v>
      </c>
      <c r="Z40" s="51">
        <v>357</v>
      </c>
      <c r="AA40" s="51">
        <v>43</v>
      </c>
      <c r="AB40" s="51">
        <v>368</v>
      </c>
      <c r="AC40" s="51">
        <v>59</v>
      </c>
      <c r="AD40" s="51">
        <v>257</v>
      </c>
      <c r="AE40" s="51">
        <v>51</v>
      </c>
      <c r="AF40" s="51">
        <v>558</v>
      </c>
      <c r="AG40" s="51">
        <v>121</v>
      </c>
      <c r="AH40" s="51">
        <v>370</v>
      </c>
      <c r="AI40" s="51">
        <v>67</v>
      </c>
      <c r="AJ40" s="51">
        <v>304</v>
      </c>
      <c r="AK40" s="51">
        <v>72</v>
      </c>
      <c r="AL40" s="51">
        <v>208</v>
      </c>
      <c r="AM40" s="51">
        <v>24</v>
      </c>
      <c r="AN40" s="51">
        <v>254</v>
      </c>
      <c r="AO40" s="51">
        <v>49</v>
      </c>
      <c r="AP40" s="51">
        <v>163</v>
      </c>
      <c r="AQ40" s="51">
        <v>93</v>
      </c>
      <c r="AR40" s="51">
        <v>43</v>
      </c>
      <c r="AS40" s="51">
        <v>64</v>
      </c>
      <c r="AT40" s="51">
        <v>323</v>
      </c>
      <c r="AU40" s="51">
        <v>18</v>
      </c>
      <c r="AV40" s="51">
        <v>51</v>
      </c>
      <c r="AW40" s="51">
        <v>13</v>
      </c>
      <c r="AX40" s="51">
        <v>244</v>
      </c>
      <c r="AY40" s="51">
        <v>9</v>
      </c>
      <c r="AZ40" s="51">
        <v>28</v>
      </c>
      <c r="BA40" s="51">
        <v>225</v>
      </c>
      <c r="BB40" s="51">
        <v>105</v>
      </c>
      <c r="BC40" s="51">
        <v>51</v>
      </c>
      <c r="BD40" s="51">
        <v>21</v>
      </c>
      <c r="BE40" s="51">
        <v>254</v>
      </c>
      <c r="BF40" s="51">
        <v>201</v>
      </c>
      <c r="BG40" s="51">
        <v>75</v>
      </c>
      <c r="BH40" s="51">
        <v>48</v>
      </c>
      <c r="BI40" s="51">
        <v>26</v>
      </c>
      <c r="BJ40" s="51">
        <v>550</v>
      </c>
      <c r="BK40" s="51">
        <v>181</v>
      </c>
      <c r="BL40" s="51">
        <v>369</v>
      </c>
      <c r="BM40" s="51">
        <v>140</v>
      </c>
      <c r="BN40" s="51">
        <v>58</v>
      </c>
      <c r="BO40" s="51">
        <v>82</v>
      </c>
      <c r="BP40" s="51">
        <v>44</v>
      </c>
      <c r="BQ40" s="51">
        <v>16</v>
      </c>
      <c r="BR40" s="51">
        <v>28</v>
      </c>
      <c r="BS40" s="51">
        <v>366</v>
      </c>
      <c r="BT40" s="51">
        <v>107</v>
      </c>
      <c r="BU40" s="51">
        <v>259</v>
      </c>
      <c r="BV40" s="51">
        <v>0</v>
      </c>
      <c r="BW40" s="51">
        <v>49</v>
      </c>
      <c r="BX40" s="51">
        <v>13</v>
      </c>
      <c r="BY40" s="51">
        <v>116</v>
      </c>
      <c r="BZ40" s="51">
        <v>353</v>
      </c>
      <c r="CA40" s="51">
        <v>340</v>
      </c>
      <c r="CB40" s="51">
        <v>0</v>
      </c>
      <c r="CC40" s="51">
        <v>37</v>
      </c>
      <c r="CD40" s="51">
        <v>12</v>
      </c>
      <c r="CE40" s="51">
        <v>90</v>
      </c>
      <c r="CF40" s="51">
        <v>264</v>
      </c>
      <c r="CG40" s="51">
        <v>174</v>
      </c>
      <c r="CH40" s="51">
        <v>564</v>
      </c>
      <c r="CI40" s="51">
        <v>307</v>
      </c>
      <c r="CJ40" s="51">
        <v>256</v>
      </c>
      <c r="CK40" s="51">
        <v>506</v>
      </c>
      <c r="CL40" s="51">
        <v>272</v>
      </c>
      <c r="CM40" s="51">
        <v>234</v>
      </c>
      <c r="CN40" s="51">
        <v>58</v>
      </c>
      <c r="CO40" s="51">
        <v>36</v>
      </c>
      <c r="CP40" s="51">
        <v>22</v>
      </c>
      <c r="CQ40" s="51">
        <v>113</v>
      </c>
      <c r="CR40" s="51">
        <v>82</v>
      </c>
      <c r="CS40" s="51">
        <v>24</v>
      </c>
      <c r="CT40" s="51">
        <v>58</v>
      </c>
      <c r="CU40" s="51">
        <v>31</v>
      </c>
      <c r="CV40" s="51">
        <v>381</v>
      </c>
      <c r="CW40" s="51">
        <v>76</v>
      </c>
      <c r="CX40" s="51">
        <v>26</v>
      </c>
      <c r="CY40" s="51">
        <v>9</v>
      </c>
      <c r="CZ40" s="51">
        <v>14</v>
      </c>
      <c r="DA40" s="51">
        <v>44</v>
      </c>
      <c r="DB40" s="51">
        <v>13</v>
      </c>
      <c r="DC40" s="51">
        <v>0</v>
      </c>
      <c r="DD40" s="51">
        <v>240</v>
      </c>
      <c r="DE40" s="51">
        <v>323</v>
      </c>
      <c r="DF40" s="51">
        <v>298</v>
      </c>
      <c r="DG40" s="51">
        <v>4</v>
      </c>
      <c r="DH40" s="51">
        <v>12</v>
      </c>
      <c r="DI40" s="51">
        <v>10</v>
      </c>
      <c r="DJ40" s="51">
        <v>6</v>
      </c>
      <c r="DK40" s="51">
        <v>24</v>
      </c>
      <c r="DL40" s="51">
        <v>16</v>
      </c>
      <c r="DM40" s="51">
        <v>1</v>
      </c>
      <c r="DN40" s="51">
        <v>374</v>
      </c>
      <c r="DO40" s="51">
        <v>158</v>
      </c>
      <c r="DP40" s="51">
        <v>0.3</v>
      </c>
      <c r="DQ40" s="51">
        <v>2259</v>
      </c>
      <c r="DR40" s="51">
        <v>63.3</v>
      </c>
      <c r="DS40" s="51">
        <v>61.6</v>
      </c>
      <c r="DT40" s="51">
        <v>47.4</v>
      </c>
      <c r="DU40" s="51">
        <v>39</v>
      </c>
      <c r="DV40" s="51">
        <v>33.299999999999997</v>
      </c>
      <c r="DW40" s="51">
        <v>36.700000000000003</v>
      </c>
      <c r="DX40" s="51">
        <v>29.7</v>
      </c>
      <c r="DY40" s="51">
        <v>89.7</v>
      </c>
      <c r="DZ40" s="51">
        <v>46.2</v>
      </c>
      <c r="EA40" s="51">
        <v>75.3</v>
      </c>
      <c r="EB40" s="52">
        <v>47.4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15" customWidth="1"/>
    <col min="9" max="9" width="21.5703125" customWidth="1"/>
    <col min="10" max="10" width="24.5703125" customWidth="1"/>
    <col min="11" max="11" width="25.42578125" customWidth="1"/>
    <col min="12" max="12" width="28.5703125" customWidth="1"/>
    <col min="13" max="13" width="24.7109375" customWidth="1"/>
    <col min="14" max="14" width="33.28515625" customWidth="1"/>
    <col min="15" max="15" width="35.7109375" customWidth="1"/>
    <col min="16" max="16" width="28.5703125" customWidth="1"/>
    <col min="17" max="17" width="15.140625" customWidth="1"/>
    <col min="18" max="18" width="26.85546875" customWidth="1"/>
    <col min="19" max="19" width="24.28515625" customWidth="1"/>
    <col min="20" max="20" width="25.140625" customWidth="1"/>
    <col min="21" max="21" width="28.28515625" customWidth="1"/>
    <col min="22" max="22" width="24.42578125" customWidth="1"/>
    <col min="23" max="23" width="37" customWidth="1"/>
    <col min="24" max="24" width="39.42578125" customWidth="1"/>
    <col min="25" max="25" width="32.28515625" customWidth="1"/>
    <col min="26" max="26" width="19.28515625" customWidth="1"/>
    <col min="27" max="29" width="15.140625" customWidth="1"/>
    <col min="30" max="30" width="19.28515625" customWidth="1"/>
    <col min="31" max="31" width="23.7109375" customWidth="1"/>
    <col min="32" max="34" width="19.5703125" customWidth="1"/>
    <col min="35" max="35" width="23.7109375" customWidth="1"/>
    <col min="36" max="36" width="33.85546875" customWidth="1"/>
    <col min="37" max="38" width="26.28515625" customWidth="1"/>
    <col min="39" max="40" width="30.42578125" customWidth="1"/>
    <col min="41" max="41" width="26" customWidth="1"/>
    <col min="42" max="42" width="25.85546875" customWidth="1"/>
    <col min="43" max="43" width="46.42578125" customWidth="1"/>
    <col min="44" max="44" width="34" customWidth="1"/>
    <col min="45" max="45" width="27.42578125" customWidth="1"/>
    <col min="46" max="46" width="29.140625" customWidth="1"/>
    <col min="47" max="47" width="28.42578125" customWidth="1"/>
    <col min="48" max="48" width="38.7109375" customWidth="1"/>
    <col min="49" max="49" width="35.140625" customWidth="1"/>
    <col min="50" max="50" width="35.85546875" customWidth="1"/>
    <col min="51" max="51" width="27.140625" customWidth="1"/>
    <col min="52" max="52" width="26.140625" customWidth="1"/>
    <col min="53" max="53" width="26.5703125" customWidth="1"/>
    <col min="54" max="54" width="24.42578125" customWidth="1"/>
    <col min="55" max="55" width="28.140625" customWidth="1"/>
    <col min="56" max="56" width="35.5703125" customWidth="1"/>
    <col min="57" max="57" width="34.85546875" customWidth="1"/>
    <col min="58" max="58" width="35.5703125" customWidth="1"/>
    <col min="59" max="59" width="26.85546875" customWidth="1"/>
    <col min="60" max="60" width="25.85546875" customWidth="1"/>
    <col min="61" max="61" width="26.28515625" customWidth="1"/>
    <col min="62" max="62" width="24.140625" customWidth="1"/>
    <col min="63" max="63" width="15" customWidth="1"/>
    <col min="64" max="64" width="26.5703125" customWidth="1"/>
    <col min="65" max="65" width="22" customWidth="1"/>
    <col min="66" max="66" width="24.140625" customWidth="1"/>
    <col min="67" max="68" width="26.28515625" customWidth="1"/>
    <col min="69" max="70" width="27.140625" customWidth="1"/>
    <col min="71" max="71" width="34" customWidth="1"/>
    <col min="72" max="72" width="19.42578125" customWidth="1"/>
    <col min="73" max="73" width="35.42578125" customWidth="1"/>
    <col min="74" max="74" width="37.85546875" customWidth="1"/>
    <col min="75" max="75" width="49" customWidth="1"/>
    <col min="76" max="76" width="23.85546875" customWidth="1"/>
    <col min="77" max="77" width="17.7109375" customWidth="1"/>
    <col min="78" max="78" width="39.140625" customWidth="1"/>
    <col min="79" max="79" width="52.7109375" customWidth="1"/>
    <col min="80" max="80" width="58.28515625" customWidth="1"/>
    <col min="81" max="81" width="27.7109375" customWidth="1"/>
    <col min="82" max="82" width="37.7109375" customWidth="1"/>
    <col min="83" max="83" width="43.28515625" customWidth="1"/>
    <col min="84" max="84" width="18.7109375" customWidth="1"/>
    <col min="85" max="85" width="35.5703125" customWidth="1"/>
    <col min="86" max="86" width="48.28515625" customWidth="1"/>
    <col min="87" max="87" width="40.7109375" customWidth="1"/>
    <col min="88" max="88" width="35.42578125" customWidth="1"/>
    <col min="89" max="89" width="32.140625" customWidth="1"/>
    <col min="90" max="90" width="31.85546875" customWidth="1"/>
  </cols>
  <sheetData>
    <row r="1" spans="1:90">
      <c r="A1" s="10" t="s">
        <v>804</v>
      </c>
      <c r="B1" s="1"/>
      <c r="C1" s="1"/>
      <c r="D1" s="1"/>
      <c r="E1" s="1"/>
      <c r="F1" s="1"/>
      <c r="G1" s="2" t="s">
        <v>0</v>
      </c>
      <c r="H1" s="2">
        <f t="shared" ref="H1:AM1" si="0">SUBTOTAL(9,H3:H40)</f>
        <v>39110</v>
      </c>
      <c r="I1" s="2">
        <f t="shared" si="0"/>
        <v>15394</v>
      </c>
      <c r="J1" s="2">
        <f t="shared" si="0"/>
        <v>7864</v>
      </c>
      <c r="K1" s="2">
        <f t="shared" si="0"/>
        <v>7528</v>
      </c>
      <c r="L1" s="2">
        <f t="shared" si="0"/>
        <v>721</v>
      </c>
      <c r="M1" s="2">
        <f t="shared" si="0"/>
        <v>22992</v>
      </c>
      <c r="N1" s="2">
        <f t="shared" si="0"/>
        <v>5468</v>
      </c>
      <c r="O1" s="2">
        <f t="shared" si="0"/>
        <v>10917</v>
      </c>
      <c r="P1" s="2">
        <f t="shared" si="0"/>
        <v>6597</v>
      </c>
      <c r="Q1" s="2">
        <f t="shared" si="0"/>
        <v>97988</v>
      </c>
      <c r="R1" s="2">
        <f t="shared" si="0"/>
        <v>15394</v>
      </c>
      <c r="S1" s="2">
        <f t="shared" si="0"/>
        <v>7864</v>
      </c>
      <c r="T1" s="2">
        <f t="shared" si="0"/>
        <v>7528</v>
      </c>
      <c r="U1" s="2">
        <f t="shared" si="0"/>
        <v>1881</v>
      </c>
      <c r="V1" s="2">
        <f t="shared" si="0"/>
        <v>80711</v>
      </c>
      <c r="W1" s="2">
        <f t="shared" si="0"/>
        <v>11584</v>
      </c>
      <c r="X1" s="2">
        <f t="shared" si="0"/>
        <v>49287</v>
      </c>
      <c r="Y1" s="2">
        <f t="shared" si="0"/>
        <v>19845</v>
      </c>
      <c r="Z1" s="2">
        <f t="shared" si="0"/>
        <v>74712</v>
      </c>
      <c r="AA1" s="2">
        <f t="shared" si="0"/>
        <v>16547</v>
      </c>
      <c r="AB1" s="2">
        <f t="shared" si="0"/>
        <v>36952</v>
      </c>
      <c r="AC1" s="2">
        <f t="shared" si="0"/>
        <v>17782</v>
      </c>
      <c r="AD1" s="2">
        <f t="shared" si="0"/>
        <v>3431</v>
      </c>
      <c r="AE1" s="2">
        <f t="shared" si="0"/>
        <v>73274</v>
      </c>
      <c r="AF1" s="2">
        <f t="shared" si="0"/>
        <v>16425</v>
      </c>
      <c r="AG1" s="2">
        <f t="shared" si="0"/>
        <v>36656</v>
      </c>
      <c r="AH1" s="2">
        <f t="shared" si="0"/>
        <v>17451</v>
      </c>
      <c r="AI1" s="2">
        <f t="shared" si="0"/>
        <v>2743</v>
      </c>
      <c r="AJ1" s="2">
        <f t="shared" si="0"/>
        <v>15374</v>
      </c>
      <c r="AK1" s="2">
        <f t="shared" si="0"/>
        <v>2115</v>
      </c>
      <c r="AL1" s="2">
        <f t="shared" si="0"/>
        <v>6388</v>
      </c>
      <c r="AM1" s="2">
        <f t="shared" si="0"/>
        <v>5505</v>
      </c>
      <c r="AN1" s="2">
        <f t="shared" ref="AN1:BS1" si="1">SUBTOTAL(9,AN3:AN40)</f>
        <v>1362</v>
      </c>
      <c r="AO1" s="2">
        <f t="shared" si="1"/>
        <v>27549</v>
      </c>
      <c r="AP1" s="2">
        <f t="shared" si="1"/>
        <v>1359</v>
      </c>
      <c r="AQ1" s="2">
        <f t="shared" si="1"/>
        <v>5964</v>
      </c>
      <c r="AR1" s="2">
        <f t="shared" si="1"/>
        <v>4421</v>
      </c>
      <c r="AS1" s="2">
        <f t="shared" si="1"/>
        <v>5228</v>
      </c>
      <c r="AT1" s="2">
        <f t="shared" si="1"/>
        <v>30197</v>
      </c>
      <c r="AU1" s="2">
        <f t="shared" si="1"/>
        <v>0</v>
      </c>
      <c r="AV1" s="2">
        <f t="shared" si="1"/>
        <v>1275</v>
      </c>
      <c r="AW1" s="2">
        <f t="shared" si="1"/>
        <v>2807</v>
      </c>
      <c r="AX1" s="2">
        <f t="shared" si="1"/>
        <v>4662</v>
      </c>
      <c r="AY1" s="2">
        <f t="shared" si="1"/>
        <v>7064</v>
      </c>
      <c r="AZ1" s="2">
        <f t="shared" si="1"/>
        <v>8777</v>
      </c>
      <c r="BA1" s="2">
        <f t="shared" si="1"/>
        <v>8151</v>
      </c>
      <c r="BB1" s="2">
        <f t="shared" si="1"/>
        <v>6368</v>
      </c>
      <c r="BC1" s="2">
        <f t="shared" si="1"/>
        <v>0</v>
      </c>
      <c r="BD1" s="2">
        <f t="shared" si="1"/>
        <v>4200</v>
      </c>
      <c r="BE1" s="2">
        <f t="shared" si="1"/>
        <v>7025</v>
      </c>
      <c r="BF1" s="2">
        <f t="shared" si="1"/>
        <v>12420</v>
      </c>
      <c r="BG1" s="2">
        <f t="shared" si="1"/>
        <v>19466</v>
      </c>
      <c r="BH1" s="2">
        <f t="shared" si="1"/>
        <v>27577</v>
      </c>
      <c r="BI1" s="2">
        <f t="shared" si="1"/>
        <v>13273</v>
      </c>
      <c r="BJ1" s="2">
        <f t="shared" si="1"/>
        <v>14024</v>
      </c>
      <c r="BK1" s="2">
        <f t="shared" si="1"/>
        <v>23316</v>
      </c>
      <c r="BL1" s="2">
        <f t="shared" si="1"/>
        <v>10951</v>
      </c>
      <c r="BM1" s="2">
        <f t="shared" si="1"/>
        <v>6815</v>
      </c>
      <c r="BN1" s="2">
        <f t="shared" si="1"/>
        <v>5546</v>
      </c>
      <c r="BO1" s="2">
        <f t="shared" si="1"/>
        <v>7670</v>
      </c>
      <c r="BP1" s="2">
        <f t="shared" si="1"/>
        <v>5161</v>
      </c>
      <c r="BQ1" s="2">
        <f t="shared" si="1"/>
        <v>4494</v>
      </c>
      <c r="BR1" s="2">
        <f t="shared" si="1"/>
        <v>3468</v>
      </c>
      <c r="BS1" s="2">
        <f t="shared" si="1"/>
        <v>2520</v>
      </c>
      <c r="BT1" s="2">
        <f t="shared" ref="BT1:CF1" si="2">SUBTOTAL(9,BT3:BT40)</f>
        <v>22992</v>
      </c>
      <c r="BU1" s="2">
        <f t="shared" si="2"/>
        <v>5354</v>
      </c>
      <c r="BV1" s="2">
        <f t="shared" si="2"/>
        <v>9438</v>
      </c>
      <c r="BW1" s="2">
        <f t="shared" si="2"/>
        <v>1377</v>
      </c>
      <c r="BX1" s="2">
        <f t="shared" si="2"/>
        <v>6500</v>
      </c>
      <c r="BY1" s="2">
        <f t="shared" si="2"/>
        <v>80711</v>
      </c>
      <c r="BZ1" s="2">
        <f t="shared" si="2"/>
        <v>10945</v>
      </c>
      <c r="CA1" s="2">
        <f t="shared" si="2"/>
        <v>41810</v>
      </c>
      <c r="CB1" s="2">
        <f t="shared" si="2"/>
        <v>6769</v>
      </c>
      <c r="CC1" s="2">
        <f t="shared" si="2"/>
        <v>19265</v>
      </c>
      <c r="CD1" s="2">
        <f t="shared" si="2"/>
        <v>9535</v>
      </c>
      <c r="CE1" s="2">
        <f t="shared" si="2"/>
        <v>1416</v>
      </c>
      <c r="CF1" s="2">
        <f t="shared" si="2"/>
        <v>13.399999999999995</v>
      </c>
      <c r="CG1" s="2">
        <f>SUBTOTAL(1,CG3:CG40)</f>
        <v>61.484210526315778</v>
      </c>
      <c r="CH1" s="2">
        <f t="shared" ref="CH1:CL1" si="3">SUBTOTAL(1,CH3:CH40)</f>
        <v>29.828947368421048</v>
      </c>
      <c r="CI1" s="2">
        <f t="shared" si="3"/>
        <v>47.255263157894746</v>
      </c>
      <c r="CJ1" s="2">
        <f t="shared" si="3"/>
        <v>29.584210526315797</v>
      </c>
      <c r="CK1" s="2">
        <f>SUBTOTAL(9,CK3:CK40)</f>
        <v>5988</v>
      </c>
      <c r="CL1" s="2">
        <f t="shared" si="3"/>
        <v>26.355263157894736</v>
      </c>
    </row>
    <row r="2" spans="1:90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292</v>
      </c>
      <c r="I2" s="46" t="s">
        <v>293</v>
      </c>
      <c r="J2" s="46" t="s">
        <v>294</v>
      </c>
      <c r="K2" s="46" t="s">
        <v>295</v>
      </c>
      <c r="L2" s="46" t="s">
        <v>296</v>
      </c>
      <c r="M2" s="46" t="s">
        <v>297</v>
      </c>
      <c r="N2" s="46" t="s">
        <v>298</v>
      </c>
      <c r="O2" s="46" t="s">
        <v>299</v>
      </c>
      <c r="P2" s="46" t="s">
        <v>300</v>
      </c>
      <c r="Q2" s="46" t="s">
        <v>301</v>
      </c>
      <c r="R2" s="46" t="s">
        <v>302</v>
      </c>
      <c r="S2" s="46" t="s">
        <v>303</v>
      </c>
      <c r="T2" s="46" t="s">
        <v>304</v>
      </c>
      <c r="U2" s="46" t="s">
        <v>305</v>
      </c>
      <c r="V2" s="46" t="s">
        <v>306</v>
      </c>
      <c r="W2" s="46" t="s">
        <v>307</v>
      </c>
      <c r="X2" s="46" t="s">
        <v>308</v>
      </c>
      <c r="Y2" s="46" t="s">
        <v>309</v>
      </c>
      <c r="Z2" s="46" t="s">
        <v>48</v>
      </c>
      <c r="AA2" s="46" t="s">
        <v>170</v>
      </c>
      <c r="AB2" s="46" t="s">
        <v>171</v>
      </c>
      <c r="AC2" s="46" t="s">
        <v>310</v>
      </c>
      <c r="AD2" s="46" t="s">
        <v>18</v>
      </c>
      <c r="AE2" s="46" t="s">
        <v>311</v>
      </c>
      <c r="AF2" s="46" t="s">
        <v>312</v>
      </c>
      <c r="AG2" s="46" t="s">
        <v>313</v>
      </c>
      <c r="AH2" s="46" t="s">
        <v>314</v>
      </c>
      <c r="AI2" s="46" t="s">
        <v>315</v>
      </c>
      <c r="AJ2" s="46" t="s">
        <v>316</v>
      </c>
      <c r="AK2" s="46" t="s">
        <v>317</v>
      </c>
      <c r="AL2" s="46" t="s">
        <v>318</v>
      </c>
      <c r="AM2" s="46" t="s">
        <v>319</v>
      </c>
      <c r="AN2" s="46" t="s">
        <v>320</v>
      </c>
      <c r="AO2" s="46" t="s">
        <v>321</v>
      </c>
      <c r="AP2" s="46" t="s">
        <v>322</v>
      </c>
      <c r="AQ2" s="46" t="s">
        <v>323</v>
      </c>
      <c r="AR2" s="46" t="s">
        <v>324</v>
      </c>
      <c r="AS2" s="46" t="s">
        <v>325</v>
      </c>
      <c r="AT2" s="46" t="s">
        <v>326</v>
      </c>
      <c r="AU2" s="46" t="s">
        <v>327</v>
      </c>
      <c r="AV2" s="46" t="s">
        <v>328</v>
      </c>
      <c r="AW2" s="46" t="s">
        <v>329</v>
      </c>
      <c r="AX2" s="46" t="s">
        <v>330</v>
      </c>
      <c r="AY2" s="46" t="s">
        <v>331</v>
      </c>
      <c r="AZ2" s="46" t="s">
        <v>332</v>
      </c>
      <c r="BA2" s="46" t="s">
        <v>333</v>
      </c>
      <c r="BB2" s="46" t="s">
        <v>334</v>
      </c>
      <c r="BC2" s="46" t="s">
        <v>335</v>
      </c>
      <c r="BD2" s="46" t="s">
        <v>336</v>
      </c>
      <c r="BE2" s="46" t="s">
        <v>337</v>
      </c>
      <c r="BF2" s="46" t="s">
        <v>338</v>
      </c>
      <c r="BG2" s="46" t="s">
        <v>339</v>
      </c>
      <c r="BH2" s="46" t="s">
        <v>340</v>
      </c>
      <c r="BI2" s="46" t="s">
        <v>341</v>
      </c>
      <c r="BJ2" s="46" t="s">
        <v>342</v>
      </c>
      <c r="BK2" s="46" t="s">
        <v>343</v>
      </c>
      <c r="BL2" s="46" t="s">
        <v>344</v>
      </c>
      <c r="BM2" s="46" t="s">
        <v>345</v>
      </c>
      <c r="BN2" s="46" t="s">
        <v>346</v>
      </c>
      <c r="BO2" s="46" t="s">
        <v>347</v>
      </c>
      <c r="BP2" s="46" t="s">
        <v>348</v>
      </c>
      <c r="BQ2" s="46" t="s">
        <v>349</v>
      </c>
      <c r="BR2" s="46" t="s">
        <v>350</v>
      </c>
      <c r="BS2" s="46" t="s">
        <v>351</v>
      </c>
      <c r="BT2" s="46" t="s">
        <v>352</v>
      </c>
      <c r="BU2" s="46" t="s">
        <v>353</v>
      </c>
      <c r="BV2" s="46" t="s">
        <v>354</v>
      </c>
      <c r="BW2" s="46" t="s">
        <v>355</v>
      </c>
      <c r="BX2" s="46" t="s">
        <v>356</v>
      </c>
      <c r="BY2" s="46" t="s">
        <v>357</v>
      </c>
      <c r="BZ2" s="46" t="s">
        <v>358</v>
      </c>
      <c r="CA2" s="46" t="s">
        <v>359</v>
      </c>
      <c r="CB2" s="46" t="s">
        <v>360</v>
      </c>
      <c r="CC2" s="46" t="s">
        <v>361</v>
      </c>
      <c r="CD2" s="46" t="s">
        <v>362</v>
      </c>
      <c r="CE2" s="46" t="s">
        <v>363</v>
      </c>
      <c r="CF2" s="47" t="s">
        <v>80</v>
      </c>
      <c r="CG2" s="47" t="s">
        <v>364</v>
      </c>
      <c r="CH2" s="47" t="s">
        <v>365</v>
      </c>
      <c r="CI2" s="47" t="s">
        <v>366</v>
      </c>
      <c r="CJ2" s="47" t="s">
        <v>367</v>
      </c>
      <c r="CK2" s="47" t="s">
        <v>368</v>
      </c>
      <c r="CL2" s="48" t="s">
        <v>369</v>
      </c>
    </row>
    <row r="3" spans="1:90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978</v>
      </c>
      <c r="I3" s="4">
        <v>389</v>
      </c>
      <c r="J3" s="4">
        <v>215</v>
      </c>
      <c r="K3" s="4">
        <v>174</v>
      </c>
      <c r="L3" s="4">
        <v>18</v>
      </c>
      <c r="M3" s="4">
        <v>571</v>
      </c>
      <c r="N3" s="4">
        <v>126</v>
      </c>
      <c r="O3" s="4">
        <v>242</v>
      </c>
      <c r="P3" s="4">
        <v>202</v>
      </c>
      <c r="Q3" s="4">
        <v>2492</v>
      </c>
      <c r="R3" s="4">
        <v>389</v>
      </c>
      <c r="S3" s="4">
        <v>215</v>
      </c>
      <c r="T3" s="4">
        <v>174</v>
      </c>
      <c r="U3" s="4">
        <v>41</v>
      </c>
      <c r="V3" s="4">
        <v>2062</v>
      </c>
      <c r="W3" s="4">
        <v>300</v>
      </c>
      <c r="X3" s="4">
        <v>1110</v>
      </c>
      <c r="Y3" s="4">
        <v>652</v>
      </c>
      <c r="Z3" s="4">
        <v>1771</v>
      </c>
      <c r="AA3" s="4">
        <v>373</v>
      </c>
      <c r="AB3" s="4">
        <v>952</v>
      </c>
      <c r="AC3" s="4">
        <v>384</v>
      </c>
      <c r="AD3" s="4">
        <v>62</v>
      </c>
      <c r="AE3" s="4">
        <v>1724</v>
      </c>
      <c r="AF3" s="4">
        <v>352</v>
      </c>
      <c r="AG3" s="4">
        <v>926</v>
      </c>
      <c r="AH3" s="4">
        <v>384</v>
      </c>
      <c r="AI3" s="4">
        <v>62</v>
      </c>
      <c r="AJ3" s="4">
        <v>335</v>
      </c>
      <c r="AK3" s="4">
        <v>24</v>
      </c>
      <c r="AL3" s="4">
        <v>150</v>
      </c>
      <c r="AM3" s="4">
        <v>142</v>
      </c>
      <c r="AN3" s="4">
        <v>20</v>
      </c>
      <c r="AO3" s="4">
        <v>575</v>
      </c>
      <c r="AP3" s="4">
        <v>19</v>
      </c>
      <c r="AQ3" s="4">
        <v>188</v>
      </c>
      <c r="AR3" s="4">
        <v>105</v>
      </c>
      <c r="AS3" s="4">
        <v>176</v>
      </c>
      <c r="AT3" s="4">
        <v>707</v>
      </c>
      <c r="AU3" s="4">
        <v>0</v>
      </c>
      <c r="AV3" s="4">
        <v>15</v>
      </c>
      <c r="AW3" s="4">
        <v>45</v>
      </c>
      <c r="AX3" s="4">
        <v>99</v>
      </c>
      <c r="AY3" s="4">
        <v>170</v>
      </c>
      <c r="AZ3" s="4">
        <v>301</v>
      </c>
      <c r="BA3" s="4">
        <v>184</v>
      </c>
      <c r="BB3" s="4">
        <v>163</v>
      </c>
      <c r="BC3" s="4">
        <v>0</v>
      </c>
      <c r="BD3" s="4">
        <v>38</v>
      </c>
      <c r="BE3" s="4">
        <v>142</v>
      </c>
      <c r="BF3" s="4">
        <v>288</v>
      </c>
      <c r="BG3" s="4">
        <v>494</v>
      </c>
      <c r="BH3" s="4">
        <v>853</v>
      </c>
      <c r="BI3" s="4">
        <v>284</v>
      </c>
      <c r="BJ3" s="4">
        <v>393</v>
      </c>
      <c r="BK3" s="4">
        <v>591</v>
      </c>
      <c r="BL3" s="4">
        <v>242</v>
      </c>
      <c r="BM3" s="4">
        <v>218</v>
      </c>
      <c r="BN3" s="4">
        <v>131</v>
      </c>
      <c r="BO3" s="4">
        <v>191</v>
      </c>
      <c r="BP3" s="4">
        <v>142</v>
      </c>
      <c r="BQ3" s="4">
        <v>95</v>
      </c>
      <c r="BR3" s="4">
        <v>86</v>
      </c>
      <c r="BS3" s="4">
        <v>77</v>
      </c>
      <c r="BT3" s="4">
        <v>571</v>
      </c>
      <c r="BU3" s="4">
        <v>117</v>
      </c>
      <c r="BV3" s="4">
        <v>214</v>
      </c>
      <c r="BW3" s="4">
        <v>28</v>
      </c>
      <c r="BX3" s="4">
        <v>191</v>
      </c>
      <c r="BY3" s="4">
        <v>2062</v>
      </c>
      <c r="BZ3" s="4">
        <v>252</v>
      </c>
      <c r="CA3" s="4">
        <v>941</v>
      </c>
      <c r="CB3" s="4">
        <v>170</v>
      </c>
      <c r="CC3" s="4">
        <v>589</v>
      </c>
      <c r="CD3" s="4">
        <v>214</v>
      </c>
      <c r="CE3" s="4">
        <v>28</v>
      </c>
      <c r="CF3" s="4">
        <v>0.3</v>
      </c>
      <c r="CG3" s="4">
        <v>58.4</v>
      </c>
      <c r="CH3" s="4">
        <v>24.7</v>
      </c>
      <c r="CI3" s="4">
        <v>40.9</v>
      </c>
      <c r="CJ3" s="4">
        <v>36.9</v>
      </c>
      <c r="CK3" s="4">
        <v>163</v>
      </c>
      <c r="CL3" s="43">
        <v>27.6</v>
      </c>
    </row>
    <row r="4" spans="1:90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1863</v>
      </c>
      <c r="I4" s="4">
        <v>845</v>
      </c>
      <c r="J4" s="4">
        <v>413</v>
      </c>
      <c r="K4" s="4">
        <v>432</v>
      </c>
      <c r="L4" s="4">
        <v>60</v>
      </c>
      <c r="M4" s="4">
        <v>957</v>
      </c>
      <c r="N4" s="4">
        <v>243</v>
      </c>
      <c r="O4" s="4">
        <v>455</v>
      </c>
      <c r="P4" s="4">
        <v>260</v>
      </c>
      <c r="Q4" s="4">
        <v>4298</v>
      </c>
      <c r="R4" s="4">
        <v>845</v>
      </c>
      <c r="S4" s="4">
        <v>413</v>
      </c>
      <c r="T4" s="4">
        <v>432</v>
      </c>
      <c r="U4" s="4">
        <v>153</v>
      </c>
      <c r="V4" s="4">
        <v>3299</v>
      </c>
      <c r="W4" s="4">
        <v>539</v>
      </c>
      <c r="X4" s="4">
        <v>1962</v>
      </c>
      <c r="Y4" s="4">
        <v>798</v>
      </c>
      <c r="Z4" s="4">
        <v>3336</v>
      </c>
      <c r="AA4" s="4">
        <v>937</v>
      </c>
      <c r="AB4" s="4">
        <v>1596</v>
      </c>
      <c r="AC4" s="4">
        <v>716</v>
      </c>
      <c r="AD4" s="4">
        <v>87</v>
      </c>
      <c r="AE4" s="4">
        <v>3336</v>
      </c>
      <c r="AF4" s="4">
        <v>937</v>
      </c>
      <c r="AG4" s="4">
        <v>1596</v>
      </c>
      <c r="AH4" s="4">
        <v>716</v>
      </c>
      <c r="AI4" s="4">
        <v>87</v>
      </c>
      <c r="AJ4" s="4">
        <v>822</v>
      </c>
      <c r="AK4" s="4">
        <v>259</v>
      </c>
      <c r="AL4" s="4">
        <v>316</v>
      </c>
      <c r="AM4" s="4">
        <v>222</v>
      </c>
      <c r="AN4" s="4">
        <v>26</v>
      </c>
      <c r="AO4" s="4">
        <v>1064</v>
      </c>
      <c r="AP4" s="4">
        <v>39</v>
      </c>
      <c r="AQ4" s="4">
        <v>392</v>
      </c>
      <c r="AR4" s="4">
        <v>141</v>
      </c>
      <c r="AS4" s="4">
        <v>195</v>
      </c>
      <c r="AT4" s="4">
        <v>1505</v>
      </c>
      <c r="AU4" s="4">
        <v>0</v>
      </c>
      <c r="AV4" s="4">
        <v>82</v>
      </c>
      <c r="AW4" s="4">
        <v>188</v>
      </c>
      <c r="AX4" s="4">
        <v>224</v>
      </c>
      <c r="AY4" s="4">
        <v>360</v>
      </c>
      <c r="AZ4" s="4">
        <v>301</v>
      </c>
      <c r="BA4" s="4">
        <v>271</v>
      </c>
      <c r="BB4" s="4">
        <v>437</v>
      </c>
      <c r="BC4" s="4">
        <v>0</v>
      </c>
      <c r="BD4" s="4">
        <v>282</v>
      </c>
      <c r="BE4" s="4">
        <v>466</v>
      </c>
      <c r="BF4" s="4">
        <v>518</v>
      </c>
      <c r="BG4" s="4">
        <v>980</v>
      </c>
      <c r="BH4" s="4">
        <v>887</v>
      </c>
      <c r="BI4" s="4">
        <v>428</v>
      </c>
      <c r="BJ4" s="4">
        <v>737</v>
      </c>
      <c r="BK4" s="4">
        <v>975</v>
      </c>
      <c r="BL4" s="4">
        <v>455</v>
      </c>
      <c r="BM4" s="4">
        <v>269</v>
      </c>
      <c r="BN4" s="4">
        <v>252</v>
      </c>
      <c r="BO4" s="4">
        <v>341</v>
      </c>
      <c r="BP4" s="4">
        <v>233</v>
      </c>
      <c r="BQ4" s="4">
        <v>196</v>
      </c>
      <c r="BR4" s="4">
        <v>111</v>
      </c>
      <c r="BS4" s="4">
        <v>95</v>
      </c>
      <c r="BT4" s="4">
        <v>957</v>
      </c>
      <c r="BU4" s="4">
        <v>234</v>
      </c>
      <c r="BV4" s="4">
        <v>365</v>
      </c>
      <c r="BW4" s="4">
        <v>85</v>
      </c>
      <c r="BX4" s="4">
        <v>256</v>
      </c>
      <c r="BY4" s="4">
        <v>3299</v>
      </c>
      <c r="BZ4" s="4">
        <v>490</v>
      </c>
      <c r="CA4" s="4">
        <v>1590</v>
      </c>
      <c r="CB4" s="4">
        <v>334</v>
      </c>
      <c r="CC4" s="4">
        <v>782</v>
      </c>
      <c r="CD4" s="4">
        <v>370</v>
      </c>
      <c r="CE4" s="4">
        <v>85</v>
      </c>
      <c r="CF4" s="4">
        <v>0.1</v>
      </c>
      <c r="CG4" s="4">
        <v>51.4</v>
      </c>
      <c r="CH4" s="4">
        <v>24.4</v>
      </c>
      <c r="CI4" s="4">
        <v>46.7</v>
      </c>
      <c r="CJ4" s="4">
        <v>27.6</v>
      </c>
      <c r="CK4" s="4">
        <v>206</v>
      </c>
      <c r="CL4" s="43">
        <v>21.1</v>
      </c>
    </row>
    <row r="5" spans="1:90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998</v>
      </c>
      <c r="I5" s="4">
        <v>385</v>
      </c>
      <c r="J5" s="4">
        <v>239</v>
      </c>
      <c r="K5" s="4">
        <v>145</v>
      </c>
      <c r="L5" s="4">
        <v>3</v>
      </c>
      <c r="M5" s="4">
        <v>610</v>
      </c>
      <c r="N5" s="4">
        <v>118</v>
      </c>
      <c r="O5" s="4">
        <v>323</v>
      </c>
      <c r="P5" s="4">
        <v>169</v>
      </c>
      <c r="Q5" s="4">
        <v>2536</v>
      </c>
      <c r="R5" s="4">
        <v>385</v>
      </c>
      <c r="S5" s="4">
        <v>239</v>
      </c>
      <c r="T5" s="4">
        <v>145</v>
      </c>
      <c r="U5" s="4">
        <v>7</v>
      </c>
      <c r="V5" s="4">
        <v>2144</v>
      </c>
      <c r="W5" s="4">
        <v>257</v>
      </c>
      <c r="X5" s="4">
        <v>1420</v>
      </c>
      <c r="Y5" s="4">
        <v>468</v>
      </c>
      <c r="Z5" s="4">
        <v>2301</v>
      </c>
      <c r="AA5" s="4">
        <v>474</v>
      </c>
      <c r="AB5" s="4">
        <v>1144</v>
      </c>
      <c r="AC5" s="4">
        <v>539</v>
      </c>
      <c r="AD5" s="4">
        <v>144</v>
      </c>
      <c r="AE5" s="4">
        <v>2164</v>
      </c>
      <c r="AF5" s="4">
        <v>473</v>
      </c>
      <c r="AG5" s="4">
        <v>1142</v>
      </c>
      <c r="AH5" s="4">
        <v>498</v>
      </c>
      <c r="AI5" s="4">
        <v>51</v>
      </c>
      <c r="AJ5" s="4">
        <v>483</v>
      </c>
      <c r="AK5" s="4">
        <v>44</v>
      </c>
      <c r="AL5" s="4">
        <v>249</v>
      </c>
      <c r="AM5" s="4">
        <v>160</v>
      </c>
      <c r="AN5" s="4">
        <v>30</v>
      </c>
      <c r="AO5" s="4">
        <v>942</v>
      </c>
      <c r="AP5" s="4">
        <v>4</v>
      </c>
      <c r="AQ5" s="4">
        <v>94</v>
      </c>
      <c r="AR5" s="4">
        <v>176</v>
      </c>
      <c r="AS5" s="4">
        <v>164</v>
      </c>
      <c r="AT5" s="4">
        <v>921</v>
      </c>
      <c r="AU5" s="4">
        <v>0</v>
      </c>
      <c r="AV5" s="4">
        <v>21</v>
      </c>
      <c r="AW5" s="4">
        <v>21</v>
      </c>
      <c r="AX5" s="4">
        <v>60</v>
      </c>
      <c r="AY5" s="4">
        <v>158</v>
      </c>
      <c r="AZ5" s="4">
        <v>284</v>
      </c>
      <c r="BA5" s="4">
        <v>185</v>
      </c>
      <c r="BB5" s="4">
        <v>270</v>
      </c>
      <c r="BC5" s="4">
        <v>0</v>
      </c>
      <c r="BD5" s="4">
        <v>76</v>
      </c>
      <c r="BE5" s="4">
        <v>57</v>
      </c>
      <c r="BF5" s="4">
        <v>204</v>
      </c>
      <c r="BG5" s="4">
        <v>443</v>
      </c>
      <c r="BH5" s="4">
        <v>853</v>
      </c>
      <c r="BI5" s="4">
        <v>378</v>
      </c>
      <c r="BJ5" s="4">
        <v>526</v>
      </c>
      <c r="BK5" s="4">
        <v>616</v>
      </c>
      <c r="BL5" s="4">
        <v>323</v>
      </c>
      <c r="BM5" s="4">
        <v>175</v>
      </c>
      <c r="BN5" s="4">
        <v>118</v>
      </c>
      <c r="BO5" s="4">
        <v>196</v>
      </c>
      <c r="BP5" s="4">
        <v>127</v>
      </c>
      <c r="BQ5" s="4">
        <v>134</v>
      </c>
      <c r="BR5" s="4">
        <v>112</v>
      </c>
      <c r="BS5" s="4">
        <v>46</v>
      </c>
      <c r="BT5" s="4">
        <v>610</v>
      </c>
      <c r="BU5" s="4">
        <v>113</v>
      </c>
      <c r="BV5" s="4">
        <v>291</v>
      </c>
      <c r="BW5" s="4">
        <v>32</v>
      </c>
      <c r="BX5" s="4">
        <v>168</v>
      </c>
      <c r="BY5" s="4">
        <v>2144</v>
      </c>
      <c r="BZ5" s="4">
        <v>238</v>
      </c>
      <c r="CA5" s="4">
        <v>1252</v>
      </c>
      <c r="CB5" s="4">
        <v>167</v>
      </c>
      <c r="CC5" s="4">
        <v>463</v>
      </c>
      <c r="CD5" s="4">
        <v>291</v>
      </c>
      <c r="CE5" s="4">
        <v>32</v>
      </c>
      <c r="CF5" s="4">
        <v>0.4</v>
      </c>
      <c r="CG5" s="4">
        <v>61.1</v>
      </c>
      <c r="CH5" s="4">
        <v>32.4</v>
      </c>
      <c r="CI5" s="4">
        <v>52.4</v>
      </c>
      <c r="CJ5" s="4">
        <v>28.4</v>
      </c>
      <c r="CK5" s="4">
        <v>158</v>
      </c>
      <c r="CL5" s="43">
        <v>25.6</v>
      </c>
    </row>
    <row r="6" spans="1:90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598</v>
      </c>
      <c r="I6" s="4">
        <v>139</v>
      </c>
      <c r="J6" s="4">
        <v>80</v>
      </c>
      <c r="K6" s="4">
        <v>58</v>
      </c>
      <c r="L6" s="4">
        <v>0</v>
      </c>
      <c r="M6" s="4">
        <v>459</v>
      </c>
      <c r="N6" s="4">
        <v>33</v>
      </c>
      <c r="O6" s="4">
        <v>316</v>
      </c>
      <c r="P6" s="4">
        <v>110</v>
      </c>
      <c r="Q6" s="4">
        <v>2123</v>
      </c>
      <c r="R6" s="4">
        <v>139</v>
      </c>
      <c r="S6" s="4">
        <v>80</v>
      </c>
      <c r="T6" s="4">
        <v>58</v>
      </c>
      <c r="U6" s="4">
        <v>0</v>
      </c>
      <c r="V6" s="4">
        <v>1984</v>
      </c>
      <c r="W6" s="4">
        <v>66</v>
      </c>
      <c r="X6" s="4">
        <v>1565</v>
      </c>
      <c r="Y6" s="4">
        <v>354</v>
      </c>
      <c r="Z6" s="4">
        <v>1424</v>
      </c>
      <c r="AA6" s="4">
        <v>421</v>
      </c>
      <c r="AB6" s="4">
        <v>652</v>
      </c>
      <c r="AC6" s="4">
        <v>338</v>
      </c>
      <c r="AD6" s="4">
        <v>14</v>
      </c>
      <c r="AE6" s="4">
        <v>1424</v>
      </c>
      <c r="AF6" s="4">
        <v>421</v>
      </c>
      <c r="AG6" s="4">
        <v>652</v>
      </c>
      <c r="AH6" s="4">
        <v>338</v>
      </c>
      <c r="AI6" s="4">
        <v>14</v>
      </c>
      <c r="AJ6" s="4">
        <v>143</v>
      </c>
      <c r="AK6" s="4">
        <v>5</v>
      </c>
      <c r="AL6" s="4">
        <v>49</v>
      </c>
      <c r="AM6" s="4">
        <v>89</v>
      </c>
      <c r="AN6" s="4">
        <v>0</v>
      </c>
      <c r="AO6" s="4">
        <v>620</v>
      </c>
      <c r="AP6" s="4">
        <v>5</v>
      </c>
      <c r="AQ6" s="4">
        <v>40</v>
      </c>
      <c r="AR6" s="4">
        <v>57</v>
      </c>
      <c r="AS6" s="4">
        <v>95</v>
      </c>
      <c r="AT6" s="4">
        <v>608</v>
      </c>
      <c r="AU6" s="4">
        <v>0</v>
      </c>
      <c r="AV6" s="4">
        <v>19</v>
      </c>
      <c r="AW6" s="4">
        <v>5</v>
      </c>
      <c r="AX6" s="4">
        <v>12</v>
      </c>
      <c r="AY6" s="4">
        <v>93</v>
      </c>
      <c r="AZ6" s="4">
        <v>198</v>
      </c>
      <c r="BA6" s="4">
        <v>124</v>
      </c>
      <c r="BB6" s="4">
        <v>147</v>
      </c>
      <c r="BC6" s="4">
        <v>0</v>
      </c>
      <c r="BD6" s="4">
        <v>67</v>
      </c>
      <c r="BE6" s="4">
        <v>15</v>
      </c>
      <c r="BF6" s="4">
        <v>27</v>
      </c>
      <c r="BG6" s="4">
        <v>418</v>
      </c>
      <c r="BH6" s="4">
        <v>842</v>
      </c>
      <c r="BI6" s="4">
        <v>315</v>
      </c>
      <c r="BJ6" s="4">
        <v>437</v>
      </c>
      <c r="BK6" s="4">
        <v>466</v>
      </c>
      <c r="BL6" s="4">
        <v>316</v>
      </c>
      <c r="BM6" s="4">
        <v>117</v>
      </c>
      <c r="BN6" s="4">
        <v>33</v>
      </c>
      <c r="BO6" s="4">
        <v>91</v>
      </c>
      <c r="BP6" s="4">
        <v>93</v>
      </c>
      <c r="BQ6" s="4">
        <v>93</v>
      </c>
      <c r="BR6" s="4">
        <v>90</v>
      </c>
      <c r="BS6" s="4">
        <v>99</v>
      </c>
      <c r="BT6" s="4">
        <v>459</v>
      </c>
      <c r="BU6" s="4">
        <v>33</v>
      </c>
      <c r="BV6" s="4">
        <v>299</v>
      </c>
      <c r="BW6" s="4">
        <v>17</v>
      </c>
      <c r="BX6" s="4">
        <v>103</v>
      </c>
      <c r="BY6" s="4">
        <v>1984</v>
      </c>
      <c r="BZ6" s="4">
        <v>66</v>
      </c>
      <c r="CA6" s="4">
        <v>1504</v>
      </c>
      <c r="CB6" s="4">
        <v>61</v>
      </c>
      <c r="CC6" s="4">
        <v>311</v>
      </c>
      <c r="CD6" s="4">
        <v>299</v>
      </c>
      <c r="CE6" s="4">
        <v>17</v>
      </c>
      <c r="CF6" s="4">
        <v>0.1</v>
      </c>
      <c r="CG6" s="4">
        <v>76.8</v>
      </c>
      <c r="CH6" s="4">
        <v>52.8</v>
      </c>
      <c r="CI6" s="4">
        <v>67.8</v>
      </c>
      <c r="CJ6" s="4">
        <v>25.1</v>
      </c>
      <c r="CK6" s="4">
        <v>189</v>
      </c>
      <c r="CL6" s="43">
        <v>40.6</v>
      </c>
    </row>
    <row r="7" spans="1:90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551</v>
      </c>
      <c r="I7" s="4">
        <v>200</v>
      </c>
      <c r="J7" s="4">
        <v>129</v>
      </c>
      <c r="K7" s="4">
        <v>70</v>
      </c>
      <c r="L7" s="4">
        <v>21</v>
      </c>
      <c r="M7" s="4">
        <v>330</v>
      </c>
      <c r="N7" s="4">
        <v>70</v>
      </c>
      <c r="O7" s="4">
        <v>174</v>
      </c>
      <c r="P7" s="4">
        <v>86</v>
      </c>
      <c r="Q7" s="4">
        <v>1480</v>
      </c>
      <c r="R7" s="4">
        <v>200</v>
      </c>
      <c r="S7" s="4">
        <v>129</v>
      </c>
      <c r="T7" s="4">
        <v>70</v>
      </c>
      <c r="U7" s="4">
        <v>81</v>
      </c>
      <c r="V7" s="4">
        <v>1199</v>
      </c>
      <c r="W7" s="4">
        <v>152</v>
      </c>
      <c r="X7" s="4">
        <v>795</v>
      </c>
      <c r="Y7" s="4">
        <v>253</v>
      </c>
      <c r="Z7" s="4">
        <v>1224</v>
      </c>
      <c r="AA7" s="4">
        <v>287</v>
      </c>
      <c r="AB7" s="4">
        <v>623</v>
      </c>
      <c r="AC7" s="4">
        <v>291</v>
      </c>
      <c r="AD7" s="4">
        <v>23</v>
      </c>
      <c r="AE7" s="4">
        <v>1224</v>
      </c>
      <c r="AF7" s="4">
        <v>287</v>
      </c>
      <c r="AG7" s="4">
        <v>623</v>
      </c>
      <c r="AH7" s="4">
        <v>291</v>
      </c>
      <c r="AI7" s="4">
        <v>23</v>
      </c>
      <c r="AJ7" s="4">
        <v>185</v>
      </c>
      <c r="AK7" s="4">
        <v>16</v>
      </c>
      <c r="AL7" s="4">
        <v>91</v>
      </c>
      <c r="AM7" s="4">
        <v>77</v>
      </c>
      <c r="AN7" s="4">
        <v>0</v>
      </c>
      <c r="AO7" s="4">
        <v>484</v>
      </c>
      <c r="AP7" s="4">
        <v>0</v>
      </c>
      <c r="AQ7" s="4">
        <v>88</v>
      </c>
      <c r="AR7" s="4">
        <v>64</v>
      </c>
      <c r="AS7" s="4">
        <v>67</v>
      </c>
      <c r="AT7" s="4">
        <v>522</v>
      </c>
      <c r="AU7" s="4">
        <v>0</v>
      </c>
      <c r="AV7" s="4">
        <v>12</v>
      </c>
      <c r="AW7" s="4">
        <v>19</v>
      </c>
      <c r="AX7" s="4">
        <v>34</v>
      </c>
      <c r="AY7" s="4">
        <v>56</v>
      </c>
      <c r="AZ7" s="4">
        <v>180</v>
      </c>
      <c r="BA7" s="4">
        <v>86</v>
      </c>
      <c r="BB7" s="4">
        <v>163</v>
      </c>
      <c r="BC7" s="4">
        <v>0</v>
      </c>
      <c r="BD7" s="4">
        <v>37</v>
      </c>
      <c r="BE7" s="4">
        <v>61</v>
      </c>
      <c r="BF7" s="4">
        <v>83</v>
      </c>
      <c r="BG7" s="4">
        <v>142</v>
      </c>
      <c r="BH7" s="4">
        <v>530</v>
      </c>
      <c r="BI7" s="4">
        <v>142</v>
      </c>
      <c r="BJ7" s="4">
        <v>485</v>
      </c>
      <c r="BK7" s="4">
        <v>338</v>
      </c>
      <c r="BL7" s="4">
        <v>174</v>
      </c>
      <c r="BM7" s="4">
        <v>93</v>
      </c>
      <c r="BN7" s="4">
        <v>70</v>
      </c>
      <c r="BO7" s="4">
        <v>107</v>
      </c>
      <c r="BP7" s="4">
        <v>68</v>
      </c>
      <c r="BQ7" s="4">
        <v>64</v>
      </c>
      <c r="BR7" s="4">
        <v>53</v>
      </c>
      <c r="BS7" s="4">
        <v>46</v>
      </c>
      <c r="BT7" s="4">
        <v>330</v>
      </c>
      <c r="BU7" s="4">
        <v>67</v>
      </c>
      <c r="BV7" s="4">
        <v>164</v>
      </c>
      <c r="BW7" s="4">
        <v>10</v>
      </c>
      <c r="BX7" s="4">
        <v>81</v>
      </c>
      <c r="BY7" s="4">
        <v>1199</v>
      </c>
      <c r="BZ7" s="4">
        <v>139</v>
      </c>
      <c r="CA7" s="4">
        <v>750</v>
      </c>
      <c r="CB7" s="4">
        <v>45</v>
      </c>
      <c r="CC7" s="4">
        <v>235</v>
      </c>
      <c r="CD7" s="4">
        <v>164</v>
      </c>
      <c r="CE7" s="4">
        <v>10</v>
      </c>
      <c r="CF7" s="4">
        <v>0.4</v>
      </c>
      <c r="CG7" s="4">
        <v>59.9</v>
      </c>
      <c r="CH7" s="4">
        <v>31.6</v>
      </c>
      <c r="CI7" s="4">
        <v>51.5</v>
      </c>
      <c r="CJ7" s="4">
        <v>27.5</v>
      </c>
      <c r="CK7" s="4">
        <v>99</v>
      </c>
      <c r="CL7" s="43">
        <v>29.3</v>
      </c>
    </row>
    <row r="8" spans="1:90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939</v>
      </c>
      <c r="I8" s="4">
        <v>287</v>
      </c>
      <c r="J8" s="4">
        <v>183</v>
      </c>
      <c r="K8" s="4">
        <v>104</v>
      </c>
      <c r="L8" s="4">
        <v>6</v>
      </c>
      <c r="M8" s="4">
        <v>645</v>
      </c>
      <c r="N8" s="4">
        <v>109</v>
      </c>
      <c r="O8" s="4">
        <v>332</v>
      </c>
      <c r="P8" s="4">
        <v>204</v>
      </c>
      <c r="Q8" s="4">
        <v>2689</v>
      </c>
      <c r="R8" s="4">
        <v>287</v>
      </c>
      <c r="S8" s="4">
        <v>183</v>
      </c>
      <c r="T8" s="4">
        <v>104</v>
      </c>
      <c r="U8" s="4">
        <v>13</v>
      </c>
      <c r="V8" s="4">
        <v>2389</v>
      </c>
      <c r="W8" s="4">
        <v>223</v>
      </c>
      <c r="X8" s="4">
        <v>1533</v>
      </c>
      <c r="Y8" s="4">
        <v>633</v>
      </c>
      <c r="Z8" s="4">
        <v>1912</v>
      </c>
      <c r="AA8" s="4">
        <v>408</v>
      </c>
      <c r="AB8" s="4">
        <v>1032</v>
      </c>
      <c r="AC8" s="4">
        <v>409</v>
      </c>
      <c r="AD8" s="4">
        <v>63</v>
      </c>
      <c r="AE8" s="4">
        <v>1906</v>
      </c>
      <c r="AF8" s="4">
        <v>408</v>
      </c>
      <c r="AG8" s="4">
        <v>1027</v>
      </c>
      <c r="AH8" s="4">
        <v>408</v>
      </c>
      <c r="AI8" s="4">
        <v>63</v>
      </c>
      <c r="AJ8" s="4">
        <v>273</v>
      </c>
      <c r="AK8" s="4">
        <v>48</v>
      </c>
      <c r="AL8" s="4">
        <v>139</v>
      </c>
      <c r="AM8" s="4">
        <v>62</v>
      </c>
      <c r="AN8" s="4">
        <v>24</v>
      </c>
      <c r="AO8" s="4">
        <v>810</v>
      </c>
      <c r="AP8" s="4">
        <v>11</v>
      </c>
      <c r="AQ8" s="4">
        <v>128</v>
      </c>
      <c r="AR8" s="4">
        <v>88</v>
      </c>
      <c r="AS8" s="4">
        <v>91</v>
      </c>
      <c r="AT8" s="4">
        <v>784</v>
      </c>
      <c r="AU8" s="4">
        <v>0</v>
      </c>
      <c r="AV8" s="4">
        <v>12</v>
      </c>
      <c r="AW8" s="4">
        <v>21</v>
      </c>
      <c r="AX8" s="4">
        <v>100</v>
      </c>
      <c r="AY8" s="4">
        <v>186</v>
      </c>
      <c r="AZ8" s="4">
        <v>334</v>
      </c>
      <c r="BA8" s="4">
        <v>143</v>
      </c>
      <c r="BB8" s="4">
        <v>143</v>
      </c>
      <c r="BC8" s="4">
        <v>0</v>
      </c>
      <c r="BD8" s="4">
        <v>41</v>
      </c>
      <c r="BE8" s="4">
        <v>63</v>
      </c>
      <c r="BF8" s="4">
        <v>256</v>
      </c>
      <c r="BG8" s="4">
        <v>548</v>
      </c>
      <c r="BH8" s="4">
        <v>1199</v>
      </c>
      <c r="BI8" s="4">
        <v>303</v>
      </c>
      <c r="BJ8" s="4">
        <v>278</v>
      </c>
      <c r="BK8" s="4">
        <v>655</v>
      </c>
      <c r="BL8" s="4">
        <v>332</v>
      </c>
      <c r="BM8" s="4">
        <v>214</v>
      </c>
      <c r="BN8" s="4">
        <v>109</v>
      </c>
      <c r="BO8" s="4">
        <v>190</v>
      </c>
      <c r="BP8" s="4">
        <v>137</v>
      </c>
      <c r="BQ8" s="4">
        <v>147</v>
      </c>
      <c r="BR8" s="4">
        <v>113</v>
      </c>
      <c r="BS8" s="4">
        <v>67</v>
      </c>
      <c r="BT8" s="4">
        <v>645</v>
      </c>
      <c r="BU8" s="4">
        <v>109</v>
      </c>
      <c r="BV8" s="4">
        <v>290</v>
      </c>
      <c r="BW8" s="4">
        <v>38</v>
      </c>
      <c r="BX8" s="4">
        <v>199</v>
      </c>
      <c r="BY8" s="4">
        <v>2389</v>
      </c>
      <c r="BZ8" s="4">
        <v>223</v>
      </c>
      <c r="CA8" s="4">
        <v>1322</v>
      </c>
      <c r="CB8" s="4">
        <v>172</v>
      </c>
      <c r="CC8" s="4">
        <v>610</v>
      </c>
      <c r="CD8" s="4">
        <v>294</v>
      </c>
      <c r="CE8" s="4">
        <v>38</v>
      </c>
      <c r="CF8" s="4">
        <v>0.9</v>
      </c>
      <c r="CG8" s="4">
        <v>68.7</v>
      </c>
      <c r="CH8" s="4">
        <v>35.4</v>
      </c>
      <c r="CI8" s="4">
        <v>50.7</v>
      </c>
      <c r="CJ8" s="4">
        <v>32.700000000000003</v>
      </c>
      <c r="CK8" s="4">
        <v>180</v>
      </c>
      <c r="CL8" s="43">
        <v>27.5</v>
      </c>
    </row>
    <row r="9" spans="1:90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788</v>
      </c>
      <c r="I9" s="4">
        <v>260</v>
      </c>
      <c r="J9" s="4">
        <v>135</v>
      </c>
      <c r="K9" s="4">
        <v>125</v>
      </c>
      <c r="L9" s="4">
        <v>12</v>
      </c>
      <c r="M9" s="4">
        <v>516</v>
      </c>
      <c r="N9" s="4">
        <v>144</v>
      </c>
      <c r="O9" s="4">
        <v>222</v>
      </c>
      <c r="P9" s="4">
        <v>150</v>
      </c>
      <c r="Q9" s="4">
        <v>2142</v>
      </c>
      <c r="R9" s="4">
        <v>260</v>
      </c>
      <c r="S9" s="4">
        <v>135</v>
      </c>
      <c r="T9" s="4">
        <v>125</v>
      </c>
      <c r="U9" s="4">
        <v>29</v>
      </c>
      <c r="V9" s="4">
        <v>1853</v>
      </c>
      <c r="W9" s="4">
        <v>298</v>
      </c>
      <c r="X9" s="4">
        <v>1078</v>
      </c>
      <c r="Y9" s="4">
        <v>477</v>
      </c>
      <c r="Z9" s="4">
        <v>1590</v>
      </c>
      <c r="AA9" s="4">
        <v>301</v>
      </c>
      <c r="AB9" s="4">
        <v>811</v>
      </c>
      <c r="AC9" s="4">
        <v>417</v>
      </c>
      <c r="AD9" s="4">
        <v>61</v>
      </c>
      <c r="AE9" s="4">
        <v>1590</v>
      </c>
      <c r="AF9" s="4">
        <v>301</v>
      </c>
      <c r="AG9" s="4">
        <v>811</v>
      </c>
      <c r="AH9" s="4">
        <v>417</v>
      </c>
      <c r="AI9" s="4">
        <v>61</v>
      </c>
      <c r="AJ9" s="4">
        <v>263</v>
      </c>
      <c r="AK9" s="4">
        <v>9</v>
      </c>
      <c r="AL9" s="4">
        <v>84</v>
      </c>
      <c r="AM9" s="4">
        <v>133</v>
      </c>
      <c r="AN9" s="4">
        <v>36</v>
      </c>
      <c r="AO9" s="4">
        <v>738</v>
      </c>
      <c r="AP9" s="4">
        <v>6</v>
      </c>
      <c r="AQ9" s="4">
        <v>68</v>
      </c>
      <c r="AR9" s="4">
        <v>85</v>
      </c>
      <c r="AS9" s="4">
        <v>115</v>
      </c>
      <c r="AT9" s="4">
        <v>578</v>
      </c>
      <c r="AU9" s="4">
        <v>0</v>
      </c>
      <c r="AV9" s="4">
        <v>17</v>
      </c>
      <c r="AW9" s="4">
        <v>25</v>
      </c>
      <c r="AX9" s="4">
        <v>75</v>
      </c>
      <c r="AY9" s="4">
        <v>140</v>
      </c>
      <c r="AZ9" s="4">
        <v>242</v>
      </c>
      <c r="BA9" s="4">
        <v>219</v>
      </c>
      <c r="BB9" s="4">
        <v>69</v>
      </c>
      <c r="BC9" s="4">
        <v>0</v>
      </c>
      <c r="BD9" s="4">
        <v>65</v>
      </c>
      <c r="BE9" s="4">
        <v>56</v>
      </c>
      <c r="BF9" s="4">
        <v>262</v>
      </c>
      <c r="BG9" s="4">
        <v>430</v>
      </c>
      <c r="BH9" s="4">
        <v>799</v>
      </c>
      <c r="BI9" s="4">
        <v>349</v>
      </c>
      <c r="BJ9" s="4">
        <v>182</v>
      </c>
      <c r="BK9" s="4">
        <v>527</v>
      </c>
      <c r="BL9" s="4">
        <v>222</v>
      </c>
      <c r="BM9" s="4">
        <v>161</v>
      </c>
      <c r="BN9" s="4">
        <v>144</v>
      </c>
      <c r="BO9" s="4">
        <v>199</v>
      </c>
      <c r="BP9" s="4">
        <v>75</v>
      </c>
      <c r="BQ9" s="4">
        <v>116</v>
      </c>
      <c r="BR9" s="4">
        <v>70</v>
      </c>
      <c r="BS9" s="4">
        <v>67</v>
      </c>
      <c r="BT9" s="4">
        <v>516</v>
      </c>
      <c r="BU9" s="4">
        <v>141</v>
      </c>
      <c r="BV9" s="4">
        <v>190</v>
      </c>
      <c r="BW9" s="4">
        <v>28</v>
      </c>
      <c r="BX9" s="4">
        <v>145</v>
      </c>
      <c r="BY9" s="4">
        <v>1853</v>
      </c>
      <c r="BZ9" s="4">
        <v>285</v>
      </c>
      <c r="CA9" s="4">
        <v>899</v>
      </c>
      <c r="CB9" s="4">
        <v>159</v>
      </c>
      <c r="CC9" s="4">
        <v>450</v>
      </c>
      <c r="CD9" s="4">
        <v>193</v>
      </c>
      <c r="CE9" s="4">
        <v>28</v>
      </c>
      <c r="CF9" s="4">
        <v>0.4</v>
      </c>
      <c r="CG9" s="4">
        <v>65.5</v>
      </c>
      <c r="CH9" s="4">
        <v>28.2</v>
      </c>
      <c r="CI9" s="4">
        <v>42.1</v>
      </c>
      <c r="CJ9" s="4">
        <v>30.6</v>
      </c>
      <c r="CK9" s="4">
        <v>137</v>
      </c>
      <c r="CL9" s="43">
        <v>26</v>
      </c>
    </row>
    <row r="10" spans="1:90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1096</v>
      </c>
      <c r="I10" s="4">
        <v>277</v>
      </c>
      <c r="J10" s="4">
        <v>136</v>
      </c>
      <c r="K10" s="4">
        <v>141</v>
      </c>
      <c r="L10" s="4">
        <v>19</v>
      </c>
      <c r="M10" s="4">
        <v>800</v>
      </c>
      <c r="N10" s="4">
        <v>156</v>
      </c>
      <c r="O10" s="4">
        <v>419</v>
      </c>
      <c r="P10" s="4">
        <v>225</v>
      </c>
      <c r="Q10" s="4">
        <v>3496</v>
      </c>
      <c r="R10" s="4">
        <v>277</v>
      </c>
      <c r="S10" s="4">
        <v>136</v>
      </c>
      <c r="T10" s="4">
        <v>141</v>
      </c>
      <c r="U10" s="4">
        <v>38</v>
      </c>
      <c r="V10" s="4">
        <v>3182</v>
      </c>
      <c r="W10" s="4">
        <v>327</v>
      </c>
      <c r="X10" s="4">
        <v>2149</v>
      </c>
      <c r="Y10" s="4">
        <v>707</v>
      </c>
      <c r="Z10" s="4">
        <v>2510</v>
      </c>
      <c r="AA10" s="4">
        <v>652</v>
      </c>
      <c r="AB10" s="4">
        <v>1249</v>
      </c>
      <c r="AC10" s="4">
        <v>521</v>
      </c>
      <c r="AD10" s="4">
        <v>88</v>
      </c>
      <c r="AE10" s="4">
        <v>2510</v>
      </c>
      <c r="AF10" s="4">
        <v>652</v>
      </c>
      <c r="AG10" s="4">
        <v>1249</v>
      </c>
      <c r="AH10" s="4">
        <v>521</v>
      </c>
      <c r="AI10" s="4">
        <v>88</v>
      </c>
      <c r="AJ10" s="4">
        <v>266</v>
      </c>
      <c r="AK10" s="4">
        <v>3</v>
      </c>
      <c r="AL10" s="4">
        <v>89</v>
      </c>
      <c r="AM10" s="4">
        <v>142</v>
      </c>
      <c r="AN10" s="4">
        <v>32</v>
      </c>
      <c r="AO10" s="4">
        <v>987</v>
      </c>
      <c r="AP10" s="4">
        <v>0</v>
      </c>
      <c r="AQ10" s="4">
        <v>182</v>
      </c>
      <c r="AR10" s="4">
        <v>147</v>
      </c>
      <c r="AS10" s="4">
        <v>106</v>
      </c>
      <c r="AT10" s="4">
        <v>1088</v>
      </c>
      <c r="AU10" s="4">
        <v>0</v>
      </c>
      <c r="AV10" s="4">
        <v>22</v>
      </c>
      <c r="AW10" s="4">
        <v>41</v>
      </c>
      <c r="AX10" s="4">
        <v>76</v>
      </c>
      <c r="AY10" s="4">
        <v>169</v>
      </c>
      <c r="AZ10" s="4">
        <v>344</v>
      </c>
      <c r="BA10" s="4">
        <v>222</v>
      </c>
      <c r="BB10" s="4">
        <v>222</v>
      </c>
      <c r="BC10" s="4">
        <v>0</v>
      </c>
      <c r="BD10" s="4">
        <v>81</v>
      </c>
      <c r="BE10" s="4">
        <v>130</v>
      </c>
      <c r="BF10" s="4">
        <v>292</v>
      </c>
      <c r="BG10" s="4">
        <v>584</v>
      </c>
      <c r="BH10" s="4">
        <v>1426</v>
      </c>
      <c r="BI10" s="4">
        <v>432</v>
      </c>
      <c r="BJ10" s="4">
        <v>551</v>
      </c>
      <c r="BK10" s="4">
        <v>815</v>
      </c>
      <c r="BL10" s="4">
        <v>419</v>
      </c>
      <c r="BM10" s="4">
        <v>236</v>
      </c>
      <c r="BN10" s="4">
        <v>160</v>
      </c>
      <c r="BO10" s="4">
        <v>268</v>
      </c>
      <c r="BP10" s="4">
        <v>151</v>
      </c>
      <c r="BQ10" s="4">
        <v>115</v>
      </c>
      <c r="BR10" s="4">
        <v>130</v>
      </c>
      <c r="BS10" s="4">
        <v>151</v>
      </c>
      <c r="BT10" s="4">
        <v>800</v>
      </c>
      <c r="BU10" s="4">
        <v>153</v>
      </c>
      <c r="BV10" s="4">
        <v>361</v>
      </c>
      <c r="BW10" s="4">
        <v>51</v>
      </c>
      <c r="BX10" s="4">
        <v>222</v>
      </c>
      <c r="BY10" s="4">
        <v>3182</v>
      </c>
      <c r="BZ10" s="4">
        <v>306</v>
      </c>
      <c r="CA10" s="4">
        <v>1842</v>
      </c>
      <c r="CB10" s="4">
        <v>271</v>
      </c>
      <c r="CC10" s="4">
        <v>689</v>
      </c>
      <c r="CD10" s="4">
        <v>364</v>
      </c>
      <c r="CE10" s="4">
        <v>54</v>
      </c>
      <c r="CF10" s="4">
        <v>0.6</v>
      </c>
      <c r="CG10" s="4">
        <v>73</v>
      </c>
      <c r="CH10" s="4">
        <v>38.200000000000003</v>
      </c>
      <c r="CI10" s="4">
        <v>51.4</v>
      </c>
      <c r="CJ10" s="4">
        <v>29</v>
      </c>
      <c r="CK10" s="4">
        <v>281</v>
      </c>
      <c r="CL10" s="43">
        <v>34.5</v>
      </c>
    </row>
    <row r="11" spans="1:90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881</v>
      </c>
      <c r="I11" s="4">
        <v>229</v>
      </c>
      <c r="J11" s="4">
        <v>127</v>
      </c>
      <c r="K11" s="4">
        <v>102</v>
      </c>
      <c r="L11" s="4">
        <v>7</v>
      </c>
      <c r="M11" s="4">
        <v>646</v>
      </c>
      <c r="N11" s="4">
        <v>131</v>
      </c>
      <c r="O11" s="4">
        <v>328</v>
      </c>
      <c r="P11" s="4">
        <v>187</v>
      </c>
      <c r="Q11" s="4">
        <v>2632</v>
      </c>
      <c r="R11" s="4">
        <v>229</v>
      </c>
      <c r="S11" s="4">
        <v>127</v>
      </c>
      <c r="T11" s="4">
        <v>102</v>
      </c>
      <c r="U11" s="4">
        <v>15</v>
      </c>
      <c r="V11" s="4">
        <v>2388</v>
      </c>
      <c r="W11" s="4">
        <v>276</v>
      </c>
      <c r="X11" s="4">
        <v>1516</v>
      </c>
      <c r="Y11" s="4">
        <v>596</v>
      </c>
      <c r="Z11" s="4">
        <v>1705</v>
      </c>
      <c r="AA11" s="4">
        <v>390</v>
      </c>
      <c r="AB11" s="4">
        <v>900</v>
      </c>
      <c r="AC11" s="4">
        <v>404</v>
      </c>
      <c r="AD11" s="4">
        <v>11</v>
      </c>
      <c r="AE11" s="4">
        <v>1705</v>
      </c>
      <c r="AF11" s="4">
        <v>390</v>
      </c>
      <c r="AG11" s="4">
        <v>900</v>
      </c>
      <c r="AH11" s="4">
        <v>404</v>
      </c>
      <c r="AI11" s="4">
        <v>11</v>
      </c>
      <c r="AJ11" s="4">
        <v>207</v>
      </c>
      <c r="AK11" s="4">
        <v>7</v>
      </c>
      <c r="AL11" s="4">
        <v>99</v>
      </c>
      <c r="AM11" s="4">
        <v>101</v>
      </c>
      <c r="AN11" s="4">
        <v>0</v>
      </c>
      <c r="AO11" s="4">
        <v>728</v>
      </c>
      <c r="AP11" s="4">
        <v>6</v>
      </c>
      <c r="AQ11" s="4">
        <v>166</v>
      </c>
      <c r="AR11" s="4">
        <v>29</v>
      </c>
      <c r="AS11" s="4">
        <v>50</v>
      </c>
      <c r="AT11" s="4">
        <v>725</v>
      </c>
      <c r="AU11" s="4">
        <v>0</v>
      </c>
      <c r="AV11" s="4">
        <v>30</v>
      </c>
      <c r="AW11" s="4">
        <v>61</v>
      </c>
      <c r="AX11" s="4">
        <v>84</v>
      </c>
      <c r="AY11" s="4">
        <v>110</v>
      </c>
      <c r="AZ11" s="4">
        <v>270</v>
      </c>
      <c r="BA11" s="4">
        <v>195</v>
      </c>
      <c r="BB11" s="4">
        <v>131</v>
      </c>
      <c r="BC11" s="4">
        <v>0</v>
      </c>
      <c r="BD11" s="4">
        <v>141</v>
      </c>
      <c r="BE11" s="4">
        <v>167</v>
      </c>
      <c r="BF11" s="4">
        <v>265</v>
      </c>
      <c r="BG11" s="4">
        <v>354</v>
      </c>
      <c r="BH11" s="4">
        <v>959</v>
      </c>
      <c r="BI11" s="4">
        <v>350</v>
      </c>
      <c r="BJ11" s="4">
        <v>395</v>
      </c>
      <c r="BK11" s="4">
        <v>654</v>
      </c>
      <c r="BL11" s="4">
        <v>328</v>
      </c>
      <c r="BM11" s="4">
        <v>191</v>
      </c>
      <c r="BN11" s="4">
        <v>136</v>
      </c>
      <c r="BO11" s="4">
        <v>179</v>
      </c>
      <c r="BP11" s="4">
        <v>141</v>
      </c>
      <c r="BQ11" s="4">
        <v>123</v>
      </c>
      <c r="BR11" s="4">
        <v>134</v>
      </c>
      <c r="BS11" s="4">
        <v>77</v>
      </c>
      <c r="BT11" s="4">
        <v>646</v>
      </c>
      <c r="BU11" s="4">
        <v>127</v>
      </c>
      <c r="BV11" s="4">
        <v>288</v>
      </c>
      <c r="BW11" s="4">
        <v>35</v>
      </c>
      <c r="BX11" s="4">
        <v>187</v>
      </c>
      <c r="BY11" s="4">
        <v>2388</v>
      </c>
      <c r="BZ11" s="4">
        <v>254</v>
      </c>
      <c r="CA11" s="4">
        <v>1277</v>
      </c>
      <c r="CB11" s="4">
        <v>203</v>
      </c>
      <c r="CC11" s="4">
        <v>596</v>
      </c>
      <c r="CD11" s="4">
        <v>293</v>
      </c>
      <c r="CE11" s="4">
        <v>35</v>
      </c>
      <c r="CF11" s="4">
        <v>0.2</v>
      </c>
      <c r="CG11" s="4">
        <v>73.3</v>
      </c>
      <c r="CH11" s="4">
        <v>37.200000000000003</v>
      </c>
      <c r="CI11" s="4">
        <v>50.2</v>
      </c>
      <c r="CJ11" s="4">
        <v>29.2</v>
      </c>
      <c r="CK11" s="4">
        <v>211</v>
      </c>
      <c r="CL11" s="43">
        <v>32.299999999999997</v>
      </c>
    </row>
    <row r="12" spans="1:90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998</v>
      </c>
      <c r="I12" s="4">
        <v>325</v>
      </c>
      <c r="J12" s="4">
        <v>138</v>
      </c>
      <c r="K12" s="4">
        <v>187</v>
      </c>
      <c r="L12" s="4">
        <v>15</v>
      </c>
      <c r="M12" s="4">
        <v>658</v>
      </c>
      <c r="N12" s="4">
        <v>142</v>
      </c>
      <c r="O12" s="4">
        <v>308</v>
      </c>
      <c r="P12" s="4">
        <v>208</v>
      </c>
      <c r="Q12" s="4">
        <v>2739</v>
      </c>
      <c r="R12" s="4">
        <v>325</v>
      </c>
      <c r="S12" s="4">
        <v>138</v>
      </c>
      <c r="T12" s="4">
        <v>187</v>
      </c>
      <c r="U12" s="4">
        <v>34</v>
      </c>
      <c r="V12" s="4">
        <v>2379</v>
      </c>
      <c r="W12" s="4">
        <v>283</v>
      </c>
      <c r="X12" s="4">
        <v>1431</v>
      </c>
      <c r="Y12" s="4">
        <v>665</v>
      </c>
      <c r="Z12" s="4">
        <v>2018</v>
      </c>
      <c r="AA12" s="4">
        <v>455</v>
      </c>
      <c r="AB12" s="4">
        <v>928</v>
      </c>
      <c r="AC12" s="4">
        <v>508</v>
      </c>
      <c r="AD12" s="4">
        <v>127</v>
      </c>
      <c r="AE12" s="4">
        <v>1946</v>
      </c>
      <c r="AF12" s="4">
        <v>455</v>
      </c>
      <c r="AG12" s="4">
        <v>926</v>
      </c>
      <c r="AH12" s="4">
        <v>479</v>
      </c>
      <c r="AI12" s="4">
        <v>86</v>
      </c>
      <c r="AJ12" s="4">
        <v>306</v>
      </c>
      <c r="AK12" s="4">
        <v>15</v>
      </c>
      <c r="AL12" s="4">
        <v>117</v>
      </c>
      <c r="AM12" s="4">
        <v>132</v>
      </c>
      <c r="AN12" s="4">
        <v>43</v>
      </c>
      <c r="AO12" s="4">
        <v>735</v>
      </c>
      <c r="AP12" s="4">
        <v>20</v>
      </c>
      <c r="AQ12" s="4">
        <v>137</v>
      </c>
      <c r="AR12" s="4">
        <v>155</v>
      </c>
      <c r="AS12" s="4">
        <v>132</v>
      </c>
      <c r="AT12" s="4">
        <v>839</v>
      </c>
      <c r="AU12" s="4">
        <v>0</v>
      </c>
      <c r="AV12" s="4">
        <v>39</v>
      </c>
      <c r="AW12" s="4">
        <v>28</v>
      </c>
      <c r="AX12" s="4">
        <v>79</v>
      </c>
      <c r="AY12" s="4">
        <v>219</v>
      </c>
      <c r="AZ12" s="4">
        <v>273</v>
      </c>
      <c r="BA12" s="4">
        <v>213</v>
      </c>
      <c r="BB12" s="4">
        <v>147</v>
      </c>
      <c r="BC12" s="4">
        <v>0</v>
      </c>
      <c r="BD12" s="4">
        <v>131</v>
      </c>
      <c r="BE12" s="4">
        <v>99</v>
      </c>
      <c r="BF12" s="4">
        <v>221</v>
      </c>
      <c r="BG12" s="4">
        <v>586</v>
      </c>
      <c r="BH12" s="4">
        <v>912</v>
      </c>
      <c r="BI12" s="4">
        <v>369</v>
      </c>
      <c r="BJ12" s="4">
        <v>421</v>
      </c>
      <c r="BK12" s="4">
        <v>665</v>
      </c>
      <c r="BL12" s="4">
        <v>308</v>
      </c>
      <c r="BM12" s="4">
        <v>215</v>
      </c>
      <c r="BN12" s="4">
        <v>142</v>
      </c>
      <c r="BO12" s="4">
        <v>190</v>
      </c>
      <c r="BP12" s="4">
        <v>138</v>
      </c>
      <c r="BQ12" s="4">
        <v>131</v>
      </c>
      <c r="BR12" s="4">
        <v>123</v>
      </c>
      <c r="BS12" s="4">
        <v>83</v>
      </c>
      <c r="BT12" s="4">
        <v>658</v>
      </c>
      <c r="BU12" s="4">
        <v>142</v>
      </c>
      <c r="BV12" s="4">
        <v>262</v>
      </c>
      <c r="BW12" s="4">
        <v>46</v>
      </c>
      <c r="BX12" s="4">
        <v>201</v>
      </c>
      <c r="BY12" s="4">
        <v>2379</v>
      </c>
      <c r="BZ12" s="4">
        <v>283</v>
      </c>
      <c r="CA12" s="4">
        <v>1193</v>
      </c>
      <c r="CB12" s="4">
        <v>238</v>
      </c>
      <c r="CC12" s="4">
        <v>619</v>
      </c>
      <c r="CD12" s="4">
        <v>262</v>
      </c>
      <c r="CE12" s="4">
        <v>46</v>
      </c>
      <c r="CF12" s="4">
        <v>0.3</v>
      </c>
      <c r="CG12" s="4">
        <v>65.900000000000006</v>
      </c>
      <c r="CH12" s="4">
        <v>30.9</v>
      </c>
      <c r="CI12" s="4">
        <v>46.3</v>
      </c>
      <c r="CJ12" s="4">
        <v>32.299999999999997</v>
      </c>
      <c r="CK12" s="4">
        <v>206</v>
      </c>
      <c r="CL12" s="43">
        <v>31</v>
      </c>
    </row>
    <row r="13" spans="1:90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935</v>
      </c>
      <c r="I13" s="4">
        <v>413</v>
      </c>
      <c r="J13" s="4">
        <v>224</v>
      </c>
      <c r="K13" s="4">
        <v>189</v>
      </c>
      <c r="L13" s="4">
        <v>13</v>
      </c>
      <c r="M13" s="4">
        <v>508</v>
      </c>
      <c r="N13" s="4">
        <v>92</v>
      </c>
      <c r="O13" s="4">
        <v>215</v>
      </c>
      <c r="P13" s="4">
        <v>201</v>
      </c>
      <c r="Q13" s="4">
        <v>2263</v>
      </c>
      <c r="R13" s="4">
        <v>413</v>
      </c>
      <c r="S13" s="4">
        <v>224</v>
      </c>
      <c r="T13" s="4">
        <v>189</v>
      </c>
      <c r="U13" s="4">
        <v>35</v>
      </c>
      <c r="V13" s="4">
        <v>1815</v>
      </c>
      <c r="W13" s="4">
        <v>223</v>
      </c>
      <c r="X13" s="4">
        <v>978</v>
      </c>
      <c r="Y13" s="4">
        <v>615</v>
      </c>
      <c r="Z13" s="4">
        <v>1742</v>
      </c>
      <c r="AA13" s="4">
        <v>440</v>
      </c>
      <c r="AB13" s="4">
        <v>841</v>
      </c>
      <c r="AC13" s="4">
        <v>400</v>
      </c>
      <c r="AD13" s="4">
        <v>61</v>
      </c>
      <c r="AE13" s="4">
        <v>1627</v>
      </c>
      <c r="AF13" s="4">
        <v>414</v>
      </c>
      <c r="AG13" s="4">
        <v>769</v>
      </c>
      <c r="AH13" s="4">
        <v>383</v>
      </c>
      <c r="AI13" s="4">
        <v>61</v>
      </c>
      <c r="AJ13" s="4">
        <v>388</v>
      </c>
      <c r="AK13" s="4">
        <v>43</v>
      </c>
      <c r="AL13" s="4">
        <v>168</v>
      </c>
      <c r="AM13" s="4">
        <v>142</v>
      </c>
      <c r="AN13" s="4">
        <v>35</v>
      </c>
      <c r="AO13" s="4">
        <v>531</v>
      </c>
      <c r="AP13" s="4">
        <v>51</v>
      </c>
      <c r="AQ13" s="4">
        <v>67</v>
      </c>
      <c r="AR13" s="4">
        <v>93</v>
      </c>
      <c r="AS13" s="4">
        <v>170</v>
      </c>
      <c r="AT13" s="4">
        <v>831</v>
      </c>
      <c r="AU13" s="4">
        <v>0</v>
      </c>
      <c r="AV13" s="4">
        <v>36</v>
      </c>
      <c r="AW13" s="4">
        <v>29</v>
      </c>
      <c r="AX13" s="4">
        <v>58</v>
      </c>
      <c r="AY13" s="4">
        <v>171</v>
      </c>
      <c r="AZ13" s="4">
        <v>269</v>
      </c>
      <c r="BA13" s="4">
        <v>179</v>
      </c>
      <c r="BB13" s="4">
        <v>193</v>
      </c>
      <c r="BC13" s="4">
        <v>0</v>
      </c>
      <c r="BD13" s="4">
        <v>137</v>
      </c>
      <c r="BE13" s="4">
        <v>68</v>
      </c>
      <c r="BF13" s="4">
        <v>159</v>
      </c>
      <c r="BG13" s="4">
        <v>457</v>
      </c>
      <c r="BH13" s="4">
        <v>738</v>
      </c>
      <c r="BI13" s="4">
        <v>260</v>
      </c>
      <c r="BJ13" s="4">
        <v>445</v>
      </c>
      <c r="BK13" s="4">
        <v>514</v>
      </c>
      <c r="BL13" s="4">
        <v>221</v>
      </c>
      <c r="BM13" s="4">
        <v>201</v>
      </c>
      <c r="BN13" s="4">
        <v>92</v>
      </c>
      <c r="BO13" s="4">
        <v>133</v>
      </c>
      <c r="BP13" s="4">
        <v>115</v>
      </c>
      <c r="BQ13" s="4">
        <v>102</v>
      </c>
      <c r="BR13" s="4">
        <v>111</v>
      </c>
      <c r="BS13" s="4">
        <v>53</v>
      </c>
      <c r="BT13" s="4">
        <v>508</v>
      </c>
      <c r="BU13" s="4">
        <v>87</v>
      </c>
      <c r="BV13" s="4">
        <v>186</v>
      </c>
      <c r="BW13" s="4">
        <v>29</v>
      </c>
      <c r="BX13" s="4">
        <v>201</v>
      </c>
      <c r="BY13" s="4">
        <v>1815</v>
      </c>
      <c r="BZ13" s="4">
        <v>177</v>
      </c>
      <c r="CA13" s="4">
        <v>827</v>
      </c>
      <c r="CB13" s="4">
        <v>151</v>
      </c>
      <c r="CC13" s="4">
        <v>615</v>
      </c>
      <c r="CD13" s="4">
        <v>192</v>
      </c>
      <c r="CE13" s="4">
        <v>29</v>
      </c>
      <c r="CF13" s="4">
        <v>0.2</v>
      </c>
      <c r="CG13" s="4">
        <v>54.3</v>
      </c>
      <c r="CH13" s="4">
        <v>23</v>
      </c>
      <c r="CI13" s="4">
        <v>43</v>
      </c>
      <c r="CJ13" s="4">
        <v>39.1</v>
      </c>
      <c r="CK13" s="4">
        <v>164</v>
      </c>
      <c r="CL13" s="43">
        <v>31.9</v>
      </c>
    </row>
    <row r="14" spans="1:90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596</v>
      </c>
      <c r="I14" s="4">
        <v>178</v>
      </c>
      <c r="J14" s="4">
        <v>115</v>
      </c>
      <c r="K14" s="4">
        <v>63</v>
      </c>
      <c r="L14" s="4">
        <v>17</v>
      </c>
      <c r="M14" s="4">
        <v>401</v>
      </c>
      <c r="N14" s="4">
        <v>89</v>
      </c>
      <c r="O14" s="4">
        <v>212</v>
      </c>
      <c r="P14" s="4">
        <v>99</v>
      </c>
      <c r="Q14" s="4">
        <v>1711</v>
      </c>
      <c r="R14" s="4">
        <v>178</v>
      </c>
      <c r="S14" s="4">
        <v>115</v>
      </c>
      <c r="T14" s="4">
        <v>63</v>
      </c>
      <c r="U14" s="4">
        <v>56</v>
      </c>
      <c r="V14" s="4">
        <v>1477</v>
      </c>
      <c r="W14" s="4">
        <v>186</v>
      </c>
      <c r="X14" s="4">
        <v>994</v>
      </c>
      <c r="Y14" s="4">
        <v>297</v>
      </c>
      <c r="Z14" s="4">
        <v>1491</v>
      </c>
      <c r="AA14" s="4">
        <v>347</v>
      </c>
      <c r="AB14" s="4">
        <v>699</v>
      </c>
      <c r="AC14" s="4">
        <v>415</v>
      </c>
      <c r="AD14" s="4">
        <v>31</v>
      </c>
      <c r="AE14" s="4">
        <v>1491</v>
      </c>
      <c r="AF14" s="4">
        <v>347</v>
      </c>
      <c r="AG14" s="4">
        <v>699</v>
      </c>
      <c r="AH14" s="4">
        <v>415</v>
      </c>
      <c r="AI14" s="4">
        <v>31</v>
      </c>
      <c r="AJ14" s="4">
        <v>217</v>
      </c>
      <c r="AK14" s="4">
        <v>6</v>
      </c>
      <c r="AL14" s="4">
        <v>99</v>
      </c>
      <c r="AM14" s="4">
        <v>98</v>
      </c>
      <c r="AN14" s="4">
        <v>14</v>
      </c>
      <c r="AO14" s="4">
        <v>623</v>
      </c>
      <c r="AP14" s="4">
        <v>3</v>
      </c>
      <c r="AQ14" s="4">
        <v>62</v>
      </c>
      <c r="AR14" s="4">
        <v>75</v>
      </c>
      <c r="AS14" s="4">
        <v>115</v>
      </c>
      <c r="AT14" s="4">
        <v>613</v>
      </c>
      <c r="AU14" s="4">
        <v>0</v>
      </c>
      <c r="AV14" s="4">
        <v>21</v>
      </c>
      <c r="AW14" s="4">
        <v>0</v>
      </c>
      <c r="AX14" s="4">
        <v>48</v>
      </c>
      <c r="AY14" s="4">
        <v>125</v>
      </c>
      <c r="AZ14" s="4">
        <v>141</v>
      </c>
      <c r="BA14" s="4">
        <v>133</v>
      </c>
      <c r="BB14" s="4">
        <v>129</v>
      </c>
      <c r="BC14" s="4">
        <v>0</v>
      </c>
      <c r="BD14" s="4">
        <v>58</v>
      </c>
      <c r="BE14" s="4">
        <v>0</v>
      </c>
      <c r="BF14" s="4">
        <v>142</v>
      </c>
      <c r="BG14" s="4">
        <v>380</v>
      </c>
      <c r="BH14" s="4">
        <v>502</v>
      </c>
      <c r="BI14" s="4">
        <v>244</v>
      </c>
      <c r="BJ14" s="4">
        <v>386</v>
      </c>
      <c r="BK14" s="4">
        <v>401</v>
      </c>
      <c r="BL14" s="4">
        <v>212</v>
      </c>
      <c r="BM14" s="4">
        <v>99</v>
      </c>
      <c r="BN14" s="4">
        <v>89</v>
      </c>
      <c r="BO14" s="4">
        <v>129</v>
      </c>
      <c r="BP14" s="4">
        <v>83</v>
      </c>
      <c r="BQ14" s="4">
        <v>68</v>
      </c>
      <c r="BR14" s="4">
        <v>71</v>
      </c>
      <c r="BS14" s="4">
        <v>50</v>
      </c>
      <c r="BT14" s="4">
        <v>401</v>
      </c>
      <c r="BU14" s="4">
        <v>89</v>
      </c>
      <c r="BV14" s="4">
        <v>176</v>
      </c>
      <c r="BW14" s="4">
        <v>36</v>
      </c>
      <c r="BX14" s="4">
        <v>99</v>
      </c>
      <c r="BY14" s="4">
        <v>1477</v>
      </c>
      <c r="BZ14" s="4">
        <v>186</v>
      </c>
      <c r="CA14" s="4">
        <v>790</v>
      </c>
      <c r="CB14" s="4">
        <v>204</v>
      </c>
      <c r="CC14" s="4">
        <v>297</v>
      </c>
      <c r="CD14" s="4">
        <v>176</v>
      </c>
      <c r="CE14" s="4">
        <v>36</v>
      </c>
      <c r="CF14" s="4">
        <v>0.3</v>
      </c>
      <c r="CG14" s="4">
        <v>67.3</v>
      </c>
      <c r="CH14" s="4">
        <v>35.6</v>
      </c>
      <c r="CI14" s="4">
        <v>52.9</v>
      </c>
      <c r="CJ14" s="4">
        <v>24.7</v>
      </c>
      <c r="CK14" s="4">
        <v>121</v>
      </c>
      <c r="CL14" s="43">
        <v>30.2</v>
      </c>
    </row>
    <row r="15" spans="1:90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974</v>
      </c>
      <c r="I15" s="4">
        <v>345</v>
      </c>
      <c r="J15" s="4">
        <v>175</v>
      </c>
      <c r="K15" s="4">
        <v>169</v>
      </c>
      <c r="L15" s="4">
        <v>19</v>
      </c>
      <c r="M15" s="4">
        <v>610</v>
      </c>
      <c r="N15" s="4">
        <v>129</v>
      </c>
      <c r="O15" s="4">
        <v>300</v>
      </c>
      <c r="P15" s="4">
        <v>181</v>
      </c>
      <c r="Q15" s="4">
        <v>2575</v>
      </c>
      <c r="R15" s="4">
        <v>345</v>
      </c>
      <c r="S15" s="4">
        <v>175</v>
      </c>
      <c r="T15" s="4">
        <v>169</v>
      </c>
      <c r="U15" s="4">
        <v>47</v>
      </c>
      <c r="V15" s="4">
        <v>2183</v>
      </c>
      <c r="W15" s="4">
        <v>262</v>
      </c>
      <c r="X15" s="4">
        <v>1342</v>
      </c>
      <c r="Y15" s="4">
        <v>580</v>
      </c>
      <c r="Z15" s="4">
        <v>1838</v>
      </c>
      <c r="AA15" s="4">
        <v>372</v>
      </c>
      <c r="AB15" s="4">
        <v>946</v>
      </c>
      <c r="AC15" s="4">
        <v>448</v>
      </c>
      <c r="AD15" s="4">
        <v>72</v>
      </c>
      <c r="AE15" s="4">
        <v>1838</v>
      </c>
      <c r="AF15" s="4">
        <v>372</v>
      </c>
      <c r="AG15" s="4">
        <v>946</v>
      </c>
      <c r="AH15" s="4">
        <v>448</v>
      </c>
      <c r="AI15" s="4">
        <v>72</v>
      </c>
      <c r="AJ15" s="4">
        <v>360</v>
      </c>
      <c r="AK15" s="4">
        <v>22</v>
      </c>
      <c r="AL15" s="4">
        <v>187</v>
      </c>
      <c r="AM15" s="4">
        <v>115</v>
      </c>
      <c r="AN15" s="4">
        <v>36</v>
      </c>
      <c r="AO15" s="4">
        <v>694</v>
      </c>
      <c r="AP15" s="4">
        <v>31</v>
      </c>
      <c r="AQ15" s="4">
        <v>171</v>
      </c>
      <c r="AR15" s="4">
        <v>100</v>
      </c>
      <c r="AS15" s="4">
        <v>127</v>
      </c>
      <c r="AT15" s="4">
        <v>715</v>
      </c>
      <c r="AU15" s="4">
        <v>0</v>
      </c>
      <c r="AV15" s="4">
        <v>47</v>
      </c>
      <c r="AW15" s="4">
        <v>59</v>
      </c>
      <c r="AX15" s="4">
        <v>74</v>
      </c>
      <c r="AY15" s="4">
        <v>175</v>
      </c>
      <c r="AZ15" s="4">
        <v>220</v>
      </c>
      <c r="BA15" s="4">
        <v>215</v>
      </c>
      <c r="BB15" s="4">
        <v>183</v>
      </c>
      <c r="BC15" s="4">
        <v>0</v>
      </c>
      <c r="BD15" s="4">
        <v>167</v>
      </c>
      <c r="BE15" s="4">
        <v>106</v>
      </c>
      <c r="BF15" s="4">
        <v>221</v>
      </c>
      <c r="BG15" s="4">
        <v>485</v>
      </c>
      <c r="BH15" s="4">
        <v>685</v>
      </c>
      <c r="BI15" s="4">
        <v>406</v>
      </c>
      <c r="BJ15" s="4">
        <v>504</v>
      </c>
      <c r="BK15" s="4">
        <v>613</v>
      </c>
      <c r="BL15" s="4">
        <v>300</v>
      </c>
      <c r="BM15" s="4">
        <v>185</v>
      </c>
      <c r="BN15" s="4">
        <v>129</v>
      </c>
      <c r="BO15" s="4">
        <v>189</v>
      </c>
      <c r="BP15" s="4">
        <v>125</v>
      </c>
      <c r="BQ15" s="4">
        <v>123</v>
      </c>
      <c r="BR15" s="4">
        <v>80</v>
      </c>
      <c r="BS15" s="4">
        <v>97</v>
      </c>
      <c r="BT15" s="4">
        <v>610</v>
      </c>
      <c r="BU15" s="4">
        <v>129</v>
      </c>
      <c r="BV15" s="4">
        <v>266</v>
      </c>
      <c r="BW15" s="4">
        <v>33</v>
      </c>
      <c r="BX15" s="4">
        <v>178</v>
      </c>
      <c r="BY15" s="4">
        <v>2183</v>
      </c>
      <c r="BZ15" s="4">
        <v>262</v>
      </c>
      <c r="CA15" s="4">
        <v>1163</v>
      </c>
      <c r="CB15" s="4">
        <v>178</v>
      </c>
      <c r="CC15" s="4">
        <v>564</v>
      </c>
      <c r="CD15" s="4">
        <v>266</v>
      </c>
      <c r="CE15" s="4">
        <v>33</v>
      </c>
      <c r="CF15" s="4">
        <v>0.5</v>
      </c>
      <c r="CG15" s="4">
        <v>62.6</v>
      </c>
      <c r="CH15" s="4">
        <v>30.8</v>
      </c>
      <c r="CI15" s="4">
        <v>48.9</v>
      </c>
      <c r="CJ15" s="4">
        <v>30.2</v>
      </c>
      <c r="CK15" s="4">
        <v>177</v>
      </c>
      <c r="CL15" s="43">
        <v>28.9</v>
      </c>
    </row>
    <row r="16" spans="1:90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759</v>
      </c>
      <c r="I16" s="4">
        <v>323</v>
      </c>
      <c r="J16" s="4">
        <v>177</v>
      </c>
      <c r="K16" s="4">
        <v>147</v>
      </c>
      <c r="L16" s="4">
        <v>27</v>
      </c>
      <c r="M16" s="4">
        <v>408</v>
      </c>
      <c r="N16" s="4">
        <v>106</v>
      </c>
      <c r="O16" s="4">
        <v>212</v>
      </c>
      <c r="P16" s="4">
        <v>90</v>
      </c>
      <c r="Q16" s="4">
        <v>1860</v>
      </c>
      <c r="R16" s="4">
        <v>323</v>
      </c>
      <c r="S16" s="4">
        <v>177</v>
      </c>
      <c r="T16" s="4">
        <v>147</v>
      </c>
      <c r="U16" s="4">
        <v>94</v>
      </c>
      <c r="V16" s="4">
        <v>1443</v>
      </c>
      <c r="W16" s="4">
        <v>235</v>
      </c>
      <c r="X16" s="4">
        <v>948</v>
      </c>
      <c r="Y16" s="4">
        <v>260</v>
      </c>
      <c r="Z16" s="4">
        <v>1703</v>
      </c>
      <c r="AA16" s="4">
        <v>451</v>
      </c>
      <c r="AB16" s="4">
        <v>833</v>
      </c>
      <c r="AC16" s="4">
        <v>361</v>
      </c>
      <c r="AD16" s="4">
        <v>58</v>
      </c>
      <c r="AE16" s="4">
        <v>1655</v>
      </c>
      <c r="AF16" s="4">
        <v>451</v>
      </c>
      <c r="AG16" s="4">
        <v>800</v>
      </c>
      <c r="AH16" s="4">
        <v>346</v>
      </c>
      <c r="AI16" s="4">
        <v>58</v>
      </c>
      <c r="AJ16" s="4">
        <v>323</v>
      </c>
      <c r="AK16" s="4">
        <v>30</v>
      </c>
      <c r="AL16" s="4">
        <v>176</v>
      </c>
      <c r="AM16" s="4">
        <v>90</v>
      </c>
      <c r="AN16" s="4">
        <v>27</v>
      </c>
      <c r="AO16" s="4">
        <v>532</v>
      </c>
      <c r="AP16" s="4">
        <v>46</v>
      </c>
      <c r="AQ16" s="4">
        <v>134</v>
      </c>
      <c r="AR16" s="4">
        <v>67</v>
      </c>
      <c r="AS16" s="4">
        <v>58</v>
      </c>
      <c r="AT16" s="4">
        <v>865</v>
      </c>
      <c r="AU16" s="4">
        <v>0</v>
      </c>
      <c r="AV16" s="4">
        <v>52</v>
      </c>
      <c r="AW16" s="4">
        <v>99</v>
      </c>
      <c r="AX16" s="4">
        <v>106</v>
      </c>
      <c r="AY16" s="4">
        <v>154</v>
      </c>
      <c r="AZ16" s="4">
        <v>95</v>
      </c>
      <c r="BA16" s="4">
        <v>140</v>
      </c>
      <c r="BB16" s="4">
        <v>112</v>
      </c>
      <c r="BC16" s="4">
        <v>0</v>
      </c>
      <c r="BD16" s="4">
        <v>180</v>
      </c>
      <c r="BE16" s="4">
        <v>228</v>
      </c>
      <c r="BF16" s="4">
        <v>303</v>
      </c>
      <c r="BG16" s="4">
        <v>469</v>
      </c>
      <c r="BH16" s="4">
        <v>283</v>
      </c>
      <c r="BI16" s="4">
        <v>192</v>
      </c>
      <c r="BJ16" s="4">
        <v>205</v>
      </c>
      <c r="BK16" s="4">
        <v>418</v>
      </c>
      <c r="BL16" s="4">
        <v>212</v>
      </c>
      <c r="BM16" s="4">
        <v>100</v>
      </c>
      <c r="BN16" s="4">
        <v>106</v>
      </c>
      <c r="BO16" s="4">
        <v>182</v>
      </c>
      <c r="BP16" s="4">
        <v>81</v>
      </c>
      <c r="BQ16" s="4">
        <v>54</v>
      </c>
      <c r="BR16" s="4">
        <v>53</v>
      </c>
      <c r="BS16" s="4">
        <v>48</v>
      </c>
      <c r="BT16" s="4">
        <v>408</v>
      </c>
      <c r="BU16" s="4">
        <v>96</v>
      </c>
      <c r="BV16" s="4">
        <v>204</v>
      </c>
      <c r="BW16" s="4">
        <v>8</v>
      </c>
      <c r="BX16" s="4">
        <v>90</v>
      </c>
      <c r="BY16" s="4">
        <v>1443</v>
      </c>
      <c r="BZ16" s="4">
        <v>192</v>
      </c>
      <c r="CA16" s="4">
        <v>907</v>
      </c>
      <c r="CB16" s="4">
        <v>41</v>
      </c>
      <c r="CC16" s="4">
        <v>260</v>
      </c>
      <c r="CD16" s="4">
        <v>204</v>
      </c>
      <c r="CE16" s="4">
        <v>8</v>
      </c>
      <c r="CF16" s="4">
        <v>0.2</v>
      </c>
      <c r="CG16" s="4">
        <v>53.8</v>
      </c>
      <c r="CH16" s="4">
        <v>27.9</v>
      </c>
      <c r="CI16" s="4">
        <v>50.7</v>
      </c>
      <c r="CJ16" s="4">
        <v>23.9</v>
      </c>
      <c r="CK16" s="4">
        <v>101</v>
      </c>
      <c r="CL16" s="43">
        <v>24.2</v>
      </c>
    </row>
    <row r="17" spans="1:90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1270</v>
      </c>
      <c r="I17" s="4">
        <v>590</v>
      </c>
      <c r="J17" s="4">
        <v>332</v>
      </c>
      <c r="K17" s="4">
        <v>258</v>
      </c>
      <c r="L17" s="4">
        <v>42</v>
      </c>
      <c r="M17" s="4">
        <v>639</v>
      </c>
      <c r="N17" s="4">
        <v>125</v>
      </c>
      <c r="O17" s="4">
        <v>302</v>
      </c>
      <c r="P17" s="4">
        <v>212</v>
      </c>
      <c r="Q17" s="4">
        <v>3104</v>
      </c>
      <c r="R17" s="4">
        <v>590</v>
      </c>
      <c r="S17" s="4">
        <v>332</v>
      </c>
      <c r="T17" s="4">
        <v>258</v>
      </c>
      <c r="U17" s="4">
        <v>102</v>
      </c>
      <c r="V17" s="4">
        <v>2412</v>
      </c>
      <c r="W17" s="4">
        <v>273</v>
      </c>
      <c r="X17" s="4">
        <v>1440</v>
      </c>
      <c r="Y17" s="4">
        <v>698</v>
      </c>
      <c r="Z17" s="4">
        <v>2202</v>
      </c>
      <c r="AA17" s="4">
        <v>559</v>
      </c>
      <c r="AB17" s="4">
        <v>1186</v>
      </c>
      <c r="AC17" s="4">
        <v>410</v>
      </c>
      <c r="AD17" s="4">
        <v>47</v>
      </c>
      <c r="AE17" s="4">
        <v>2182</v>
      </c>
      <c r="AF17" s="4">
        <v>539</v>
      </c>
      <c r="AG17" s="4">
        <v>1186</v>
      </c>
      <c r="AH17" s="4">
        <v>410</v>
      </c>
      <c r="AI17" s="4">
        <v>47</v>
      </c>
      <c r="AJ17" s="4">
        <v>586</v>
      </c>
      <c r="AK17" s="4">
        <v>137</v>
      </c>
      <c r="AL17" s="4">
        <v>265</v>
      </c>
      <c r="AM17" s="4">
        <v>155</v>
      </c>
      <c r="AN17" s="4">
        <v>30</v>
      </c>
      <c r="AO17" s="4">
        <v>688</v>
      </c>
      <c r="AP17" s="4">
        <v>61</v>
      </c>
      <c r="AQ17" s="4">
        <v>186</v>
      </c>
      <c r="AR17" s="4">
        <v>69</v>
      </c>
      <c r="AS17" s="4">
        <v>136</v>
      </c>
      <c r="AT17" s="4">
        <v>1063</v>
      </c>
      <c r="AU17" s="4">
        <v>0</v>
      </c>
      <c r="AV17" s="4">
        <v>61</v>
      </c>
      <c r="AW17" s="4">
        <v>87</v>
      </c>
      <c r="AX17" s="4">
        <v>186</v>
      </c>
      <c r="AY17" s="4">
        <v>244</v>
      </c>
      <c r="AZ17" s="4">
        <v>240</v>
      </c>
      <c r="BA17" s="4">
        <v>140</v>
      </c>
      <c r="BB17" s="4">
        <v>312</v>
      </c>
      <c r="BC17" s="4">
        <v>0</v>
      </c>
      <c r="BD17" s="4">
        <v>175</v>
      </c>
      <c r="BE17" s="4">
        <v>227</v>
      </c>
      <c r="BF17" s="4">
        <v>412</v>
      </c>
      <c r="BG17" s="4">
        <v>716</v>
      </c>
      <c r="BH17" s="4">
        <v>699</v>
      </c>
      <c r="BI17" s="4">
        <v>216</v>
      </c>
      <c r="BJ17" s="4">
        <v>659</v>
      </c>
      <c r="BK17" s="4">
        <v>647</v>
      </c>
      <c r="BL17" s="4">
        <v>307</v>
      </c>
      <c r="BM17" s="4">
        <v>215</v>
      </c>
      <c r="BN17" s="4">
        <v>125</v>
      </c>
      <c r="BO17" s="4">
        <v>179</v>
      </c>
      <c r="BP17" s="4">
        <v>161</v>
      </c>
      <c r="BQ17" s="4">
        <v>86</v>
      </c>
      <c r="BR17" s="4">
        <v>112</v>
      </c>
      <c r="BS17" s="4">
        <v>109</v>
      </c>
      <c r="BT17" s="4">
        <v>639</v>
      </c>
      <c r="BU17" s="4">
        <v>120</v>
      </c>
      <c r="BV17" s="4">
        <v>238</v>
      </c>
      <c r="BW17" s="4">
        <v>64</v>
      </c>
      <c r="BX17" s="4">
        <v>209</v>
      </c>
      <c r="BY17" s="4">
        <v>2412</v>
      </c>
      <c r="BZ17" s="4">
        <v>245</v>
      </c>
      <c r="CA17" s="4">
        <v>1118</v>
      </c>
      <c r="CB17" s="4">
        <v>322</v>
      </c>
      <c r="CC17" s="4">
        <v>678</v>
      </c>
      <c r="CD17" s="4">
        <v>238</v>
      </c>
      <c r="CE17" s="4">
        <v>69</v>
      </c>
      <c r="CF17" s="4">
        <v>0.2</v>
      </c>
      <c r="CG17" s="4">
        <v>50.3</v>
      </c>
      <c r="CH17" s="4">
        <v>23.8</v>
      </c>
      <c r="CI17" s="4">
        <v>47.4</v>
      </c>
      <c r="CJ17" s="4">
        <v>33.200000000000003</v>
      </c>
      <c r="CK17" s="4">
        <v>221</v>
      </c>
      <c r="CL17" s="43">
        <v>34.200000000000003</v>
      </c>
    </row>
    <row r="18" spans="1:90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1915</v>
      </c>
      <c r="I18" s="4">
        <v>1163</v>
      </c>
      <c r="J18" s="4">
        <v>715</v>
      </c>
      <c r="K18" s="4">
        <v>448</v>
      </c>
      <c r="L18" s="4">
        <v>51</v>
      </c>
      <c r="M18" s="4">
        <v>701</v>
      </c>
      <c r="N18" s="4">
        <v>220</v>
      </c>
      <c r="O18" s="4">
        <v>291</v>
      </c>
      <c r="P18" s="4">
        <v>189</v>
      </c>
      <c r="Q18" s="4">
        <v>3587</v>
      </c>
      <c r="R18" s="4">
        <v>1163</v>
      </c>
      <c r="S18" s="4">
        <v>715</v>
      </c>
      <c r="T18" s="4">
        <v>448</v>
      </c>
      <c r="U18" s="4">
        <v>124</v>
      </c>
      <c r="V18" s="4">
        <v>2300</v>
      </c>
      <c r="W18" s="4">
        <v>457</v>
      </c>
      <c r="X18" s="4">
        <v>1305</v>
      </c>
      <c r="Y18" s="4">
        <v>538</v>
      </c>
      <c r="Z18" s="4">
        <v>2845</v>
      </c>
      <c r="AA18" s="4">
        <v>859</v>
      </c>
      <c r="AB18" s="4">
        <v>1513</v>
      </c>
      <c r="AC18" s="4">
        <v>451</v>
      </c>
      <c r="AD18" s="4">
        <v>21</v>
      </c>
      <c r="AE18" s="4">
        <v>2845</v>
      </c>
      <c r="AF18" s="4">
        <v>859</v>
      </c>
      <c r="AG18" s="4">
        <v>1513</v>
      </c>
      <c r="AH18" s="4">
        <v>451</v>
      </c>
      <c r="AI18" s="4">
        <v>21</v>
      </c>
      <c r="AJ18" s="4">
        <v>1187</v>
      </c>
      <c r="AK18" s="4">
        <v>450</v>
      </c>
      <c r="AL18" s="4">
        <v>550</v>
      </c>
      <c r="AM18" s="4">
        <v>177</v>
      </c>
      <c r="AN18" s="4">
        <v>10</v>
      </c>
      <c r="AO18" s="4">
        <v>777</v>
      </c>
      <c r="AP18" s="4">
        <v>44</v>
      </c>
      <c r="AQ18" s="4">
        <v>284</v>
      </c>
      <c r="AR18" s="4">
        <v>62</v>
      </c>
      <c r="AS18" s="4">
        <v>165</v>
      </c>
      <c r="AT18" s="4">
        <v>1512</v>
      </c>
      <c r="AU18" s="4">
        <v>0</v>
      </c>
      <c r="AV18" s="4">
        <v>64</v>
      </c>
      <c r="AW18" s="4">
        <v>186</v>
      </c>
      <c r="AX18" s="4">
        <v>275</v>
      </c>
      <c r="AY18" s="4">
        <v>370</v>
      </c>
      <c r="AZ18" s="4">
        <v>250</v>
      </c>
      <c r="BA18" s="4">
        <v>156</v>
      </c>
      <c r="BB18" s="4">
        <v>612</v>
      </c>
      <c r="BC18" s="4">
        <v>0</v>
      </c>
      <c r="BD18" s="4">
        <v>192</v>
      </c>
      <c r="BE18" s="4">
        <v>336</v>
      </c>
      <c r="BF18" s="4">
        <v>500</v>
      </c>
      <c r="BG18" s="4">
        <v>809</v>
      </c>
      <c r="BH18" s="4">
        <v>673</v>
      </c>
      <c r="BI18" s="4">
        <v>276</v>
      </c>
      <c r="BJ18" s="4">
        <v>802</v>
      </c>
      <c r="BK18" s="4">
        <v>716</v>
      </c>
      <c r="BL18" s="4">
        <v>291</v>
      </c>
      <c r="BM18" s="4">
        <v>199</v>
      </c>
      <c r="BN18" s="4">
        <v>226</v>
      </c>
      <c r="BO18" s="4">
        <v>272</v>
      </c>
      <c r="BP18" s="4">
        <v>149</v>
      </c>
      <c r="BQ18" s="4">
        <v>147</v>
      </c>
      <c r="BR18" s="4">
        <v>91</v>
      </c>
      <c r="BS18" s="4">
        <v>56</v>
      </c>
      <c r="BT18" s="4">
        <v>701</v>
      </c>
      <c r="BU18" s="4">
        <v>216</v>
      </c>
      <c r="BV18" s="4">
        <v>241</v>
      </c>
      <c r="BW18" s="4">
        <v>45</v>
      </c>
      <c r="BX18" s="4">
        <v>183</v>
      </c>
      <c r="BY18" s="4">
        <v>2300</v>
      </c>
      <c r="BZ18" s="4">
        <v>437</v>
      </c>
      <c r="CA18" s="4">
        <v>1069</v>
      </c>
      <c r="CB18" s="4">
        <v>204</v>
      </c>
      <c r="CC18" s="4">
        <v>509</v>
      </c>
      <c r="CD18" s="4">
        <v>241</v>
      </c>
      <c r="CE18" s="4">
        <v>50</v>
      </c>
      <c r="CF18" s="4">
        <v>0.5</v>
      </c>
      <c r="CG18" s="4">
        <v>36.6</v>
      </c>
      <c r="CH18" s="4">
        <v>15.2</v>
      </c>
      <c r="CI18" s="4">
        <v>40.6</v>
      </c>
      <c r="CJ18" s="4">
        <v>27.8</v>
      </c>
      <c r="CK18" s="4">
        <v>147</v>
      </c>
      <c r="CL18" s="43">
        <v>20.5</v>
      </c>
    </row>
    <row r="19" spans="1:90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1507</v>
      </c>
      <c r="I19" s="4">
        <v>834</v>
      </c>
      <c r="J19" s="4">
        <v>487</v>
      </c>
      <c r="K19" s="4">
        <v>347</v>
      </c>
      <c r="L19" s="4">
        <v>28</v>
      </c>
      <c r="M19" s="4">
        <v>645</v>
      </c>
      <c r="N19" s="4">
        <v>182</v>
      </c>
      <c r="O19" s="4">
        <v>245</v>
      </c>
      <c r="P19" s="4">
        <v>218</v>
      </c>
      <c r="Q19" s="4">
        <v>2911</v>
      </c>
      <c r="R19" s="4">
        <v>834</v>
      </c>
      <c r="S19" s="4">
        <v>487</v>
      </c>
      <c r="T19" s="4">
        <v>347</v>
      </c>
      <c r="U19" s="4">
        <v>60</v>
      </c>
      <c r="V19" s="4">
        <v>2017</v>
      </c>
      <c r="W19" s="4">
        <v>392</v>
      </c>
      <c r="X19" s="4">
        <v>1007</v>
      </c>
      <c r="Y19" s="4">
        <v>617</v>
      </c>
      <c r="Z19" s="4">
        <v>2249</v>
      </c>
      <c r="AA19" s="4">
        <v>437</v>
      </c>
      <c r="AB19" s="4">
        <v>1240</v>
      </c>
      <c r="AC19" s="4">
        <v>438</v>
      </c>
      <c r="AD19" s="4">
        <v>134</v>
      </c>
      <c r="AE19" s="4">
        <v>2156</v>
      </c>
      <c r="AF19" s="4">
        <v>437</v>
      </c>
      <c r="AG19" s="4">
        <v>1239</v>
      </c>
      <c r="AH19" s="4">
        <v>421</v>
      </c>
      <c r="AI19" s="4">
        <v>59</v>
      </c>
      <c r="AJ19" s="4">
        <v>759</v>
      </c>
      <c r="AK19" s="4">
        <v>116</v>
      </c>
      <c r="AL19" s="4">
        <v>387</v>
      </c>
      <c r="AM19" s="4">
        <v>223</v>
      </c>
      <c r="AN19" s="4">
        <v>33</v>
      </c>
      <c r="AO19" s="4">
        <v>629</v>
      </c>
      <c r="AP19" s="4">
        <v>24</v>
      </c>
      <c r="AQ19" s="4">
        <v>281</v>
      </c>
      <c r="AR19" s="4">
        <v>150</v>
      </c>
      <c r="AS19" s="4">
        <v>219</v>
      </c>
      <c r="AT19" s="4">
        <v>946</v>
      </c>
      <c r="AU19" s="4">
        <v>0</v>
      </c>
      <c r="AV19" s="4">
        <v>27</v>
      </c>
      <c r="AW19" s="4">
        <v>88</v>
      </c>
      <c r="AX19" s="4">
        <v>246</v>
      </c>
      <c r="AY19" s="4">
        <v>345</v>
      </c>
      <c r="AZ19" s="4">
        <v>377</v>
      </c>
      <c r="BA19" s="4">
        <v>219</v>
      </c>
      <c r="BB19" s="4">
        <v>205</v>
      </c>
      <c r="BC19" s="4">
        <v>0</v>
      </c>
      <c r="BD19" s="4">
        <v>35</v>
      </c>
      <c r="BE19" s="4">
        <v>123</v>
      </c>
      <c r="BF19" s="4">
        <v>492</v>
      </c>
      <c r="BG19" s="4">
        <v>745</v>
      </c>
      <c r="BH19" s="4">
        <v>870</v>
      </c>
      <c r="BI19" s="4">
        <v>286</v>
      </c>
      <c r="BJ19" s="4">
        <v>360</v>
      </c>
      <c r="BK19" s="4">
        <v>652</v>
      </c>
      <c r="BL19" s="4">
        <v>245</v>
      </c>
      <c r="BM19" s="4">
        <v>225</v>
      </c>
      <c r="BN19" s="4">
        <v>182</v>
      </c>
      <c r="BO19" s="4">
        <v>229</v>
      </c>
      <c r="BP19" s="4">
        <v>198</v>
      </c>
      <c r="BQ19" s="4">
        <v>125</v>
      </c>
      <c r="BR19" s="4">
        <v>51</v>
      </c>
      <c r="BS19" s="4">
        <v>49</v>
      </c>
      <c r="BT19" s="4">
        <v>645</v>
      </c>
      <c r="BU19" s="4">
        <v>178</v>
      </c>
      <c r="BV19" s="4">
        <v>230</v>
      </c>
      <c r="BW19" s="4">
        <v>15</v>
      </c>
      <c r="BX19" s="4">
        <v>215</v>
      </c>
      <c r="BY19" s="4">
        <v>2017</v>
      </c>
      <c r="BZ19" s="4">
        <v>378</v>
      </c>
      <c r="CA19" s="4">
        <v>954</v>
      </c>
      <c r="CB19" s="4">
        <v>53</v>
      </c>
      <c r="CC19" s="4">
        <v>604</v>
      </c>
      <c r="CD19" s="4">
        <v>230</v>
      </c>
      <c r="CE19" s="4">
        <v>15</v>
      </c>
      <c r="CF19" s="4">
        <v>0.3</v>
      </c>
      <c r="CG19" s="4">
        <v>42.8</v>
      </c>
      <c r="CH19" s="4">
        <v>16.3</v>
      </c>
      <c r="CI19" s="4">
        <v>37.6</v>
      </c>
      <c r="CJ19" s="4">
        <v>34.5</v>
      </c>
      <c r="CK19" s="4">
        <v>100</v>
      </c>
      <c r="CL19" s="43">
        <v>15.3</v>
      </c>
    </row>
    <row r="20" spans="1:90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1417</v>
      </c>
      <c r="I20" s="4">
        <v>606</v>
      </c>
      <c r="J20" s="4">
        <v>348</v>
      </c>
      <c r="K20" s="4">
        <v>258</v>
      </c>
      <c r="L20" s="4">
        <v>31</v>
      </c>
      <c r="M20" s="4">
        <v>780</v>
      </c>
      <c r="N20" s="4">
        <v>180</v>
      </c>
      <c r="O20" s="4">
        <v>349</v>
      </c>
      <c r="P20" s="4">
        <v>250</v>
      </c>
      <c r="Q20" s="4">
        <v>3251</v>
      </c>
      <c r="R20" s="4">
        <v>606</v>
      </c>
      <c r="S20" s="4">
        <v>348</v>
      </c>
      <c r="T20" s="4">
        <v>258</v>
      </c>
      <c r="U20" s="4">
        <v>75</v>
      </c>
      <c r="V20" s="4">
        <v>2570</v>
      </c>
      <c r="W20" s="4">
        <v>381</v>
      </c>
      <c r="X20" s="4">
        <v>1522</v>
      </c>
      <c r="Y20" s="4">
        <v>667</v>
      </c>
      <c r="Z20" s="4">
        <v>2783</v>
      </c>
      <c r="AA20" s="4">
        <v>543</v>
      </c>
      <c r="AB20" s="4">
        <v>1525</v>
      </c>
      <c r="AC20" s="4">
        <v>607</v>
      </c>
      <c r="AD20" s="4">
        <v>109</v>
      </c>
      <c r="AE20" s="4">
        <v>2783</v>
      </c>
      <c r="AF20" s="4">
        <v>543</v>
      </c>
      <c r="AG20" s="4">
        <v>1525</v>
      </c>
      <c r="AH20" s="4">
        <v>607</v>
      </c>
      <c r="AI20" s="4">
        <v>109</v>
      </c>
      <c r="AJ20" s="4">
        <v>838</v>
      </c>
      <c r="AK20" s="4">
        <v>160</v>
      </c>
      <c r="AL20" s="4">
        <v>363</v>
      </c>
      <c r="AM20" s="4">
        <v>246</v>
      </c>
      <c r="AN20" s="4">
        <v>69</v>
      </c>
      <c r="AO20" s="4">
        <v>980</v>
      </c>
      <c r="AP20" s="4">
        <v>26</v>
      </c>
      <c r="AQ20" s="4">
        <v>275</v>
      </c>
      <c r="AR20" s="4">
        <v>143</v>
      </c>
      <c r="AS20" s="4">
        <v>239</v>
      </c>
      <c r="AT20" s="4">
        <v>1121</v>
      </c>
      <c r="AU20" s="4">
        <v>0</v>
      </c>
      <c r="AV20" s="4">
        <v>25</v>
      </c>
      <c r="AW20" s="4">
        <v>47</v>
      </c>
      <c r="AX20" s="4">
        <v>149</v>
      </c>
      <c r="AY20" s="4">
        <v>351</v>
      </c>
      <c r="AZ20" s="4">
        <v>342</v>
      </c>
      <c r="BA20" s="4">
        <v>256</v>
      </c>
      <c r="BB20" s="4">
        <v>247</v>
      </c>
      <c r="BC20" s="4">
        <v>0</v>
      </c>
      <c r="BD20" s="4">
        <v>72</v>
      </c>
      <c r="BE20" s="4">
        <v>88</v>
      </c>
      <c r="BF20" s="4">
        <v>443</v>
      </c>
      <c r="BG20" s="4">
        <v>763</v>
      </c>
      <c r="BH20" s="4">
        <v>979</v>
      </c>
      <c r="BI20" s="4">
        <v>368</v>
      </c>
      <c r="BJ20" s="4">
        <v>536</v>
      </c>
      <c r="BK20" s="4">
        <v>796</v>
      </c>
      <c r="BL20" s="4">
        <v>349</v>
      </c>
      <c r="BM20" s="4">
        <v>267</v>
      </c>
      <c r="BN20" s="4">
        <v>180</v>
      </c>
      <c r="BO20" s="4">
        <v>267</v>
      </c>
      <c r="BP20" s="4">
        <v>214</v>
      </c>
      <c r="BQ20" s="4">
        <v>146</v>
      </c>
      <c r="BR20" s="4">
        <v>110</v>
      </c>
      <c r="BS20" s="4">
        <v>59</v>
      </c>
      <c r="BT20" s="4">
        <v>780</v>
      </c>
      <c r="BU20" s="4">
        <v>176</v>
      </c>
      <c r="BV20" s="4">
        <v>290</v>
      </c>
      <c r="BW20" s="4">
        <v>53</v>
      </c>
      <c r="BX20" s="4">
        <v>244</v>
      </c>
      <c r="BY20" s="4">
        <v>2570</v>
      </c>
      <c r="BZ20" s="4">
        <v>361</v>
      </c>
      <c r="CA20" s="4">
        <v>1227</v>
      </c>
      <c r="CB20" s="4">
        <v>239</v>
      </c>
      <c r="CC20" s="4">
        <v>640</v>
      </c>
      <c r="CD20" s="4">
        <v>295</v>
      </c>
      <c r="CE20" s="4">
        <v>54</v>
      </c>
      <c r="CF20" s="4">
        <v>0.3</v>
      </c>
      <c r="CG20" s="4">
        <v>55</v>
      </c>
      <c r="CH20" s="4">
        <v>24.6</v>
      </c>
      <c r="CI20" s="4">
        <v>43.8</v>
      </c>
      <c r="CJ20" s="4">
        <v>33.5</v>
      </c>
      <c r="CK20" s="4">
        <v>169</v>
      </c>
      <c r="CL20" s="43">
        <v>21.2</v>
      </c>
    </row>
    <row r="21" spans="1:90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1935</v>
      </c>
      <c r="I21" s="4">
        <v>1029</v>
      </c>
      <c r="J21" s="4">
        <v>430</v>
      </c>
      <c r="K21" s="4">
        <v>599</v>
      </c>
      <c r="L21" s="4">
        <v>61</v>
      </c>
      <c r="M21" s="4">
        <v>845</v>
      </c>
      <c r="N21" s="4">
        <v>415</v>
      </c>
      <c r="O21" s="4">
        <v>281</v>
      </c>
      <c r="P21" s="4">
        <v>148</v>
      </c>
      <c r="Q21" s="4">
        <v>3567</v>
      </c>
      <c r="R21" s="4">
        <v>1029</v>
      </c>
      <c r="S21" s="4">
        <v>430</v>
      </c>
      <c r="T21" s="4">
        <v>599</v>
      </c>
      <c r="U21" s="4">
        <v>165</v>
      </c>
      <c r="V21" s="4">
        <v>2373</v>
      </c>
      <c r="W21" s="4">
        <v>831</v>
      </c>
      <c r="X21" s="4">
        <v>1166</v>
      </c>
      <c r="Y21" s="4">
        <v>376</v>
      </c>
      <c r="Z21" s="4">
        <v>3141</v>
      </c>
      <c r="AA21" s="4">
        <v>621</v>
      </c>
      <c r="AB21" s="4">
        <v>1170</v>
      </c>
      <c r="AC21" s="4">
        <v>976</v>
      </c>
      <c r="AD21" s="4">
        <v>374</v>
      </c>
      <c r="AE21" s="4">
        <v>3133</v>
      </c>
      <c r="AF21" s="4">
        <v>621</v>
      </c>
      <c r="AG21" s="4">
        <v>1170</v>
      </c>
      <c r="AH21" s="4">
        <v>974</v>
      </c>
      <c r="AI21" s="4">
        <v>368</v>
      </c>
      <c r="AJ21" s="4">
        <v>1067</v>
      </c>
      <c r="AK21" s="4">
        <v>142</v>
      </c>
      <c r="AL21" s="4">
        <v>355</v>
      </c>
      <c r="AM21" s="4">
        <v>371</v>
      </c>
      <c r="AN21" s="4">
        <v>200</v>
      </c>
      <c r="AO21" s="4">
        <v>1111</v>
      </c>
      <c r="AP21" s="4">
        <v>115</v>
      </c>
      <c r="AQ21" s="4">
        <v>233</v>
      </c>
      <c r="AR21" s="4">
        <v>292</v>
      </c>
      <c r="AS21" s="4">
        <v>269</v>
      </c>
      <c r="AT21" s="4">
        <v>1121</v>
      </c>
      <c r="AU21" s="4">
        <v>0</v>
      </c>
      <c r="AV21" s="4">
        <v>39</v>
      </c>
      <c r="AW21" s="4">
        <v>396</v>
      </c>
      <c r="AX21" s="4">
        <v>262</v>
      </c>
      <c r="AY21" s="4">
        <v>195</v>
      </c>
      <c r="AZ21" s="4">
        <v>153</v>
      </c>
      <c r="BA21" s="4">
        <v>717</v>
      </c>
      <c r="BB21" s="4">
        <v>173</v>
      </c>
      <c r="BC21" s="4">
        <v>0</v>
      </c>
      <c r="BD21" s="4">
        <v>116</v>
      </c>
      <c r="BE21" s="4">
        <v>959</v>
      </c>
      <c r="BF21" s="4">
        <v>495</v>
      </c>
      <c r="BG21" s="4">
        <v>416</v>
      </c>
      <c r="BH21" s="4">
        <v>298</v>
      </c>
      <c r="BI21" s="4">
        <v>1020</v>
      </c>
      <c r="BJ21" s="4">
        <v>263</v>
      </c>
      <c r="BK21" s="4">
        <v>845</v>
      </c>
      <c r="BL21" s="4">
        <v>281</v>
      </c>
      <c r="BM21" s="4">
        <v>148</v>
      </c>
      <c r="BN21" s="4">
        <v>415</v>
      </c>
      <c r="BO21" s="4">
        <v>451</v>
      </c>
      <c r="BP21" s="4">
        <v>168</v>
      </c>
      <c r="BQ21" s="4">
        <v>133</v>
      </c>
      <c r="BR21" s="4">
        <v>62</v>
      </c>
      <c r="BS21" s="4">
        <v>30</v>
      </c>
      <c r="BT21" s="4">
        <v>845</v>
      </c>
      <c r="BU21" s="4">
        <v>415</v>
      </c>
      <c r="BV21" s="4">
        <v>255</v>
      </c>
      <c r="BW21" s="4">
        <v>27</v>
      </c>
      <c r="BX21" s="4">
        <v>148</v>
      </c>
      <c r="BY21" s="4">
        <v>2373</v>
      </c>
      <c r="BZ21" s="4">
        <v>831</v>
      </c>
      <c r="CA21" s="4">
        <v>1058</v>
      </c>
      <c r="CB21" s="4">
        <v>108</v>
      </c>
      <c r="CC21" s="4">
        <v>376</v>
      </c>
      <c r="CD21" s="4">
        <v>255</v>
      </c>
      <c r="CE21" s="4">
        <v>27</v>
      </c>
      <c r="CF21" s="4">
        <v>0.9</v>
      </c>
      <c r="CG21" s="4">
        <v>43.7</v>
      </c>
      <c r="CH21" s="4">
        <v>14.5</v>
      </c>
      <c r="CI21" s="4">
        <v>33.299999999999997</v>
      </c>
      <c r="CJ21" s="4">
        <v>17.5</v>
      </c>
      <c r="CK21" s="4">
        <v>92</v>
      </c>
      <c r="CL21" s="43">
        <v>10.9</v>
      </c>
    </row>
    <row r="22" spans="1:90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1287</v>
      </c>
      <c r="I22" s="4">
        <v>732</v>
      </c>
      <c r="J22" s="4">
        <v>271</v>
      </c>
      <c r="K22" s="4">
        <v>461</v>
      </c>
      <c r="L22" s="4">
        <v>30</v>
      </c>
      <c r="M22" s="4">
        <v>525</v>
      </c>
      <c r="N22" s="4">
        <v>283</v>
      </c>
      <c r="O22" s="4">
        <v>175</v>
      </c>
      <c r="P22" s="4">
        <v>67</v>
      </c>
      <c r="Q22" s="4">
        <v>2252</v>
      </c>
      <c r="R22" s="4">
        <v>732</v>
      </c>
      <c r="S22" s="4">
        <v>271</v>
      </c>
      <c r="T22" s="4">
        <v>461</v>
      </c>
      <c r="U22" s="4">
        <v>70</v>
      </c>
      <c r="V22" s="4">
        <v>1450</v>
      </c>
      <c r="W22" s="4">
        <v>571</v>
      </c>
      <c r="X22" s="4">
        <v>718</v>
      </c>
      <c r="Y22" s="4">
        <v>161</v>
      </c>
      <c r="Z22" s="4">
        <v>2063</v>
      </c>
      <c r="AA22" s="4">
        <v>322</v>
      </c>
      <c r="AB22" s="4">
        <v>679</v>
      </c>
      <c r="AC22" s="4">
        <v>727</v>
      </c>
      <c r="AD22" s="4">
        <v>335</v>
      </c>
      <c r="AE22" s="4">
        <v>1924</v>
      </c>
      <c r="AF22" s="4">
        <v>316</v>
      </c>
      <c r="AG22" s="4">
        <v>672</v>
      </c>
      <c r="AH22" s="4">
        <v>713</v>
      </c>
      <c r="AI22" s="4">
        <v>223</v>
      </c>
      <c r="AJ22" s="4">
        <v>644</v>
      </c>
      <c r="AK22" s="4">
        <v>94</v>
      </c>
      <c r="AL22" s="4">
        <v>150</v>
      </c>
      <c r="AM22" s="4">
        <v>273</v>
      </c>
      <c r="AN22" s="4">
        <v>126</v>
      </c>
      <c r="AO22" s="4">
        <v>789</v>
      </c>
      <c r="AP22" s="4">
        <v>74</v>
      </c>
      <c r="AQ22" s="4">
        <v>135</v>
      </c>
      <c r="AR22" s="4">
        <v>262</v>
      </c>
      <c r="AS22" s="4">
        <v>164</v>
      </c>
      <c r="AT22" s="4">
        <v>638</v>
      </c>
      <c r="AU22" s="4">
        <v>0</v>
      </c>
      <c r="AV22" s="4">
        <v>48</v>
      </c>
      <c r="AW22" s="4">
        <v>218</v>
      </c>
      <c r="AX22" s="4">
        <v>180</v>
      </c>
      <c r="AY22" s="4">
        <v>132</v>
      </c>
      <c r="AZ22" s="4">
        <v>61</v>
      </c>
      <c r="BA22" s="4">
        <v>539</v>
      </c>
      <c r="BB22" s="4">
        <v>109</v>
      </c>
      <c r="BC22" s="4">
        <v>0</v>
      </c>
      <c r="BD22" s="4">
        <v>124</v>
      </c>
      <c r="BE22" s="4">
        <v>509</v>
      </c>
      <c r="BF22" s="4">
        <v>409</v>
      </c>
      <c r="BG22" s="4">
        <v>234</v>
      </c>
      <c r="BH22" s="4">
        <v>128</v>
      </c>
      <c r="BI22" s="4">
        <v>725</v>
      </c>
      <c r="BJ22" s="4">
        <v>121</v>
      </c>
      <c r="BK22" s="4">
        <v>525</v>
      </c>
      <c r="BL22" s="4">
        <v>175</v>
      </c>
      <c r="BM22" s="4">
        <v>67</v>
      </c>
      <c r="BN22" s="4">
        <v>283</v>
      </c>
      <c r="BO22" s="4">
        <v>310</v>
      </c>
      <c r="BP22" s="4">
        <v>90</v>
      </c>
      <c r="BQ22" s="4">
        <v>73</v>
      </c>
      <c r="BR22" s="4">
        <v>36</v>
      </c>
      <c r="BS22" s="4">
        <v>16</v>
      </c>
      <c r="BT22" s="4">
        <v>525</v>
      </c>
      <c r="BU22" s="4">
        <v>283</v>
      </c>
      <c r="BV22" s="4">
        <v>148</v>
      </c>
      <c r="BW22" s="4">
        <v>27</v>
      </c>
      <c r="BX22" s="4">
        <v>67</v>
      </c>
      <c r="BY22" s="4">
        <v>1450</v>
      </c>
      <c r="BZ22" s="4">
        <v>571</v>
      </c>
      <c r="CA22" s="4">
        <v>603</v>
      </c>
      <c r="CB22" s="4">
        <v>115</v>
      </c>
      <c r="CC22" s="4">
        <v>161</v>
      </c>
      <c r="CD22" s="4">
        <v>148</v>
      </c>
      <c r="CE22" s="4">
        <v>27</v>
      </c>
      <c r="CF22" s="4">
        <v>0.6</v>
      </c>
      <c r="CG22" s="4">
        <v>40.799999999999997</v>
      </c>
      <c r="CH22" s="4">
        <v>13.6</v>
      </c>
      <c r="CI22" s="4">
        <v>33.299999999999997</v>
      </c>
      <c r="CJ22" s="4">
        <v>12.8</v>
      </c>
      <c r="CK22" s="4">
        <v>52</v>
      </c>
      <c r="CL22" s="43">
        <v>9.9</v>
      </c>
    </row>
    <row r="23" spans="1:90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2079</v>
      </c>
      <c r="I23" s="4">
        <v>898</v>
      </c>
      <c r="J23" s="4">
        <v>365</v>
      </c>
      <c r="K23" s="4">
        <v>533</v>
      </c>
      <c r="L23" s="4">
        <v>35</v>
      </c>
      <c r="M23" s="4">
        <v>1146</v>
      </c>
      <c r="N23" s="4">
        <v>340</v>
      </c>
      <c r="O23" s="4">
        <v>546</v>
      </c>
      <c r="P23" s="4">
        <v>260</v>
      </c>
      <c r="Q23" s="4">
        <v>4615</v>
      </c>
      <c r="R23" s="4">
        <v>898</v>
      </c>
      <c r="S23" s="4">
        <v>365</v>
      </c>
      <c r="T23" s="4">
        <v>533</v>
      </c>
      <c r="U23" s="4">
        <v>92</v>
      </c>
      <c r="V23" s="4">
        <v>3625</v>
      </c>
      <c r="W23" s="4">
        <v>709</v>
      </c>
      <c r="X23" s="4">
        <v>2228</v>
      </c>
      <c r="Y23" s="4">
        <v>688</v>
      </c>
      <c r="Z23" s="4">
        <v>3428</v>
      </c>
      <c r="AA23" s="4">
        <v>802</v>
      </c>
      <c r="AB23" s="4">
        <v>1645</v>
      </c>
      <c r="AC23" s="4">
        <v>853</v>
      </c>
      <c r="AD23" s="4">
        <v>128</v>
      </c>
      <c r="AE23" s="4">
        <v>3428</v>
      </c>
      <c r="AF23" s="4">
        <v>802</v>
      </c>
      <c r="AG23" s="4">
        <v>1645</v>
      </c>
      <c r="AH23" s="4">
        <v>853</v>
      </c>
      <c r="AI23" s="4">
        <v>128</v>
      </c>
      <c r="AJ23" s="4">
        <v>799</v>
      </c>
      <c r="AK23" s="4">
        <v>242</v>
      </c>
      <c r="AL23" s="4">
        <v>266</v>
      </c>
      <c r="AM23" s="4">
        <v>235</v>
      </c>
      <c r="AN23" s="4">
        <v>56</v>
      </c>
      <c r="AO23" s="4">
        <v>1269</v>
      </c>
      <c r="AP23" s="4">
        <v>149</v>
      </c>
      <c r="AQ23" s="4">
        <v>300</v>
      </c>
      <c r="AR23" s="4">
        <v>190</v>
      </c>
      <c r="AS23" s="4">
        <v>230</v>
      </c>
      <c r="AT23" s="4">
        <v>1290</v>
      </c>
      <c r="AU23" s="4">
        <v>0</v>
      </c>
      <c r="AV23" s="4">
        <v>39</v>
      </c>
      <c r="AW23" s="4">
        <v>260</v>
      </c>
      <c r="AX23" s="4">
        <v>394</v>
      </c>
      <c r="AY23" s="4">
        <v>342</v>
      </c>
      <c r="AZ23" s="4">
        <v>272</v>
      </c>
      <c r="BA23" s="4">
        <v>421</v>
      </c>
      <c r="BB23" s="4">
        <v>352</v>
      </c>
      <c r="BC23" s="4">
        <v>0</v>
      </c>
      <c r="BD23" s="4">
        <v>167</v>
      </c>
      <c r="BE23" s="4">
        <v>629</v>
      </c>
      <c r="BF23" s="4">
        <v>1003</v>
      </c>
      <c r="BG23" s="4">
        <v>901</v>
      </c>
      <c r="BH23" s="4">
        <v>789</v>
      </c>
      <c r="BI23" s="4">
        <v>661</v>
      </c>
      <c r="BJ23" s="4">
        <v>465</v>
      </c>
      <c r="BK23" s="4">
        <v>1146</v>
      </c>
      <c r="BL23" s="4">
        <v>546</v>
      </c>
      <c r="BM23" s="4">
        <v>260</v>
      </c>
      <c r="BN23" s="4">
        <v>340</v>
      </c>
      <c r="BO23" s="4">
        <v>432</v>
      </c>
      <c r="BP23" s="4">
        <v>288</v>
      </c>
      <c r="BQ23" s="4">
        <v>245</v>
      </c>
      <c r="BR23" s="4">
        <v>121</v>
      </c>
      <c r="BS23" s="4">
        <v>60</v>
      </c>
      <c r="BT23" s="4">
        <v>1146</v>
      </c>
      <c r="BU23" s="4">
        <v>340</v>
      </c>
      <c r="BV23" s="4">
        <v>507</v>
      </c>
      <c r="BW23" s="4">
        <v>38</v>
      </c>
      <c r="BX23" s="4">
        <v>260</v>
      </c>
      <c r="BY23" s="4">
        <v>3625</v>
      </c>
      <c r="BZ23" s="4">
        <v>709</v>
      </c>
      <c r="CA23" s="4">
        <v>2029</v>
      </c>
      <c r="CB23" s="4">
        <v>199</v>
      </c>
      <c r="CC23" s="4">
        <v>688</v>
      </c>
      <c r="CD23" s="4">
        <v>507</v>
      </c>
      <c r="CE23" s="4">
        <v>38</v>
      </c>
      <c r="CF23" s="4">
        <v>0.5</v>
      </c>
      <c r="CG23" s="4">
        <v>55.1</v>
      </c>
      <c r="CH23" s="4">
        <v>26.3</v>
      </c>
      <c r="CI23" s="4">
        <v>47.6</v>
      </c>
      <c r="CJ23" s="4">
        <v>22.7</v>
      </c>
      <c r="CK23" s="4">
        <v>181</v>
      </c>
      <c r="CL23" s="43">
        <v>15.8</v>
      </c>
    </row>
    <row r="24" spans="1:90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882</v>
      </c>
      <c r="I24" s="4">
        <v>298</v>
      </c>
      <c r="J24" s="4">
        <v>168</v>
      </c>
      <c r="K24" s="4">
        <v>131</v>
      </c>
      <c r="L24" s="4">
        <v>17</v>
      </c>
      <c r="M24" s="4">
        <v>567</v>
      </c>
      <c r="N24" s="4">
        <v>129</v>
      </c>
      <c r="O24" s="4">
        <v>276</v>
      </c>
      <c r="P24" s="4">
        <v>162</v>
      </c>
      <c r="Q24" s="4">
        <v>2468</v>
      </c>
      <c r="R24" s="4">
        <v>298</v>
      </c>
      <c r="S24" s="4">
        <v>168</v>
      </c>
      <c r="T24" s="4">
        <v>131</v>
      </c>
      <c r="U24" s="4">
        <v>50</v>
      </c>
      <c r="V24" s="4">
        <v>2120</v>
      </c>
      <c r="W24" s="4">
        <v>301</v>
      </c>
      <c r="X24" s="4">
        <v>1309</v>
      </c>
      <c r="Y24" s="4">
        <v>510</v>
      </c>
      <c r="Z24" s="4">
        <v>1815</v>
      </c>
      <c r="AA24" s="4">
        <v>459</v>
      </c>
      <c r="AB24" s="4">
        <v>841</v>
      </c>
      <c r="AC24" s="4">
        <v>482</v>
      </c>
      <c r="AD24" s="4">
        <v>33</v>
      </c>
      <c r="AE24" s="4">
        <v>1815</v>
      </c>
      <c r="AF24" s="4">
        <v>459</v>
      </c>
      <c r="AG24" s="4">
        <v>841</v>
      </c>
      <c r="AH24" s="4">
        <v>482</v>
      </c>
      <c r="AI24" s="4">
        <v>33</v>
      </c>
      <c r="AJ24" s="4">
        <v>270</v>
      </c>
      <c r="AK24" s="4">
        <v>56</v>
      </c>
      <c r="AL24" s="4">
        <v>93</v>
      </c>
      <c r="AM24" s="4">
        <v>113</v>
      </c>
      <c r="AN24" s="4">
        <v>7</v>
      </c>
      <c r="AO24" s="4">
        <v>720</v>
      </c>
      <c r="AP24" s="4">
        <v>37</v>
      </c>
      <c r="AQ24" s="4">
        <v>111</v>
      </c>
      <c r="AR24" s="4">
        <v>81</v>
      </c>
      <c r="AS24" s="4">
        <v>82</v>
      </c>
      <c r="AT24" s="4">
        <v>784</v>
      </c>
      <c r="AU24" s="4">
        <v>0</v>
      </c>
      <c r="AV24" s="4">
        <v>23</v>
      </c>
      <c r="AW24" s="4">
        <v>34</v>
      </c>
      <c r="AX24" s="4">
        <v>104</v>
      </c>
      <c r="AY24" s="4">
        <v>131</v>
      </c>
      <c r="AZ24" s="4">
        <v>286</v>
      </c>
      <c r="BA24" s="4">
        <v>171</v>
      </c>
      <c r="BB24" s="4">
        <v>133</v>
      </c>
      <c r="BC24" s="4">
        <v>0</v>
      </c>
      <c r="BD24" s="4">
        <v>81</v>
      </c>
      <c r="BE24" s="4">
        <v>122</v>
      </c>
      <c r="BF24" s="4">
        <v>296</v>
      </c>
      <c r="BG24" s="4">
        <v>387</v>
      </c>
      <c r="BH24" s="4">
        <v>986</v>
      </c>
      <c r="BI24" s="4">
        <v>332</v>
      </c>
      <c r="BJ24" s="4">
        <v>264</v>
      </c>
      <c r="BK24" s="4">
        <v>575</v>
      </c>
      <c r="BL24" s="4">
        <v>279</v>
      </c>
      <c r="BM24" s="4">
        <v>167</v>
      </c>
      <c r="BN24" s="4">
        <v>129</v>
      </c>
      <c r="BO24" s="4">
        <v>185</v>
      </c>
      <c r="BP24" s="4">
        <v>113</v>
      </c>
      <c r="BQ24" s="4">
        <v>110</v>
      </c>
      <c r="BR24" s="4">
        <v>67</v>
      </c>
      <c r="BS24" s="4">
        <v>99</v>
      </c>
      <c r="BT24" s="4">
        <v>567</v>
      </c>
      <c r="BU24" s="4">
        <v>120</v>
      </c>
      <c r="BV24" s="4">
        <v>239</v>
      </c>
      <c r="BW24" s="4">
        <v>37</v>
      </c>
      <c r="BX24" s="4">
        <v>162</v>
      </c>
      <c r="BY24" s="4">
        <v>2120</v>
      </c>
      <c r="BZ24" s="4">
        <v>240</v>
      </c>
      <c r="CA24" s="4">
        <v>1104</v>
      </c>
      <c r="CB24" s="4">
        <v>205</v>
      </c>
      <c r="CC24" s="4">
        <v>510</v>
      </c>
      <c r="CD24" s="4">
        <v>239</v>
      </c>
      <c r="CE24" s="4">
        <v>40</v>
      </c>
      <c r="CF24" s="4">
        <v>0.2</v>
      </c>
      <c r="CG24" s="4">
        <v>64.3</v>
      </c>
      <c r="CH24" s="4">
        <v>31.3</v>
      </c>
      <c r="CI24" s="4">
        <v>48.5</v>
      </c>
      <c r="CJ24" s="4">
        <v>29</v>
      </c>
      <c r="CK24" s="4">
        <v>166</v>
      </c>
      <c r="CL24" s="43">
        <v>28.9</v>
      </c>
    </row>
    <row r="25" spans="1:90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766</v>
      </c>
      <c r="I25" s="4">
        <v>214</v>
      </c>
      <c r="J25" s="4">
        <v>116</v>
      </c>
      <c r="K25" s="4">
        <v>98</v>
      </c>
      <c r="L25" s="4">
        <v>10</v>
      </c>
      <c r="M25" s="4">
        <v>542</v>
      </c>
      <c r="N25" s="4">
        <v>128</v>
      </c>
      <c r="O25" s="4">
        <v>275</v>
      </c>
      <c r="P25" s="4">
        <v>138</v>
      </c>
      <c r="Q25" s="4">
        <v>2194</v>
      </c>
      <c r="R25" s="4">
        <v>214</v>
      </c>
      <c r="S25" s="4">
        <v>116</v>
      </c>
      <c r="T25" s="4">
        <v>98</v>
      </c>
      <c r="U25" s="4">
        <v>30</v>
      </c>
      <c r="V25" s="4">
        <v>1949</v>
      </c>
      <c r="W25" s="4">
        <v>267</v>
      </c>
      <c r="X25" s="4">
        <v>1243</v>
      </c>
      <c r="Y25" s="4">
        <v>439</v>
      </c>
      <c r="Z25" s="4">
        <v>1667</v>
      </c>
      <c r="AA25" s="4">
        <v>344</v>
      </c>
      <c r="AB25" s="4">
        <v>803</v>
      </c>
      <c r="AC25" s="4">
        <v>410</v>
      </c>
      <c r="AD25" s="4">
        <v>111</v>
      </c>
      <c r="AE25" s="4">
        <v>1592</v>
      </c>
      <c r="AF25" s="4">
        <v>344</v>
      </c>
      <c r="AG25" s="4">
        <v>803</v>
      </c>
      <c r="AH25" s="4">
        <v>388</v>
      </c>
      <c r="AI25" s="4">
        <v>58</v>
      </c>
      <c r="AJ25" s="4">
        <v>224</v>
      </c>
      <c r="AK25" s="4">
        <v>11</v>
      </c>
      <c r="AL25" s="4">
        <v>91</v>
      </c>
      <c r="AM25" s="4">
        <v>106</v>
      </c>
      <c r="AN25" s="4">
        <v>16</v>
      </c>
      <c r="AO25" s="4">
        <v>634</v>
      </c>
      <c r="AP25" s="4">
        <v>43</v>
      </c>
      <c r="AQ25" s="4">
        <v>197</v>
      </c>
      <c r="AR25" s="4">
        <v>141</v>
      </c>
      <c r="AS25" s="4">
        <v>109</v>
      </c>
      <c r="AT25" s="4">
        <v>544</v>
      </c>
      <c r="AU25" s="4">
        <v>0</v>
      </c>
      <c r="AV25" s="4">
        <v>45</v>
      </c>
      <c r="AW25" s="4">
        <v>25</v>
      </c>
      <c r="AX25" s="4">
        <v>115</v>
      </c>
      <c r="AY25" s="4">
        <v>159</v>
      </c>
      <c r="AZ25" s="4">
        <v>157</v>
      </c>
      <c r="BA25" s="4">
        <v>213</v>
      </c>
      <c r="BB25" s="4">
        <v>52</v>
      </c>
      <c r="BC25" s="4">
        <v>0</v>
      </c>
      <c r="BD25" s="4">
        <v>134</v>
      </c>
      <c r="BE25" s="4">
        <v>87</v>
      </c>
      <c r="BF25" s="4">
        <v>276</v>
      </c>
      <c r="BG25" s="4">
        <v>566</v>
      </c>
      <c r="BH25" s="4">
        <v>574</v>
      </c>
      <c r="BI25" s="4">
        <v>367</v>
      </c>
      <c r="BJ25" s="4">
        <v>190</v>
      </c>
      <c r="BK25" s="4">
        <v>551</v>
      </c>
      <c r="BL25" s="4">
        <v>275</v>
      </c>
      <c r="BM25" s="4">
        <v>148</v>
      </c>
      <c r="BN25" s="4">
        <v>128</v>
      </c>
      <c r="BO25" s="4">
        <v>191</v>
      </c>
      <c r="BP25" s="4">
        <v>106</v>
      </c>
      <c r="BQ25" s="4">
        <v>96</v>
      </c>
      <c r="BR25" s="4">
        <v>102</v>
      </c>
      <c r="BS25" s="4">
        <v>57</v>
      </c>
      <c r="BT25" s="4">
        <v>542</v>
      </c>
      <c r="BU25" s="4">
        <v>124</v>
      </c>
      <c r="BV25" s="4">
        <v>226</v>
      </c>
      <c r="BW25" s="4">
        <v>49</v>
      </c>
      <c r="BX25" s="4">
        <v>133</v>
      </c>
      <c r="BY25" s="4">
        <v>1949</v>
      </c>
      <c r="BZ25" s="4">
        <v>248</v>
      </c>
      <c r="CA25" s="4">
        <v>993</v>
      </c>
      <c r="CB25" s="4">
        <v>250</v>
      </c>
      <c r="CC25" s="4">
        <v>394</v>
      </c>
      <c r="CD25" s="4">
        <v>226</v>
      </c>
      <c r="CE25" s="4">
        <v>49</v>
      </c>
      <c r="CF25" s="4">
        <v>0.2</v>
      </c>
      <c r="CG25" s="4">
        <v>70.8</v>
      </c>
      <c r="CH25" s="4">
        <v>35.9</v>
      </c>
      <c r="CI25" s="4">
        <v>49.9</v>
      </c>
      <c r="CJ25" s="4">
        <v>26.9</v>
      </c>
      <c r="CK25" s="4">
        <v>159</v>
      </c>
      <c r="CL25" s="43">
        <v>28.9</v>
      </c>
    </row>
    <row r="26" spans="1:90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1406</v>
      </c>
      <c r="I26" s="4">
        <v>481</v>
      </c>
      <c r="J26" s="4">
        <v>241</v>
      </c>
      <c r="K26" s="4">
        <v>240</v>
      </c>
      <c r="L26" s="4">
        <v>18</v>
      </c>
      <c r="M26" s="4">
        <v>907</v>
      </c>
      <c r="N26" s="4">
        <v>263</v>
      </c>
      <c r="O26" s="4">
        <v>391</v>
      </c>
      <c r="P26" s="4">
        <v>252</v>
      </c>
      <c r="Q26" s="4">
        <v>3368</v>
      </c>
      <c r="R26" s="4">
        <v>481</v>
      </c>
      <c r="S26" s="4">
        <v>241</v>
      </c>
      <c r="T26" s="4">
        <v>240</v>
      </c>
      <c r="U26" s="4">
        <v>51</v>
      </c>
      <c r="V26" s="4">
        <v>2836</v>
      </c>
      <c r="W26" s="4">
        <v>544</v>
      </c>
      <c r="X26" s="4">
        <v>1589</v>
      </c>
      <c r="Y26" s="4">
        <v>703</v>
      </c>
      <c r="Z26" s="4">
        <v>2441</v>
      </c>
      <c r="AA26" s="4">
        <v>490</v>
      </c>
      <c r="AB26" s="4">
        <v>1305</v>
      </c>
      <c r="AC26" s="4">
        <v>547</v>
      </c>
      <c r="AD26" s="4">
        <v>98</v>
      </c>
      <c r="AE26" s="4">
        <v>2441</v>
      </c>
      <c r="AF26" s="4">
        <v>490</v>
      </c>
      <c r="AG26" s="4">
        <v>1305</v>
      </c>
      <c r="AH26" s="4">
        <v>547</v>
      </c>
      <c r="AI26" s="4">
        <v>98</v>
      </c>
      <c r="AJ26" s="4">
        <v>454</v>
      </c>
      <c r="AK26" s="4">
        <v>20</v>
      </c>
      <c r="AL26" s="4">
        <v>224</v>
      </c>
      <c r="AM26" s="4">
        <v>166</v>
      </c>
      <c r="AN26" s="4">
        <v>44</v>
      </c>
      <c r="AO26" s="4">
        <v>972</v>
      </c>
      <c r="AP26" s="4">
        <v>111</v>
      </c>
      <c r="AQ26" s="4">
        <v>247</v>
      </c>
      <c r="AR26" s="4">
        <v>90</v>
      </c>
      <c r="AS26" s="4">
        <v>176</v>
      </c>
      <c r="AT26" s="4">
        <v>846</v>
      </c>
      <c r="AU26" s="4">
        <v>0</v>
      </c>
      <c r="AV26" s="4">
        <v>61</v>
      </c>
      <c r="AW26" s="4">
        <v>205</v>
      </c>
      <c r="AX26" s="4">
        <v>265</v>
      </c>
      <c r="AY26" s="4">
        <v>274</v>
      </c>
      <c r="AZ26" s="4">
        <v>275</v>
      </c>
      <c r="BA26" s="4">
        <v>243</v>
      </c>
      <c r="BB26" s="4">
        <v>84</v>
      </c>
      <c r="BC26" s="4">
        <v>0</v>
      </c>
      <c r="BD26" s="4">
        <v>129</v>
      </c>
      <c r="BE26" s="4">
        <v>515</v>
      </c>
      <c r="BF26" s="4">
        <v>686</v>
      </c>
      <c r="BG26" s="4">
        <v>708</v>
      </c>
      <c r="BH26" s="4">
        <v>719</v>
      </c>
      <c r="BI26" s="4">
        <v>411</v>
      </c>
      <c r="BJ26" s="4">
        <v>201</v>
      </c>
      <c r="BK26" s="4">
        <v>920</v>
      </c>
      <c r="BL26" s="4">
        <v>391</v>
      </c>
      <c r="BM26" s="4">
        <v>257</v>
      </c>
      <c r="BN26" s="4">
        <v>271</v>
      </c>
      <c r="BO26" s="4">
        <v>321</v>
      </c>
      <c r="BP26" s="4">
        <v>268</v>
      </c>
      <c r="BQ26" s="4">
        <v>184</v>
      </c>
      <c r="BR26" s="4">
        <v>101</v>
      </c>
      <c r="BS26" s="4">
        <v>45</v>
      </c>
      <c r="BT26" s="4">
        <v>907</v>
      </c>
      <c r="BU26" s="4">
        <v>259</v>
      </c>
      <c r="BV26" s="4">
        <v>347</v>
      </c>
      <c r="BW26" s="4">
        <v>36</v>
      </c>
      <c r="BX26" s="4">
        <v>252</v>
      </c>
      <c r="BY26" s="4">
        <v>2836</v>
      </c>
      <c r="BZ26" s="4">
        <v>522</v>
      </c>
      <c r="CA26" s="4">
        <v>1387</v>
      </c>
      <c r="CB26" s="4">
        <v>157</v>
      </c>
      <c r="CC26" s="4">
        <v>703</v>
      </c>
      <c r="CD26" s="4">
        <v>352</v>
      </c>
      <c r="CE26" s="4">
        <v>39</v>
      </c>
      <c r="CF26" s="4">
        <v>0.4</v>
      </c>
      <c r="CG26" s="4">
        <v>64.5</v>
      </c>
      <c r="CH26" s="4">
        <v>27.8</v>
      </c>
      <c r="CI26" s="4">
        <v>42.5</v>
      </c>
      <c r="CJ26" s="4">
        <v>27.9</v>
      </c>
      <c r="CK26" s="4">
        <v>146</v>
      </c>
      <c r="CL26" s="43">
        <v>15.9</v>
      </c>
    </row>
    <row r="27" spans="1:90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766</v>
      </c>
      <c r="I27" s="4">
        <v>187</v>
      </c>
      <c r="J27" s="4">
        <v>109</v>
      </c>
      <c r="K27" s="4">
        <v>78</v>
      </c>
      <c r="L27" s="4">
        <v>19</v>
      </c>
      <c r="M27" s="4">
        <v>561</v>
      </c>
      <c r="N27" s="4">
        <v>99</v>
      </c>
      <c r="O27" s="4">
        <v>267</v>
      </c>
      <c r="P27" s="4">
        <v>194</v>
      </c>
      <c r="Q27" s="4">
        <v>2239</v>
      </c>
      <c r="R27" s="4">
        <v>187</v>
      </c>
      <c r="S27" s="4">
        <v>109</v>
      </c>
      <c r="T27" s="4">
        <v>78</v>
      </c>
      <c r="U27" s="4">
        <v>43</v>
      </c>
      <c r="V27" s="4">
        <v>2009</v>
      </c>
      <c r="W27" s="4">
        <v>218</v>
      </c>
      <c r="X27" s="4">
        <v>1212</v>
      </c>
      <c r="Y27" s="4">
        <v>579</v>
      </c>
      <c r="Z27" s="4">
        <v>1657</v>
      </c>
      <c r="AA27" s="4">
        <v>404</v>
      </c>
      <c r="AB27" s="4">
        <v>832</v>
      </c>
      <c r="AC27" s="4">
        <v>376</v>
      </c>
      <c r="AD27" s="4">
        <v>46</v>
      </c>
      <c r="AE27" s="4">
        <v>1657</v>
      </c>
      <c r="AF27" s="4">
        <v>404</v>
      </c>
      <c r="AG27" s="4">
        <v>832</v>
      </c>
      <c r="AH27" s="4">
        <v>376</v>
      </c>
      <c r="AI27" s="4">
        <v>46</v>
      </c>
      <c r="AJ27" s="4">
        <v>203</v>
      </c>
      <c r="AK27" s="4">
        <v>14</v>
      </c>
      <c r="AL27" s="4">
        <v>88</v>
      </c>
      <c r="AM27" s="4">
        <v>85</v>
      </c>
      <c r="AN27" s="4">
        <v>16</v>
      </c>
      <c r="AO27" s="4">
        <v>646</v>
      </c>
      <c r="AP27" s="4">
        <v>30</v>
      </c>
      <c r="AQ27" s="4">
        <v>106</v>
      </c>
      <c r="AR27" s="4">
        <v>92</v>
      </c>
      <c r="AS27" s="4">
        <v>102</v>
      </c>
      <c r="AT27" s="4">
        <v>681</v>
      </c>
      <c r="AU27" s="4">
        <v>0</v>
      </c>
      <c r="AV27" s="4">
        <v>18</v>
      </c>
      <c r="AW27" s="4">
        <v>26</v>
      </c>
      <c r="AX27" s="4">
        <v>79</v>
      </c>
      <c r="AY27" s="4">
        <v>148</v>
      </c>
      <c r="AZ27" s="4">
        <v>197</v>
      </c>
      <c r="BA27" s="4">
        <v>161</v>
      </c>
      <c r="BB27" s="4">
        <v>137</v>
      </c>
      <c r="BC27" s="4">
        <v>0</v>
      </c>
      <c r="BD27" s="4">
        <v>73</v>
      </c>
      <c r="BE27" s="4">
        <v>111</v>
      </c>
      <c r="BF27" s="4">
        <v>278</v>
      </c>
      <c r="BG27" s="4">
        <v>476</v>
      </c>
      <c r="BH27" s="4">
        <v>688</v>
      </c>
      <c r="BI27" s="4">
        <v>326</v>
      </c>
      <c r="BJ27" s="4">
        <v>287</v>
      </c>
      <c r="BK27" s="4">
        <v>574</v>
      </c>
      <c r="BL27" s="4">
        <v>271</v>
      </c>
      <c r="BM27" s="4">
        <v>199</v>
      </c>
      <c r="BN27" s="4">
        <v>104</v>
      </c>
      <c r="BO27" s="4">
        <v>155</v>
      </c>
      <c r="BP27" s="4">
        <v>135</v>
      </c>
      <c r="BQ27" s="4">
        <v>143</v>
      </c>
      <c r="BR27" s="4">
        <v>69</v>
      </c>
      <c r="BS27" s="4">
        <v>72</v>
      </c>
      <c r="BT27" s="4">
        <v>561</v>
      </c>
      <c r="BU27" s="4">
        <v>94</v>
      </c>
      <c r="BV27" s="4">
        <v>230</v>
      </c>
      <c r="BW27" s="4">
        <v>29</v>
      </c>
      <c r="BX27" s="4">
        <v>194</v>
      </c>
      <c r="BY27" s="4">
        <v>2009</v>
      </c>
      <c r="BZ27" s="4">
        <v>189</v>
      </c>
      <c r="CA27" s="4">
        <v>1014</v>
      </c>
      <c r="CB27" s="4">
        <v>145</v>
      </c>
      <c r="CC27" s="4">
        <v>579</v>
      </c>
      <c r="CD27" s="4">
        <v>242</v>
      </c>
      <c r="CE27" s="4">
        <v>29</v>
      </c>
      <c r="CF27" s="4">
        <v>0.2</v>
      </c>
      <c r="CG27" s="4">
        <v>73.2</v>
      </c>
      <c r="CH27" s="4">
        <v>34.9</v>
      </c>
      <c r="CI27" s="4">
        <v>47.2</v>
      </c>
      <c r="CJ27" s="4">
        <v>34.700000000000003</v>
      </c>
      <c r="CK27" s="4">
        <v>141</v>
      </c>
      <c r="CL27" s="43">
        <v>24.6</v>
      </c>
    </row>
    <row r="28" spans="1:90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819</v>
      </c>
      <c r="I28" s="4">
        <v>222</v>
      </c>
      <c r="J28" s="4">
        <v>122</v>
      </c>
      <c r="K28" s="4">
        <v>100</v>
      </c>
      <c r="L28" s="4">
        <v>17</v>
      </c>
      <c r="M28" s="4">
        <v>580</v>
      </c>
      <c r="N28" s="4">
        <v>110</v>
      </c>
      <c r="O28" s="4">
        <v>283</v>
      </c>
      <c r="P28" s="4">
        <v>187</v>
      </c>
      <c r="Q28" s="4">
        <v>2398</v>
      </c>
      <c r="R28" s="4">
        <v>222</v>
      </c>
      <c r="S28" s="4">
        <v>122</v>
      </c>
      <c r="T28" s="4">
        <v>100</v>
      </c>
      <c r="U28" s="4">
        <v>44</v>
      </c>
      <c r="V28" s="4">
        <v>2131</v>
      </c>
      <c r="W28" s="4">
        <v>265</v>
      </c>
      <c r="X28" s="4">
        <v>1313</v>
      </c>
      <c r="Y28" s="4">
        <v>554</v>
      </c>
      <c r="Z28" s="4">
        <v>1463</v>
      </c>
      <c r="AA28" s="4">
        <v>285</v>
      </c>
      <c r="AB28" s="4">
        <v>782</v>
      </c>
      <c r="AC28" s="4">
        <v>358</v>
      </c>
      <c r="AD28" s="4">
        <v>37</v>
      </c>
      <c r="AE28" s="4">
        <v>1463</v>
      </c>
      <c r="AF28" s="4">
        <v>285</v>
      </c>
      <c r="AG28" s="4">
        <v>782</v>
      </c>
      <c r="AH28" s="4">
        <v>358</v>
      </c>
      <c r="AI28" s="4">
        <v>37</v>
      </c>
      <c r="AJ28" s="4">
        <v>197</v>
      </c>
      <c r="AK28" s="4">
        <v>3</v>
      </c>
      <c r="AL28" s="4">
        <v>83</v>
      </c>
      <c r="AM28" s="4">
        <v>96</v>
      </c>
      <c r="AN28" s="4">
        <v>14</v>
      </c>
      <c r="AO28" s="4">
        <v>609</v>
      </c>
      <c r="AP28" s="4">
        <v>29</v>
      </c>
      <c r="AQ28" s="4">
        <v>127</v>
      </c>
      <c r="AR28" s="4">
        <v>72</v>
      </c>
      <c r="AS28" s="4">
        <v>99</v>
      </c>
      <c r="AT28" s="4">
        <v>527</v>
      </c>
      <c r="AU28" s="4">
        <v>0</v>
      </c>
      <c r="AV28" s="4">
        <v>43</v>
      </c>
      <c r="AW28" s="4">
        <v>36</v>
      </c>
      <c r="AX28" s="4">
        <v>70</v>
      </c>
      <c r="AY28" s="4">
        <v>159</v>
      </c>
      <c r="AZ28" s="4">
        <v>238</v>
      </c>
      <c r="BA28" s="4">
        <v>155</v>
      </c>
      <c r="BB28" s="4">
        <v>117</v>
      </c>
      <c r="BC28" s="4">
        <v>0</v>
      </c>
      <c r="BD28" s="4">
        <v>133</v>
      </c>
      <c r="BE28" s="4">
        <v>76</v>
      </c>
      <c r="BF28" s="4">
        <v>197</v>
      </c>
      <c r="BG28" s="4">
        <v>492</v>
      </c>
      <c r="BH28" s="4">
        <v>782</v>
      </c>
      <c r="BI28" s="4">
        <v>265</v>
      </c>
      <c r="BJ28" s="4">
        <v>452</v>
      </c>
      <c r="BK28" s="4">
        <v>581</v>
      </c>
      <c r="BL28" s="4">
        <v>284</v>
      </c>
      <c r="BM28" s="4">
        <v>187</v>
      </c>
      <c r="BN28" s="4">
        <v>110</v>
      </c>
      <c r="BO28" s="4">
        <v>139</v>
      </c>
      <c r="BP28" s="4">
        <v>121</v>
      </c>
      <c r="BQ28" s="4">
        <v>145</v>
      </c>
      <c r="BR28" s="4">
        <v>114</v>
      </c>
      <c r="BS28" s="4">
        <v>62</v>
      </c>
      <c r="BT28" s="4">
        <v>580</v>
      </c>
      <c r="BU28" s="4">
        <v>109</v>
      </c>
      <c r="BV28" s="4">
        <v>255</v>
      </c>
      <c r="BW28" s="4">
        <v>29</v>
      </c>
      <c r="BX28" s="4">
        <v>187</v>
      </c>
      <c r="BY28" s="4">
        <v>2131</v>
      </c>
      <c r="BZ28" s="4">
        <v>258</v>
      </c>
      <c r="CA28" s="4">
        <v>1129</v>
      </c>
      <c r="CB28" s="4">
        <v>183</v>
      </c>
      <c r="CC28" s="4">
        <v>554</v>
      </c>
      <c r="CD28" s="4">
        <v>256</v>
      </c>
      <c r="CE28" s="4">
        <v>29</v>
      </c>
      <c r="CF28" s="4">
        <v>0.1</v>
      </c>
      <c r="CG28" s="4">
        <v>70.8</v>
      </c>
      <c r="CH28" s="4">
        <v>34.6</v>
      </c>
      <c r="CI28" s="4">
        <v>48.9</v>
      </c>
      <c r="CJ28" s="4">
        <v>32.200000000000003</v>
      </c>
      <c r="CK28" s="4">
        <v>176</v>
      </c>
      <c r="CL28" s="43">
        <v>30.3</v>
      </c>
    </row>
    <row r="29" spans="1:90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1187</v>
      </c>
      <c r="I29" s="4">
        <v>447</v>
      </c>
      <c r="J29" s="4">
        <v>237</v>
      </c>
      <c r="K29" s="4">
        <v>210</v>
      </c>
      <c r="L29" s="4">
        <v>26</v>
      </c>
      <c r="M29" s="4">
        <v>713</v>
      </c>
      <c r="N29" s="4">
        <v>200</v>
      </c>
      <c r="O29" s="4">
        <v>299</v>
      </c>
      <c r="P29" s="4">
        <v>214</v>
      </c>
      <c r="Q29" s="4">
        <v>2960</v>
      </c>
      <c r="R29" s="4">
        <v>447</v>
      </c>
      <c r="S29" s="4">
        <v>237</v>
      </c>
      <c r="T29" s="4">
        <v>210</v>
      </c>
      <c r="U29" s="4">
        <v>90</v>
      </c>
      <c r="V29" s="4">
        <v>2423</v>
      </c>
      <c r="W29" s="4">
        <v>416</v>
      </c>
      <c r="X29" s="4">
        <v>1428</v>
      </c>
      <c r="Y29" s="4">
        <v>579</v>
      </c>
      <c r="Z29" s="4">
        <v>2196</v>
      </c>
      <c r="AA29" s="4">
        <v>451</v>
      </c>
      <c r="AB29" s="4">
        <v>1053</v>
      </c>
      <c r="AC29" s="4">
        <v>567</v>
      </c>
      <c r="AD29" s="4">
        <v>125</v>
      </c>
      <c r="AE29" s="4">
        <v>2140</v>
      </c>
      <c r="AF29" s="4">
        <v>451</v>
      </c>
      <c r="AG29" s="4">
        <v>1053</v>
      </c>
      <c r="AH29" s="4">
        <v>555</v>
      </c>
      <c r="AI29" s="4">
        <v>81</v>
      </c>
      <c r="AJ29" s="4">
        <v>498</v>
      </c>
      <c r="AK29" s="4">
        <v>38</v>
      </c>
      <c r="AL29" s="4">
        <v>209</v>
      </c>
      <c r="AM29" s="4">
        <v>197</v>
      </c>
      <c r="AN29" s="4">
        <v>55</v>
      </c>
      <c r="AO29" s="4">
        <v>739</v>
      </c>
      <c r="AP29" s="4">
        <v>12</v>
      </c>
      <c r="AQ29" s="4">
        <v>238</v>
      </c>
      <c r="AR29" s="4">
        <v>183</v>
      </c>
      <c r="AS29" s="4">
        <v>211</v>
      </c>
      <c r="AT29" s="4">
        <v>812</v>
      </c>
      <c r="AU29" s="4">
        <v>0</v>
      </c>
      <c r="AV29" s="4">
        <v>33</v>
      </c>
      <c r="AW29" s="4">
        <v>102</v>
      </c>
      <c r="AX29" s="4">
        <v>153</v>
      </c>
      <c r="AY29" s="4">
        <v>239</v>
      </c>
      <c r="AZ29" s="4">
        <v>273</v>
      </c>
      <c r="BA29" s="4">
        <v>209</v>
      </c>
      <c r="BB29" s="4">
        <v>179</v>
      </c>
      <c r="BC29" s="4">
        <v>0</v>
      </c>
      <c r="BD29" s="4">
        <v>108</v>
      </c>
      <c r="BE29" s="4">
        <v>254</v>
      </c>
      <c r="BF29" s="4">
        <v>457</v>
      </c>
      <c r="BG29" s="4">
        <v>622</v>
      </c>
      <c r="BH29" s="4">
        <v>701</v>
      </c>
      <c r="BI29" s="4">
        <v>398</v>
      </c>
      <c r="BJ29" s="4">
        <v>419</v>
      </c>
      <c r="BK29" s="4">
        <v>727</v>
      </c>
      <c r="BL29" s="4">
        <v>304</v>
      </c>
      <c r="BM29" s="4">
        <v>214</v>
      </c>
      <c r="BN29" s="4">
        <v>209</v>
      </c>
      <c r="BO29" s="4">
        <v>268</v>
      </c>
      <c r="BP29" s="4">
        <v>180</v>
      </c>
      <c r="BQ29" s="4">
        <v>99</v>
      </c>
      <c r="BR29" s="4">
        <v>106</v>
      </c>
      <c r="BS29" s="4">
        <v>73</v>
      </c>
      <c r="BT29" s="4">
        <v>713</v>
      </c>
      <c r="BU29" s="4">
        <v>197</v>
      </c>
      <c r="BV29" s="4">
        <v>220</v>
      </c>
      <c r="BW29" s="4">
        <v>70</v>
      </c>
      <c r="BX29" s="4">
        <v>214</v>
      </c>
      <c r="BY29" s="4">
        <v>2423</v>
      </c>
      <c r="BZ29" s="4">
        <v>402</v>
      </c>
      <c r="CA29" s="4">
        <v>981</v>
      </c>
      <c r="CB29" s="4">
        <v>378</v>
      </c>
      <c r="CC29" s="4">
        <v>579</v>
      </c>
      <c r="CD29" s="4">
        <v>229</v>
      </c>
      <c r="CE29" s="4">
        <v>75</v>
      </c>
      <c r="CF29" s="4">
        <v>0.2</v>
      </c>
      <c r="CG29" s="4">
        <v>60.1</v>
      </c>
      <c r="CH29" s="4">
        <v>25.2</v>
      </c>
      <c r="CI29" s="4">
        <v>41.8</v>
      </c>
      <c r="CJ29" s="4">
        <v>29.4</v>
      </c>
      <c r="CK29" s="4">
        <v>179</v>
      </c>
      <c r="CL29" s="43">
        <v>24.6</v>
      </c>
    </row>
    <row r="30" spans="1:90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750</v>
      </c>
      <c r="I30" s="4">
        <v>214</v>
      </c>
      <c r="J30" s="4">
        <v>118</v>
      </c>
      <c r="K30" s="4">
        <v>96</v>
      </c>
      <c r="L30" s="4">
        <v>9</v>
      </c>
      <c r="M30" s="4">
        <v>526</v>
      </c>
      <c r="N30" s="4">
        <v>101</v>
      </c>
      <c r="O30" s="4">
        <v>278</v>
      </c>
      <c r="P30" s="4">
        <v>147</v>
      </c>
      <c r="Q30" s="4">
        <v>2356</v>
      </c>
      <c r="R30" s="4">
        <v>214</v>
      </c>
      <c r="S30" s="4">
        <v>118</v>
      </c>
      <c r="T30" s="4">
        <v>96</v>
      </c>
      <c r="U30" s="4">
        <v>19</v>
      </c>
      <c r="V30" s="4">
        <v>2123</v>
      </c>
      <c r="W30" s="4">
        <v>210</v>
      </c>
      <c r="X30" s="4">
        <v>1405</v>
      </c>
      <c r="Y30" s="4">
        <v>508</v>
      </c>
      <c r="Z30" s="4">
        <v>1577</v>
      </c>
      <c r="AA30" s="4">
        <v>393</v>
      </c>
      <c r="AB30" s="4">
        <v>752</v>
      </c>
      <c r="AC30" s="4">
        <v>359</v>
      </c>
      <c r="AD30" s="4">
        <v>73</v>
      </c>
      <c r="AE30" s="4">
        <v>1577</v>
      </c>
      <c r="AF30" s="4">
        <v>393</v>
      </c>
      <c r="AG30" s="4">
        <v>752</v>
      </c>
      <c r="AH30" s="4">
        <v>359</v>
      </c>
      <c r="AI30" s="4">
        <v>73</v>
      </c>
      <c r="AJ30" s="4">
        <v>189</v>
      </c>
      <c r="AK30" s="4">
        <v>3</v>
      </c>
      <c r="AL30" s="4">
        <v>67</v>
      </c>
      <c r="AM30" s="4">
        <v>84</v>
      </c>
      <c r="AN30" s="4">
        <v>36</v>
      </c>
      <c r="AO30" s="4">
        <v>610</v>
      </c>
      <c r="AP30" s="4">
        <v>10</v>
      </c>
      <c r="AQ30" s="4">
        <v>154</v>
      </c>
      <c r="AR30" s="4">
        <v>115</v>
      </c>
      <c r="AS30" s="4">
        <v>76</v>
      </c>
      <c r="AT30" s="4">
        <v>613</v>
      </c>
      <c r="AU30" s="4">
        <v>0</v>
      </c>
      <c r="AV30" s="4">
        <v>32</v>
      </c>
      <c r="AW30" s="4">
        <v>14</v>
      </c>
      <c r="AX30" s="4">
        <v>80</v>
      </c>
      <c r="AY30" s="4">
        <v>125</v>
      </c>
      <c r="AZ30" s="4">
        <v>205</v>
      </c>
      <c r="BA30" s="4">
        <v>192</v>
      </c>
      <c r="BB30" s="4">
        <v>102</v>
      </c>
      <c r="BC30" s="4">
        <v>0</v>
      </c>
      <c r="BD30" s="4">
        <v>103</v>
      </c>
      <c r="BE30" s="4">
        <v>42</v>
      </c>
      <c r="BF30" s="4">
        <v>284</v>
      </c>
      <c r="BG30" s="4">
        <v>458</v>
      </c>
      <c r="BH30" s="4">
        <v>790</v>
      </c>
      <c r="BI30" s="4">
        <v>327</v>
      </c>
      <c r="BJ30" s="4">
        <v>353</v>
      </c>
      <c r="BK30" s="4">
        <v>543</v>
      </c>
      <c r="BL30" s="4">
        <v>278</v>
      </c>
      <c r="BM30" s="4">
        <v>156</v>
      </c>
      <c r="BN30" s="4">
        <v>108</v>
      </c>
      <c r="BO30" s="4">
        <v>165</v>
      </c>
      <c r="BP30" s="4">
        <v>78</v>
      </c>
      <c r="BQ30" s="4">
        <v>96</v>
      </c>
      <c r="BR30" s="4">
        <v>104</v>
      </c>
      <c r="BS30" s="4">
        <v>100</v>
      </c>
      <c r="BT30" s="4">
        <v>526</v>
      </c>
      <c r="BU30" s="4">
        <v>101</v>
      </c>
      <c r="BV30" s="4">
        <v>215</v>
      </c>
      <c r="BW30" s="4">
        <v>52</v>
      </c>
      <c r="BX30" s="4">
        <v>142</v>
      </c>
      <c r="BY30" s="4">
        <v>2123</v>
      </c>
      <c r="BZ30" s="4">
        <v>210</v>
      </c>
      <c r="CA30" s="4">
        <v>1030</v>
      </c>
      <c r="CB30" s="4">
        <v>288</v>
      </c>
      <c r="CC30" s="4">
        <v>483</v>
      </c>
      <c r="CD30" s="4">
        <v>223</v>
      </c>
      <c r="CE30" s="4">
        <v>56</v>
      </c>
      <c r="CF30" s="4">
        <v>0.2</v>
      </c>
      <c r="CG30" s="4">
        <v>70.099999999999994</v>
      </c>
      <c r="CH30" s="4">
        <v>37.1</v>
      </c>
      <c r="CI30" s="4">
        <v>51.2</v>
      </c>
      <c r="CJ30" s="4">
        <v>28.7</v>
      </c>
      <c r="CK30" s="4">
        <v>204</v>
      </c>
      <c r="CL30" s="43">
        <v>37.6</v>
      </c>
    </row>
    <row r="31" spans="1:90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705</v>
      </c>
      <c r="I31" s="4">
        <v>168</v>
      </c>
      <c r="J31" s="4">
        <v>87</v>
      </c>
      <c r="K31" s="4">
        <v>81</v>
      </c>
      <c r="L31" s="4">
        <v>7</v>
      </c>
      <c r="M31" s="4">
        <v>530</v>
      </c>
      <c r="N31" s="4">
        <v>69</v>
      </c>
      <c r="O31" s="4">
        <v>277</v>
      </c>
      <c r="P31" s="4">
        <v>183</v>
      </c>
      <c r="Q31" s="4">
        <v>2391</v>
      </c>
      <c r="R31" s="4">
        <v>168</v>
      </c>
      <c r="S31" s="4">
        <v>87</v>
      </c>
      <c r="T31" s="4">
        <v>81</v>
      </c>
      <c r="U31" s="4">
        <v>28</v>
      </c>
      <c r="V31" s="4">
        <v>2195</v>
      </c>
      <c r="W31" s="4">
        <v>197</v>
      </c>
      <c r="X31" s="4">
        <v>1318</v>
      </c>
      <c r="Y31" s="4">
        <v>680</v>
      </c>
      <c r="Z31" s="4">
        <v>1761</v>
      </c>
      <c r="AA31" s="4">
        <v>415</v>
      </c>
      <c r="AB31" s="4">
        <v>963</v>
      </c>
      <c r="AC31" s="4">
        <v>332</v>
      </c>
      <c r="AD31" s="4">
        <v>50</v>
      </c>
      <c r="AE31" s="4">
        <v>1761</v>
      </c>
      <c r="AF31" s="4">
        <v>415</v>
      </c>
      <c r="AG31" s="4">
        <v>963</v>
      </c>
      <c r="AH31" s="4">
        <v>332</v>
      </c>
      <c r="AI31" s="4">
        <v>50</v>
      </c>
      <c r="AJ31" s="4">
        <v>190</v>
      </c>
      <c r="AK31" s="4">
        <v>2</v>
      </c>
      <c r="AL31" s="4">
        <v>99</v>
      </c>
      <c r="AM31" s="4">
        <v>67</v>
      </c>
      <c r="AN31" s="4">
        <v>22</v>
      </c>
      <c r="AO31" s="4">
        <v>639</v>
      </c>
      <c r="AP31" s="4">
        <v>35</v>
      </c>
      <c r="AQ31" s="4">
        <v>160</v>
      </c>
      <c r="AR31" s="4">
        <v>59</v>
      </c>
      <c r="AS31" s="4">
        <v>111</v>
      </c>
      <c r="AT31" s="4">
        <v>757</v>
      </c>
      <c r="AU31" s="4">
        <v>0</v>
      </c>
      <c r="AV31" s="4">
        <v>19</v>
      </c>
      <c r="AW31" s="4">
        <v>11</v>
      </c>
      <c r="AX31" s="4">
        <v>85</v>
      </c>
      <c r="AY31" s="4">
        <v>137</v>
      </c>
      <c r="AZ31" s="4">
        <v>243</v>
      </c>
      <c r="BA31" s="4">
        <v>118</v>
      </c>
      <c r="BB31" s="4">
        <v>92</v>
      </c>
      <c r="BC31" s="4">
        <v>0</v>
      </c>
      <c r="BD31" s="4">
        <v>71</v>
      </c>
      <c r="BE31" s="4">
        <v>25</v>
      </c>
      <c r="BF31" s="4">
        <v>278</v>
      </c>
      <c r="BG31" s="4">
        <v>458</v>
      </c>
      <c r="BH31" s="4">
        <v>883</v>
      </c>
      <c r="BI31" s="4">
        <v>243</v>
      </c>
      <c r="BJ31" s="4">
        <v>433</v>
      </c>
      <c r="BK31" s="4">
        <v>550</v>
      </c>
      <c r="BL31" s="4">
        <v>285</v>
      </c>
      <c r="BM31" s="4">
        <v>195</v>
      </c>
      <c r="BN31" s="4">
        <v>69</v>
      </c>
      <c r="BO31" s="4">
        <v>126</v>
      </c>
      <c r="BP31" s="4">
        <v>85</v>
      </c>
      <c r="BQ31" s="4">
        <v>121</v>
      </c>
      <c r="BR31" s="4">
        <v>121</v>
      </c>
      <c r="BS31" s="4">
        <v>98</v>
      </c>
      <c r="BT31" s="4">
        <v>530</v>
      </c>
      <c r="BU31" s="4">
        <v>62</v>
      </c>
      <c r="BV31" s="4">
        <v>233</v>
      </c>
      <c r="BW31" s="4">
        <v>41</v>
      </c>
      <c r="BX31" s="4">
        <v>174</v>
      </c>
      <c r="BY31" s="4">
        <v>2195</v>
      </c>
      <c r="BZ31" s="4">
        <v>130</v>
      </c>
      <c r="CA31" s="4">
        <v>1060</v>
      </c>
      <c r="CB31" s="4">
        <v>234</v>
      </c>
      <c r="CC31" s="4">
        <v>577</v>
      </c>
      <c r="CD31" s="4">
        <v>238</v>
      </c>
      <c r="CE31" s="4">
        <v>47</v>
      </c>
      <c r="CF31" s="4">
        <v>0.2</v>
      </c>
      <c r="CG31" s="4">
        <v>75.2</v>
      </c>
      <c r="CH31" s="4">
        <v>39.299999999999997</v>
      </c>
      <c r="CI31" s="4">
        <v>51.8</v>
      </c>
      <c r="CJ31" s="4">
        <v>35.5</v>
      </c>
      <c r="CK31" s="4">
        <v>219</v>
      </c>
      <c r="CL31" s="43">
        <v>39.799999999999997</v>
      </c>
    </row>
    <row r="32" spans="1:90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660</v>
      </c>
      <c r="I32" s="4">
        <v>243</v>
      </c>
      <c r="J32" s="4">
        <v>124</v>
      </c>
      <c r="K32" s="4">
        <v>120</v>
      </c>
      <c r="L32" s="4">
        <v>5</v>
      </c>
      <c r="M32" s="4">
        <v>412</v>
      </c>
      <c r="N32" s="4">
        <v>66</v>
      </c>
      <c r="O32" s="4">
        <v>196</v>
      </c>
      <c r="P32" s="4">
        <v>149</v>
      </c>
      <c r="Q32" s="4">
        <v>1819</v>
      </c>
      <c r="R32" s="4">
        <v>243</v>
      </c>
      <c r="S32" s="4">
        <v>124</v>
      </c>
      <c r="T32" s="4">
        <v>120</v>
      </c>
      <c r="U32" s="4">
        <v>9</v>
      </c>
      <c r="V32" s="4">
        <v>1566</v>
      </c>
      <c r="W32" s="4">
        <v>148</v>
      </c>
      <c r="X32" s="4">
        <v>879</v>
      </c>
      <c r="Y32" s="4">
        <v>539</v>
      </c>
      <c r="Z32" s="4">
        <v>1573</v>
      </c>
      <c r="AA32" s="4">
        <v>337</v>
      </c>
      <c r="AB32" s="4">
        <v>744</v>
      </c>
      <c r="AC32" s="4">
        <v>412</v>
      </c>
      <c r="AD32" s="4">
        <v>80</v>
      </c>
      <c r="AE32" s="4">
        <v>1504</v>
      </c>
      <c r="AF32" s="4">
        <v>337</v>
      </c>
      <c r="AG32" s="4">
        <v>737</v>
      </c>
      <c r="AH32" s="4">
        <v>393</v>
      </c>
      <c r="AI32" s="4">
        <v>37</v>
      </c>
      <c r="AJ32" s="4">
        <v>329</v>
      </c>
      <c r="AK32" s="4">
        <v>18</v>
      </c>
      <c r="AL32" s="4">
        <v>165</v>
      </c>
      <c r="AM32" s="4">
        <v>138</v>
      </c>
      <c r="AN32" s="4">
        <v>7</v>
      </c>
      <c r="AO32" s="4">
        <v>496</v>
      </c>
      <c r="AP32" s="4">
        <v>19</v>
      </c>
      <c r="AQ32" s="4">
        <v>128</v>
      </c>
      <c r="AR32" s="4">
        <v>102</v>
      </c>
      <c r="AS32" s="4">
        <v>89</v>
      </c>
      <c r="AT32" s="4">
        <v>739</v>
      </c>
      <c r="AU32" s="4">
        <v>0</v>
      </c>
      <c r="AV32" s="4">
        <v>12</v>
      </c>
      <c r="AW32" s="4">
        <v>25</v>
      </c>
      <c r="AX32" s="4">
        <v>66</v>
      </c>
      <c r="AY32" s="4">
        <v>131</v>
      </c>
      <c r="AZ32" s="4">
        <v>149</v>
      </c>
      <c r="BA32" s="4">
        <v>118</v>
      </c>
      <c r="BB32" s="4">
        <v>159</v>
      </c>
      <c r="BC32" s="4">
        <v>0</v>
      </c>
      <c r="BD32" s="4">
        <v>46</v>
      </c>
      <c r="BE32" s="4">
        <v>44</v>
      </c>
      <c r="BF32" s="4">
        <v>190</v>
      </c>
      <c r="BG32" s="4">
        <v>422</v>
      </c>
      <c r="BH32" s="4">
        <v>525</v>
      </c>
      <c r="BI32" s="4">
        <v>217</v>
      </c>
      <c r="BJ32" s="4">
        <v>376</v>
      </c>
      <c r="BK32" s="4">
        <v>420</v>
      </c>
      <c r="BL32" s="4">
        <v>196</v>
      </c>
      <c r="BM32" s="4">
        <v>153</v>
      </c>
      <c r="BN32" s="4">
        <v>71</v>
      </c>
      <c r="BO32" s="4">
        <v>137</v>
      </c>
      <c r="BP32" s="4">
        <v>69</v>
      </c>
      <c r="BQ32" s="4">
        <v>94</v>
      </c>
      <c r="BR32" s="4">
        <v>60</v>
      </c>
      <c r="BS32" s="4">
        <v>60</v>
      </c>
      <c r="BT32" s="4">
        <v>412</v>
      </c>
      <c r="BU32" s="4">
        <v>63</v>
      </c>
      <c r="BV32" s="4">
        <v>146</v>
      </c>
      <c r="BW32" s="4">
        <v>46</v>
      </c>
      <c r="BX32" s="4">
        <v>149</v>
      </c>
      <c r="BY32" s="4">
        <v>1566</v>
      </c>
      <c r="BZ32" s="4">
        <v>131</v>
      </c>
      <c r="CA32" s="4">
        <v>647</v>
      </c>
      <c r="CB32" s="4">
        <v>208</v>
      </c>
      <c r="CC32" s="4">
        <v>539</v>
      </c>
      <c r="CD32" s="4">
        <v>150</v>
      </c>
      <c r="CE32" s="4">
        <v>46</v>
      </c>
      <c r="CF32" s="4">
        <v>0.3</v>
      </c>
      <c r="CG32" s="4">
        <v>62.4</v>
      </c>
      <c r="CH32" s="4">
        <v>29.7</v>
      </c>
      <c r="CI32" s="4">
        <v>46.7</v>
      </c>
      <c r="CJ32" s="4">
        <v>36.4</v>
      </c>
      <c r="CK32" s="4">
        <v>120</v>
      </c>
      <c r="CL32" s="43">
        <v>28.6</v>
      </c>
    </row>
    <row r="33" spans="1:90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182</v>
      </c>
      <c r="I33" s="4">
        <v>45</v>
      </c>
      <c r="J33" s="4">
        <v>25</v>
      </c>
      <c r="K33" s="4">
        <v>20</v>
      </c>
      <c r="L33" s="4">
        <v>3</v>
      </c>
      <c r="M33" s="4">
        <v>135</v>
      </c>
      <c r="N33" s="4">
        <v>25</v>
      </c>
      <c r="O33" s="4">
        <v>64</v>
      </c>
      <c r="P33" s="4">
        <v>46</v>
      </c>
      <c r="Q33" s="4">
        <v>486</v>
      </c>
      <c r="R33" s="4">
        <v>45</v>
      </c>
      <c r="S33" s="4">
        <v>25</v>
      </c>
      <c r="T33" s="4">
        <v>20</v>
      </c>
      <c r="U33" s="4">
        <v>6</v>
      </c>
      <c r="V33" s="4">
        <v>436</v>
      </c>
      <c r="W33" s="4">
        <v>49</v>
      </c>
      <c r="X33" s="4">
        <v>268</v>
      </c>
      <c r="Y33" s="4">
        <v>119</v>
      </c>
      <c r="Z33" s="4">
        <v>443</v>
      </c>
      <c r="AA33" s="4">
        <v>66</v>
      </c>
      <c r="AB33" s="4">
        <v>265</v>
      </c>
      <c r="AC33" s="4">
        <v>101</v>
      </c>
      <c r="AD33" s="4">
        <v>11</v>
      </c>
      <c r="AE33" s="4">
        <v>291</v>
      </c>
      <c r="AF33" s="4">
        <v>64</v>
      </c>
      <c r="AG33" s="4">
        <v>166</v>
      </c>
      <c r="AH33" s="4">
        <v>56</v>
      </c>
      <c r="AI33" s="4">
        <v>5</v>
      </c>
      <c r="AJ33" s="4">
        <v>42</v>
      </c>
      <c r="AK33" s="4">
        <v>2</v>
      </c>
      <c r="AL33" s="4">
        <v>25</v>
      </c>
      <c r="AM33" s="4">
        <v>12</v>
      </c>
      <c r="AN33" s="4">
        <v>2</v>
      </c>
      <c r="AO33" s="4">
        <v>151</v>
      </c>
      <c r="AP33" s="4">
        <v>2</v>
      </c>
      <c r="AQ33" s="4">
        <v>18</v>
      </c>
      <c r="AR33" s="4">
        <v>11</v>
      </c>
      <c r="AS33" s="4">
        <v>44</v>
      </c>
      <c r="AT33" s="4">
        <v>217</v>
      </c>
      <c r="AU33" s="4">
        <v>0</v>
      </c>
      <c r="AV33" s="4">
        <v>0</v>
      </c>
      <c r="AW33" s="4">
        <v>8</v>
      </c>
      <c r="AX33" s="4">
        <v>6</v>
      </c>
      <c r="AY33" s="4">
        <v>38</v>
      </c>
      <c r="AZ33" s="4">
        <v>77</v>
      </c>
      <c r="BA33" s="4">
        <v>24</v>
      </c>
      <c r="BB33" s="4">
        <v>30</v>
      </c>
      <c r="BC33" s="4">
        <v>0</v>
      </c>
      <c r="BD33" s="4">
        <v>0</v>
      </c>
      <c r="BE33" s="4">
        <v>17</v>
      </c>
      <c r="BF33" s="4">
        <v>16</v>
      </c>
      <c r="BG33" s="4">
        <v>112</v>
      </c>
      <c r="BH33" s="4">
        <v>225</v>
      </c>
      <c r="BI33" s="4">
        <v>43</v>
      </c>
      <c r="BJ33" s="4">
        <v>73</v>
      </c>
      <c r="BK33" s="4">
        <v>135</v>
      </c>
      <c r="BL33" s="4">
        <v>64</v>
      </c>
      <c r="BM33" s="4">
        <v>46</v>
      </c>
      <c r="BN33" s="4">
        <v>25</v>
      </c>
      <c r="BO33" s="4">
        <v>31</v>
      </c>
      <c r="BP33" s="4">
        <v>36</v>
      </c>
      <c r="BQ33" s="4">
        <v>47</v>
      </c>
      <c r="BR33" s="4">
        <v>14</v>
      </c>
      <c r="BS33" s="4">
        <v>7</v>
      </c>
      <c r="BT33" s="4">
        <v>135</v>
      </c>
      <c r="BU33" s="4">
        <v>25</v>
      </c>
      <c r="BV33" s="4">
        <v>51</v>
      </c>
      <c r="BW33" s="4">
        <v>13</v>
      </c>
      <c r="BX33" s="4">
        <v>46</v>
      </c>
      <c r="BY33" s="4">
        <v>436</v>
      </c>
      <c r="BZ33" s="4">
        <v>49</v>
      </c>
      <c r="CA33" s="4">
        <v>210</v>
      </c>
      <c r="CB33" s="4">
        <v>58</v>
      </c>
      <c r="CC33" s="4">
        <v>119</v>
      </c>
      <c r="CD33" s="4">
        <v>51</v>
      </c>
      <c r="CE33" s="4">
        <v>13</v>
      </c>
      <c r="CF33" s="4">
        <v>0.1</v>
      </c>
      <c r="CG33" s="4">
        <v>74.2</v>
      </c>
      <c r="CH33" s="4">
        <v>35.200000000000003</v>
      </c>
      <c r="CI33" s="4">
        <v>47.4</v>
      </c>
      <c r="CJ33" s="4">
        <v>34.1</v>
      </c>
      <c r="CK33" s="4">
        <v>21</v>
      </c>
      <c r="CL33" s="43">
        <v>15.6</v>
      </c>
    </row>
    <row r="34" spans="1:90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808</v>
      </c>
      <c r="I34" s="4">
        <v>225</v>
      </c>
      <c r="J34" s="4">
        <v>97</v>
      </c>
      <c r="K34" s="4">
        <v>128</v>
      </c>
      <c r="L34" s="4">
        <v>9</v>
      </c>
      <c r="M34" s="4">
        <v>574</v>
      </c>
      <c r="N34" s="4">
        <v>69</v>
      </c>
      <c r="O34" s="4">
        <v>302</v>
      </c>
      <c r="P34" s="4">
        <v>203</v>
      </c>
      <c r="Q34" s="4">
        <v>2363</v>
      </c>
      <c r="R34" s="4">
        <v>225</v>
      </c>
      <c r="S34" s="4">
        <v>97</v>
      </c>
      <c r="T34" s="4">
        <v>128</v>
      </c>
      <c r="U34" s="4">
        <v>18</v>
      </c>
      <c r="V34" s="4">
        <v>2120</v>
      </c>
      <c r="W34" s="4">
        <v>141</v>
      </c>
      <c r="X34" s="4">
        <v>1373</v>
      </c>
      <c r="Y34" s="4">
        <v>606</v>
      </c>
      <c r="Z34" s="4">
        <v>1574</v>
      </c>
      <c r="AA34" s="4">
        <v>309</v>
      </c>
      <c r="AB34" s="4">
        <v>919</v>
      </c>
      <c r="AC34" s="4">
        <v>290</v>
      </c>
      <c r="AD34" s="4">
        <v>56</v>
      </c>
      <c r="AE34" s="4">
        <v>1574</v>
      </c>
      <c r="AF34" s="4">
        <v>309</v>
      </c>
      <c r="AG34" s="4">
        <v>919</v>
      </c>
      <c r="AH34" s="4">
        <v>290</v>
      </c>
      <c r="AI34" s="4">
        <v>56</v>
      </c>
      <c r="AJ34" s="4">
        <v>234</v>
      </c>
      <c r="AK34" s="4">
        <v>1</v>
      </c>
      <c r="AL34" s="4">
        <v>109</v>
      </c>
      <c r="AM34" s="4">
        <v>92</v>
      </c>
      <c r="AN34" s="4">
        <v>32</v>
      </c>
      <c r="AO34" s="4">
        <v>702</v>
      </c>
      <c r="AP34" s="4">
        <v>0</v>
      </c>
      <c r="AQ34" s="4">
        <v>50</v>
      </c>
      <c r="AR34" s="4">
        <v>76</v>
      </c>
      <c r="AS34" s="4">
        <v>121</v>
      </c>
      <c r="AT34" s="4">
        <v>626</v>
      </c>
      <c r="AU34" s="4">
        <v>0</v>
      </c>
      <c r="AV34" s="4">
        <v>23</v>
      </c>
      <c r="AW34" s="4">
        <v>12</v>
      </c>
      <c r="AX34" s="4">
        <v>54</v>
      </c>
      <c r="AY34" s="4">
        <v>173</v>
      </c>
      <c r="AZ34" s="4">
        <v>212</v>
      </c>
      <c r="BA34" s="4">
        <v>141</v>
      </c>
      <c r="BB34" s="4">
        <v>192</v>
      </c>
      <c r="BC34" s="4">
        <v>0</v>
      </c>
      <c r="BD34" s="4">
        <v>104</v>
      </c>
      <c r="BE34" s="4">
        <v>46</v>
      </c>
      <c r="BF34" s="4">
        <v>186</v>
      </c>
      <c r="BG34" s="4">
        <v>472</v>
      </c>
      <c r="BH34" s="4">
        <v>778</v>
      </c>
      <c r="BI34" s="4">
        <v>248</v>
      </c>
      <c r="BJ34" s="4">
        <v>530</v>
      </c>
      <c r="BK34" s="4">
        <v>576</v>
      </c>
      <c r="BL34" s="4">
        <v>302</v>
      </c>
      <c r="BM34" s="4">
        <v>204</v>
      </c>
      <c r="BN34" s="4">
        <v>69</v>
      </c>
      <c r="BO34" s="4">
        <v>122</v>
      </c>
      <c r="BP34" s="4">
        <v>130</v>
      </c>
      <c r="BQ34" s="4">
        <v>125</v>
      </c>
      <c r="BR34" s="4">
        <v>141</v>
      </c>
      <c r="BS34" s="4">
        <v>59</v>
      </c>
      <c r="BT34" s="4">
        <v>574</v>
      </c>
      <c r="BU34" s="4">
        <v>68</v>
      </c>
      <c r="BV34" s="4">
        <v>268</v>
      </c>
      <c r="BW34" s="4">
        <v>34</v>
      </c>
      <c r="BX34" s="4">
        <v>203</v>
      </c>
      <c r="BY34" s="4">
        <v>2120</v>
      </c>
      <c r="BZ34" s="4">
        <v>136</v>
      </c>
      <c r="CA34" s="4">
        <v>1213</v>
      </c>
      <c r="CB34" s="4">
        <v>159</v>
      </c>
      <c r="CC34" s="4">
        <v>606</v>
      </c>
      <c r="CD34" s="4">
        <v>268</v>
      </c>
      <c r="CE34" s="4">
        <v>34</v>
      </c>
      <c r="CF34" s="4">
        <v>0.2</v>
      </c>
      <c r="CG34" s="4">
        <v>71</v>
      </c>
      <c r="CH34" s="4">
        <v>37.4</v>
      </c>
      <c r="CI34" s="4">
        <v>52.4</v>
      </c>
      <c r="CJ34" s="4">
        <v>35.4</v>
      </c>
      <c r="CK34" s="4">
        <v>200</v>
      </c>
      <c r="CL34" s="43">
        <v>34.700000000000003</v>
      </c>
    </row>
    <row r="35" spans="1:90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643</v>
      </c>
      <c r="I35" s="4">
        <v>263</v>
      </c>
      <c r="J35" s="4">
        <v>138</v>
      </c>
      <c r="K35" s="4">
        <v>125</v>
      </c>
      <c r="L35" s="4">
        <v>18</v>
      </c>
      <c r="M35" s="4">
        <v>362</v>
      </c>
      <c r="N35" s="4">
        <v>119</v>
      </c>
      <c r="O35" s="4">
        <v>165</v>
      </c>
      <c r="P35" s="4">
        <v>78</v>
      </c>
      <c r="Q35" s="4">
        <v>1567</v>
      </c>
      <c r="R35" s="4">
        <v>263</v>
      </c>
      <c r="S35" s="4">
        <v>138</v>
      </c>
      <c r="T35" s="4">
        <v>125</v>
      </c>
      <c r="U35" s="4">
        <v>41</v>
      </c>
      <c r="V35" s="4">
        <v>1263</v>
      </c>
      <c r="W35" s="4">
        <v>255</v>
      </c>
      <c r="X35" s="4">
        <v>738</v>
      </c>
      <c r="Y35" s="4">
        <v>270</v>
      </c>
      <c r="Z35" s="4">
        <v>1368</v>
      </c>
      <c r="AA35" s="4">
        <v>197</v>
      </c>
      <c r="AB35" s="4">
        <v>540</v>
      </c>
      <c r="AC35" s="4">
        <v>426</v>
      </c>
      <c r="AD35" s="4">
        <v>205</v>
      </c>
      <c r="AE35" s="4">
        <v>1161</v>
      </c>
      <c r="AF35" s="4">
        <v>185</v>
      </c>
      <c r="AG35" s="4">
        <v>538</v>
      </c>
      <c r="AH35" s="4">
        <v>362</v>
      </c>
      <c r="AI35" s="4">
        <v>76</v>
      </c>
      <c r="AJ35" s="4">
        <v>249</v>
      </c>
      <c r="AK35" s="4">
        <v>0</v>
      </c>
      <c r="AL35" s="4">
        <v>102</v>
      </c>
      <c r="AM35" s="4">
        <v>102</v>
      </c>
      <c r="AN35" s="4">
        <v>46</v>
      </c>
      <c r="AO35" s="4">
        <v>563</v>
      </c>
      <c r="AP35" s="4">
        <v>19</v>
      </c>
      <c r="AQ35" s="4">
        <v>60</v>
      </c>
      <c r="AR35" s="4">
        <v>203</v>
      </c>
      <c r="AS35" s="4">
        <v>94</v>
      </c>
      <c r="AT35" s="4">
        <v>430</v>
      </c>
      <c r="AU35" s="4">
        <v>0</v>
      </c>
      <c r="AV35" s="4">
        <v>29</v>
      </c>
      <c r="AW35" s="4">
        <v>24</v>
      </c>
      <c r="AX35" s="4">
        <v>36</v>
      </c>
      <c r="AY35" s="4">
        <v>151</v>
      </c>
      <c r="AZ35" s="4">
        <v>103</v>
      </c>
      <c r="BA35" s="4">
        <v>206</v>
      </c>
      <c r="BB35" s="4">
        <v>94</v>
      </c>
      <c r="BC35" s="4">
        <v>0</v>
      </c>
      <c r="BD35" s="4">
        <v>109</v>
      </c>
      <c r="BE35" s="4">
        <v>62</v>
      </c>
      <c r="BF35" s="4">
        <v>101</v>
      </c>
      <c r="BG35" s="4">
        <v>468</v>
      </c>
      <c r="BH35" s="4">
        <v>333</v>
      </c>
      <c r="BI35" s="4">
        <v>313</v>
      </c>
      <c r="BJ35" s="4">
        <v>181</v>
      </c>
      <c r="BK35" s="4">
        <v>370</v>
      </c>
      <c r="BL35" s="4">
        <v>167</v>
      </c>
      <c r="BM35" s="4">
        <v>85</v>
      </c>
      <c r="BN35" s="4">
        <v>119</v>
      </c>
      <c r="BO35" s="4">
        <v>142</v>
      </c>
      <c r="BP35" s="4">
        <v>77</v>
      </c>
      <c r="BQ35" s="4">
        <v>60</v>
      </c>
      <c r="BR35" s="4">
        <v>44</v>
      </c>
      <c r="BS35" s="4">
        <v>47</v>
      </c>
      <c r="BT35" s="4">
        <v>362</v>
      </c>
      <c r="BU35" s="4">
        <v>114</v>
      </c>
      <c r="BV35" s="4">
        <v>141</v>
      </c>
      <c r="BW35" s="4">
        <v>21</v>
      </c>
      <c r="BX35" s="4">
        <v>78</v>
      </c>
      <c r="BY35" s="4">
        <v>1263</v>
      </c>
      <c r="BZ35" s="4">
        <v>231</v>
      </c>
      <c r="CA35" s="4">
        <v>623</v>
      </c>
      <c r="CB35" s="4">
        <v>95</v>
      </c>
      <c r="CC35" s="4">
        <v>270</v>
      </c>
      <c r="CD35" s="4">
        <v>145</v>
      </c>
      <c r="CE35" s="4">
        <v>22</v>
      </c>
      <c r="CF35" s="4">
        <v>1</v>
      </c>
      <c r="CG35" s="4">
        <v>56.3</v>
      </c>
      <c r="CH35" s="4">
        <v>25.7</v>
      </c>
      <c r="CI35" s="4">
        <v>45.1</v>
      </c>
      <c r="CJ35" s="4">
        <v>23</v>
      </c>
      <c r="CK35" s="4">
        <v>91</v>
      </c>
      <c r="CL35" s="43">
        <v>24.6</v>
      </c>
    </row>
    <row r="36" spans="1:90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1456</v>
      </c>
      <c r="I36" s="4">
        <v>533</v>
      </c>
      <c r="J36" s="4">
        <v>167</v>
      </c>
      <c r="K36" s="4">
        <v>366</v>
      </c>
      <c r="L36" s="4">
        <v>7</v>
      </c>
      <c r="M36" s="4">
        <v>915</v>
      </c>
      <c r="N36" s="4">
        <v>184</v>
      </c>
      <c r="O36" s="4">
        <v>524</v>
      </c>
      <c r="P36" s="4">
        <v>207</v>
      </c>
      <c r="Q36" s="4">
        <v>3648</v>
      </c>
      <c r="R36" s="4">
        <v>533</v>
      </c>
      <c r="S36" s="4">
        <v>167</v>
      </c>
      <c r="T36" s="4">
        <v>366</v>
      </c>
      <c r="U36" s="4">
        <v>15</v>
      </c>
      <c r="V36" s="4">
        <v>3100</v>
      </c>
      <c r="W36" s="4">
        <v>371</v>
      </c>
      <c r="X36" s="4">
        <v>2217</v>
      </c>
      <c r="Y36" s="4">
        <v>513</v>
      </c>
      <c r="Z36" s="4">
        <v>2698</v>
      </c>
      <c r="AA36" s="4">
        <v>502</v>
      </c>
      <c r="AB36" s="4">
        <v>1380</v>
      </c>
      <c r="AC36" s="4">
        <v>733</v>
      </c>
      <c r="AD36" s="4">
        <v>83</v>
      </c>
      <c r="AE36" s="4">
        <v>2698</v>
      </c>
      <c r="AF36" s="4">
        <v>502</v>
      </c>
      <c r="AG36" s="4">
        <v>1380</v>
      </c>
      <c r="AH36" s="4">
        <v>733</v>
      </c>
      <c r="AI36" s="4">
        <v>83</v>
      </c>
      <c r="AJ36" s="4">
        <v>522</v>
      </c>
      <c r="AK36" s="4">
        <v>27</v>
      </c>
      <c r="AL36" s="4">
        <v>159</v>
      </c>
      <c r="AM36" s="4">
        <v>279</v>
      </c>
      <c r="AN36" s="4">
        <v>56</v>
      </c>
      <c r="AO36" s="4">
        <v>1058</v>
      </c>
      <c r="AP36" s="4">
        <v>118</v>
      </c>
      <c r="AQ36" s="4">
        <v>224</v>
      </c>
      <c r="AR36" s="4">
        <v>157</v>
      </c>
      <c r="AS36" s="4">
        <v>224</v>
      </c>
      <c r="AT36" s="4">
        <v>918</v>
      </c>
      <c r="AU36" s="4">
        <v>0</v>
      </c>
      <c r="AV36" s="4">
        <v>44</v>
      </c>
      <c r="AW36" s="4">
        <v>120</v>
      </c>
      <c r="AX36" s="4">
        <v>261</v>
      </c>
      <c r="AY36" s="4">
        <v>263</v>
      </c>
      <c r="AZ36" s="4">
        <v>283</v>
      </c>
      <c r="BA36" s="4">
        <v>382</v>
      </c>
      <c r="BB36" s="4">
        <v>102</v>
      </c>
      <c r="BC36" s="4">
        <v>0</v>
      </c>
      <c r="BD36" s="4">
        <v>165</v>
      </c>
      <c r="BE36" s="4">
        <v>412</v>
      </c>
      <c r="BF36" s="4">
        <v>866</v>
      </c>
      <c r="BG36" s="4">
        <v>675</v>
      </c>
      <c r="BH36" s="4">
        <v>831</v>
      </c>
      <c r="BI36" s="4">
        <v>506</v>
      </c>
      <c r="BJ36" s="4">
        <v>193</v>
      </c>
      <c r="BK36" s="4">
        <v>923</v>
      </c>
      <c r="BL36" s="4">
        <v>524</v>
      </c>
      <c r="BM36" s="4">
        <v>208</v>
      </c>
      <c r="BN36" s="4">
        <v>191</v>
      </c>
      <c r="BO36" s="4">
        <v>263</v>
      </c>
      <c r="BP36" s="4">
        <v>266</v>
      </c>
      <c r="BQ36" s="4">
        <v>206</v>
      </c>
      <c r="BR36" s="4">
        <v>133</v>
      </c>
      <c r="BS36" s="4">
        <v>54</v>
      </c>
      <c r="BT36" s="4">
        <v>915</v>
      </c>
      <c r="BU36" s="4">
        <v>183</v>
      </c>
      <c r="BV36" s="4">
        <v>452</v>
      </c>
      <c r="BW36" s="4">
        <v>65</v>
      </c>
      <c r="BX36" s="4">
        <v>207</v>
      </c>
      <c r="BY36" s="4">
        <v>3100</v>
      </c>
      <c r="BZ36" s="4">
        <v>366</v>
      </c>
      <c r="CA36" s="4">
        <v>1895</v>
      </c>
      <c r="CB36" s="4">
        <v>287</v>
      </c>
      <c r="CC36" s="4">
        <v>513</v>
      </c>
      <c r="CD36" s="4">
        <v>459</v>
      </c>
      <c r="CE36" s="4">
        <v>65</v>
      </c>
      <c r="CF36" s="4">
        <v>0.5</v>
      </c>
      <c r="CG36" s="4">
        <v>62.8</v>
      </c>
      <c r="CH36" s="4">
        <v>36</v>
      </c>
      <c r="CI36" s="4">
        <v>56.8</v>
      </c>
      <c r="CJ36" s="4">
        <v>22.5</v>
      </c>
      <c r="CK36" s="4">
        <v>187</v>
      </c>
      <c r="CL36" s="43">
        <v>20.3</v>
      </c>
    </row>
    <row r="37" spans="1:90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865</v>
      </c>
      <c r="I37" s="4">
        <v>277</v>
      </c>
      <c r="J37" s="4">
        <v>110</v>
      </c>
      <c r="K37" s="4">
        <v>167</v>
      </c>
      <c r="L37" s="4">
        <v>3</v>
      </c>
      <c r="M37" s="4">
        <v>584</v>
      </c>
      <c r="N37" s="4">
        <v>156</v>
      </c>
      <c r="O37" s="4">
        <v>312</v>
      </c>
      <c r="P37" s="4">
        <v>116</v>
      </c>
      <c r="Q37" s="4">
        <v>2230</v>
      </c>
      <c r="R37" s="4">
        <v>277</v>
      </c>
      <c r="S37" s="4">
        <v>110</v>
      </c>
      <c r="T37" s="4">
        <v>167</v>
      </c>
      <c r="U37" s="4">
        <v>10</v>
      </c>
      <c r="V37" s="4">
        <v>1942</v>
      </c>
      <c r="W37" s="4">
        <v>315</v>
      </c>
      <c r="X37" s="4">
        <v>1307</v>
      </c>
      <c r="Y37" s="4">
        <v>319</v>
      </c>
      <c r="Z37" s="4">
        <v>1827</v>
      </c>
      <c r="AA37" s="4">
        <v>325</v>
      </c>
      <c r="AB37" s="4">
        <v>874</v>
      </c>
      <c r="AC37" s="4">
        <v>550</v>
      </c>
      <c r="AD37" s="4">
        <v>78</v>
      </c>
      <c r="AE37" s="4">
        <v>1827</v>
      </c>
      <c r="AF37" s="4">
        <v>325</v>
      </c>
      <c r="AG37" s="4">
        <v>874</v>
      </c>
      <c r="AH37" s="4">
        <v>550</v>
      </c>
      <c r="AI37" s="4">
        <v>78</v>
      </c>
      <c r="AJ37" s="4">
        <v>273</v>
      </c>
      <c r="AK37" s="4">
        <v>6</v>
      </c>
      <c r="AL37" s="4">
        <v>97</v>
      </c>
      <c r="AM37" s="4">
        <v>125</v>
      </c>
      <c r="AN37" s="4">
        <v>44</v>
      </c>
      <c r="AO37" s="4">
        <v>843</v>
      </c>
      <c r="AP37" s="4">
        <v>53</v>
      </c>
      <c r="AQ37" s="4">
        <v>142</v>
      </c>
      <c r="AR37" s="4">
        <v>81</v>
      </c>
      <c r="AS37" s="4">
        <v>92</v>
      </c>
      <c r="AT37" s="4">
        <v>616</v>
      </c>
      <c r="AU37" s="4">
        <v>0</v>
      </c>
      <c r="AV37" s="4">
        <v>52</v>
      </c>
      <c r="AW37" s="4">
        <v>90</v>
      </c>
      <c r="AX37" s="4">
        <v>145</v>
      </c>
      <c r="AY37" s="4">
        <v>112</v>
      </c>
      <c r="AZ37" s="4">
        <v>187</v>
      </c>
      <c r="BA37" s="4">
        <v>238</v>
      </c>
      <c r="BB37" s="4">
        <v>41</v>
      </c>
      <c r="BC37" s="4">
        <v>0</v>
      </c>
      <c r="BD37" s="4">
        <v>187</v>
      </c>
      <c r="BE37" s="4">
        <v>239</v>
      </c>
      <c r="BF37" s="4">
        <v>458</v>
      </c>
      <c r="BG37" s="4">
        <v>309</v>
      </c>
      <c r="BH37" s="4">
        <v>568</v>
      </c>
      <c r="BI37" s="4">
        <v>395</v>
      </c>
      <c r="BJ37" s="4">
        <v>73</v>
      </c>
      <c r="BK37" s="4">
        <v>595</v>
      </c>
      <c r="BL37" s="4">
        <v>312</v>
      </c>
      <c r="BM37" s="4">
        <v>123</v>
      </c>
      <c r="BN37" s="4">
        <v>160</v>
      </c>
      <c r="BO37" s="4">
        <v>226</v>
      </c>
      <c r="BP37" s="4">
        <v>149</v>
      </c>
      <c r="BQ37" s="4">
        <v>107</v>
      </c>
      <c r="BR37" s="4">
        <v>73</v>
      </c>
      <c r="BS37" s="4">
        <v>40</v>
      </c>
      <c r="BT37" s="4">
        <v>584</v>
      </c>
      <c r="BU37" s="4">
        <v>156</v>
      </c>
      <c r="BV37" s="4">
        <v>286</v>
      </c>
      <c r="BW37" s="4">
        <v>19</v>
      </c>
      <c r="BX37" s="4">
        <v>113</v>
      </c>
      <c r="BY37" s="4">
        <v>1942</v>
      </c>
      <c r="BZ37" s="4">
        <v>315</v>
      </c>
      <c r="CA37" s="4">
        <v>1188</v>
      </c>
      <c r="CB37" s="4">
        <v>74</v>
      </c>
      <c r="CC37" s="4">
        <v>302</v>
      </c>
      <c r="CD37" s="4">
        <v>290</v>
      </c>
      <c r="CE37" s="4">
        <v>22</v>
      </c>
      <c r="CF37" s="4">
        <v>0.5</v>
      </c>
      <c r="CG37" s="4">
        <v>67.5</v>
      </c>
      <c r="CH37" s="4">
        <v>36.1</v>
      </c>
      <c r="CI37" s="4">
        <v>52.4</v>
      </c>
      <c r="CJ37" s="4">
        <v>20.7</v>
      </c>
      <c r="CK37" s="4">
        <v>113</v>
      </c>
      <c r="CL37" s="43">
        <v>19</v>
      </c>
    </row>
    <row r="38" spans="1:90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928</v>
      </c>
      <c r="I38" s="4">
        <v>328</v>
      </c>
      <c r="J38" s="4">
        <v>197</v>
      </c>
      <c r="K38" s="4">
        <v>130</v>
      </c>
      <c r="L38" s="4">
        <v>12</v>
      </c>
      <c r="M38" s="4">
        <v>589</v>
      </c>
      <c r="N38" s="4">
        <v>155</v>
      </c>
      <c r="O38" s="4">
        <v>267</v>
      </c>
      <c r="P38" s="4">
        <v>167</v>
      </c>
      <c r="Q38" s="4">
        <v>2418</v>
      </c>
      <c r="R38" s="4">
        <v>328</v>
      </c>
      <c r="S38" s="4">
        <v>197</v>
      </c>
      <c r="T38" s="4">
        <v>130</v>
      </c>
      <c r="U38" s="4">
        <v>34</v>
      </c>
      <c r="V38" s="4">
        <v>2057</v>
      </c>
      <c r="W38" s="4">
        <v>322</v>
      </c>
      <c r="X38" s="4">
        <v>1168</v>
      </c>
      <c r="Y38" s="4">
        <v>566</v>
      </c>
      <c r="Z38" s="4">
        <v>1919</v>
      </c>
      <c r="AA38" s="4">
        <v>390</v>
      </c>
      <c r="AB38" s="4">
        <v>966</v>
      </c>
      <c r="AC38" s="4">
        <v>384</v>
      </c>
      <c r="AD38" s="4">
        <v>179</v>
      </c>
      <c r="AE38" s="4">
        <v>1781</v>
      </c>
      <c r="AF38" s="4">
        <v>389</v>
      </c>
      <c r="AG38" s="4">
        <v>948</v>
      </c>
      <c r="AH38" s="4">
        <v>351</v>
      </c>
      <c r="AI38" s="4">
        <v>93</v>
      </c>
      <c r="AJ38" s="4">
        <v>298</v>
      </c>
      <c r="AK38" s="4">
        <v>27</v>
      </c>
      <c r="AL38" s="4">
        <v>138</v>
      </c>
      <c r="AM38" s="4">
        <v>84</v>
      </c>
      <c r="AN38" s="4">
        <v>48</v>
      </c>
      <c r="AO38" s="4">
        <v>743</v>
      </c>
      <c r="AP38" s="4">
        <v>70</v>
      </c>
      <c r="AQ38" s="4">
        <v>101</v>
      </c>
      <c r="AR38" s="4">
        <v>206</v>
      </c>
      <c r="AS38" s="4">
        <v>151</v>
      </c>
      <c r="AT38" s="4">
        <v>649</v>
      </c>
      <c r="AU38" s="4">
        <v>0</v>
      </c>
      <c r="AV38" s="4">
        <v>51</v>
      </c>
      <c r="AW38" s="4">
        <v>108</v>
      </c>
      <c r="AX38" s="4">
        <v>122</v>
      </c>
      <c r="AY38" s="4">
        <v>163</v>
      </c>
      <c r="AZ38" s="4">
        <v>209</v>
      </c>
      <c r="BA38" s="4">
        <v>172</v>
      </c>
      <c r="BB38" s="4">
        <v>102</v>
      </c>
      <c r="BC38" s="4">
        <v>0</v>
      </c>
      <c r="BD38" s="4">
        <v>158</v>
      </c>
      <c r="BE38" s="4">
        <v>329</v>
      </c>
      <c r="BF38" s="4">
        <v>328</v>
      </c>
      <c r="BG38" s="4">
        <v>422</v>
      </c>
      <c r="BH38" s="4">
        <v>656</v>
      </c>
      <c r="BI38" s="4">
        <v>253</v>
      </c>
      <c r="BJ38" s="4">
        <v>272</v>
      </c>
      <c r="BK38" s="4">
        <v>592</v>
      </c>
      <c r="BL38" s="4">
        <v>267</v>
      </c>
      <c r="BM38" s="4">
        <v>170</v>
      </c>
      <c r="BN38" s="4">
        <v>155</v>
      </c>
      <c r="BO38" s="4">
        <v>213</v>
      </c>
      <c r="BP38" s="4">
        <v>111</v>
      </c>
      <c r="BQ38" s="4">
        <v>105</v>
      </c>
      <c r="BR38" s="4">
        <v>86</v>
      </c>
      <c r="BS38" s="4">
        <v>78</v>
      </c>
      <c r="BT38" s="4">
        <v>589</v>
      </c>
      <c r="BU38" s="4">
        <v>152</v>
      </c>
      <c r="BV38" s="4">
        <v>243</v>
      </c>
      <c r="BW38" s="4">
        <v>24</v>
      </c>
      <c r="BX38" s="4">
        <v>167</v>
      </c>
      <c r="BY38" s="4">
        <v>2057</v>
      </c>
      <c r="BZ38" s="4">
        <v>309</v>
      </c>
      <c r="CA38" s="4">
        <v>1063</v>
      </c>
      <c r="CB38" s="4">
        <v>105</v>
      </c>
      <c r="CC38" s="4">
        <v>566</v>
      </c>
      <c r="CD38" s="4">
        <v>243</v>
      </c>
      <c r="CE38" s="4">
        <v>24</v>
      </c>
      <c r="CF38" s="4">
        <v>0.4</v>
      </c>
      <c r="CG38" s="4">
        <v>63.5</v>
      </c>
      <c r="CH38" s="4">
        <v>28.8</v>
      </c>
      <c r="CI38" s="4">
        <v>45.1</v>
      </c>
      <c r="CJ38" s="4">
        <v>28.7</v>
      </c>
      <c r="CK38" s="4">
        <v>164</v>
      </c>
      <c r="CL38" s="43">
        <v>27.7</v>
      </c>
    </row>
    <row r="39" spans="1:90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1014</v>
      </c>
      <c r="I39" s="4">
        <v>380</v>
      </c>
      <c r="J39" s="4">
        <v>189</v>
      </c>
      <c r="K39" s="4">
        <v>191</v>
      </c>
      <c r="L39" s="4">
        <v>16</v>
      </c>
      <c r="M39" s="4">
        <v>618</v>
      </c>
      <c r="N39" s="4">
        <v>70</v>
      </c>
      <c r="O39" s="4">
        <v>285</v>
      </c>
      <c r="P39" s="4">
        <v>263</v>
      </c>
      <c r="Q39" s="4">
        <v>2649</v>
      </c>
      <c r="R39" s="4">
        <v>380</v>
      </c>
      <c r="S39" s="4">
        <v>189</v>
      </c>
      <c r="T39" s="4">
        <v>191</v>
      </c>
      <c r="U39" s="4">
        <v>41</v>
      </c>
      <c r="V39" s="4">
        <v>2229</v>
      </c>
      <c r="W39" s="4">
        <v>139</v>
      </c>
      <c r="X39" s="4">
        <v>1351</v>
      </c>
      <c r="Y39" s="4">
        <v>739</v>
      </c>
      <c r="Z39" s="4">
        <v>1768</v>
      </c>
      <c r="AA39" s="4">
        <v>366</v>
      </c>
      <c r="AB39" s="4">
        <v>917</v>
      </c>
      <c r="AC39" s="4">
        <v>426</v>
      </c>
      <c r="AD39" s="4">
        <v>59</v>
      </c>
      <c r="AE39" s="4">
        <v>1768</v>
      </c>
      <c r="AF39" s="4">
        <v>366</v>
      </c>
      <c r="AG39" s="4">
        <v>917</v>
      </c>
      <c r="AH39" s="4">
        <v>426</v>
      </c>
      <c r="AI39" s="4">
        <v>59</v>
      </c>
      <c r="AJ39" s="4">
        <v>347</v>
      </c>
      <c r="AK39" s="4">
        <v>6</v>
      </c>
      <c r="AL39" s="4">
        <v>124</v>
      </c>
      <c r="AM39" s="4">
        <v>176</v>
      </c>
      <c r="AN39" s="4">
        <v>40</v>
      </c>
      <c r="AO39" s="4">
        <v>531</v>
      </c>
      <c r="AP39" s="4">
        <v>25</v>
      </c>
      <c r="AQ39" s="4">
        <v>174</v>
      </c>
      <c r="AR39" s="4">
        <v>111</v>
      </c>
      <c r="AS39" s="4">
        <v>174</v>
      </c>
      <c r="AT39" s="4">
        <v>753</v>
      </c>
      <c r="AU39" s="4">
        <v>0</v>
      </c>
      <c r="AV39" s="4">
        <v>25</v>
      </c>
      <c r="AW39" s="4">
        <v>36</v>
      </c>
      <c r="AX39" s="4">
        <v>123</v>
      </c>
      <c r="AY39" s="4">
        <v>198</v>
      </c>
      <c r="AZ39" s="4">
        <v>269</v>
      </c>
      <c r="BA39" s="4">
        <v>222</v>
      </c>
      <c r="BB39" s="4">
        <v>141</v>
      </c>
      <c r="BC39" s="4">
        <v>0</v>
      </c>
      <c r="BD39" s="4">
        <v>84</v>
      </c>
      <c r="BE39" s="4">
        <v>102</v>
      </c>
      <c r="BF39" s="4">
        <v>353</v>
      </c>
      <c r="BG39" s="4">
        <v>600</v>
      </c>
      <c r="BH39" s="4">
        <v>838</v>
      </c>
      <c r="BI39" s="4">
        <v>303</v>
      </c>
      <c r="BJ39" s="4">
        <v>369</v>
      </c>
      <c r="BK39" s="4">
        <v>627</v>
      </c>
      <c r="BL39" s="4">
        <v>285</v>
      </c>
      <c r="BM39" s="4">
        <v>272</v>
      </c>
      <c r="BN39" s="4">
        <v>70</v>
      </c>
      <c r="BO39" s="4">
        <v>131</v>
      </c>
      <c r="BP39" s="4">
        <v>152</v>
      </c>
      <c r="BQ39" s="4">
        <v>133</v>
      </c>
      <c r="BR39" s="4">
        <v>131</v>
      </c>
      <c r="BS39" s="4">
        <v>80</v>
      </c>
      <c r="BT39" s="4">
        <v>618</v>
      </c>
      <c r="BU39" s="4">
        <v>70</v>
      </c>
      <c r="BV39" s="4">
        <v>255</v>
      </c>
      <c r="BW39" s="4">
        <v>27</v>
      </c>
      <c r="BX39" s="4">
        <v>258</v>
      </c>
      <c r="BY39" s="4">
        <v>2229</v>
      </c>
      <c r="BZ39" s="4">
        <v>139</v>
      </c>
      <c r="CA39" s="4">
        <v>1204</v>
      </c>
      <c r="CB39" s="4">
        <v>124</v>
      </c>
      <c r="CC39" s="4">
        <v>720</v>
      </c>
      <c r="CD39" s="4">
        <v>259</v>
      </c>
      <c r="CE39" s="4">
        <v>27</v>
      </c>
      <c r="CF39" s="4">
        <v>0.2</v>
      </c>
      <c r="CG39" s="4">
        <v>60.9</v>
      </c>
      <c r="CH39" s="4">
        <v>28.1</v>
      </c>
      <c r="CI39" s="4">
        <v>45.5</v>
      </c>
      <c r="CJ39" s="4">
        <v>43.4</v>
      </c>
      <c r="CK39" s="4">
        <v>211</v>
      </c>
      <c r="CL39" s="43">
        <v>33.700000000000003</v>
      </c>
    </row>
    <row r="40" spans="1:90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909</v>
      </c>
      <c r="I40" s="51">
        <v>422</v>
      </c>
      <c r="J40" s="51">
        <v>185</v>
      </c>
      <c r="K40" s="51">
        <v>237</v>
      </c>
      <c r="L40" s="51">
        <v>10</v>
      </c>
      <c r="M40" s="51">
        <v>477</v>
      </c>
      <c r="N40" s="51">
        <v>92</v>
      </c>
      <c r="O40" s="51">
        <v>209</v>
      </c>
      <c r="P40" s="51">
        <v>175</v>
      </c>
      <c r="Q40" s="51">
        <v>2111</v>
      </c>
      <c r="R40" s="51">
        <v>422</v>
      </c>
      <c r="S40" s="51">
        <v>185</v>
      </c>
      <c r="T40" s="51">
        <v>237</v>
      </c>
      <c r="U40" s="51">
        <v>21</v>
      </c>
      <c r="V40" s="51">
        <v>1668</v>
      </c>
      <c r="W40" s="51">
        <v>185</v>
      </c>
      <c r="X40" s="51">
        <v>962</v>
      </c>
      <c r="Y40" s="51">
        <v>522</v>
      </c>
      <c r="Z40" s="51">
        <v>1689</v>
      </c>
      <c r="AA40" s="51">
        <v>363</v>
      </c>
      <c r="AB40" s="51">
        <v>852</v>
      </c>
      <c r="AC40" s="51">
        <v>416</v>
      </c>
      <c r="AD40" s="51">
        <v>57</v>
      </c>
      <c r="AE40" s="51">
        <v>1633</v>
      </c>
      <c r="AF40" s="51">
        <v>330</v>
      </c>
      <c r="AG40" s="51">
        <v>830</v>
      </c>
      <c r="AH40" s="51">
        <v>416</v>
      </c>
      <c r="AI40" s="51">
        <v>57</v>
      </c>
      <c r="AJ40" s="51">
        <v>404</v>
      </c>
      <c r="AK40" s="51">
        <v>9</v>
      </c>
      <c r="AL40" s="51">
        <v>166</v>
      </c>
      <c r="AM40" s="51">
        <v>198</v>
      </c>
      <c r="AN40" s="51">
        <v>30</v>
      </c>
      <c r="AO40" s="51">
        <v>587</v>
      </c>
      <c r="AP40" s="51">
        <v>12</v>
      </c>
      <c r="AQ40" s="51">
        <v>116</v>
      </c>
      <c r="AR40" s="51">
        <v>91</v>
      </c>
      <c r="AS40" s="51">
        <v>190</v>
      </c>
      <c r="AT40" s="51">
        <v>693</v>
      </c>
      <c r="AU40" s="51">
        <v>0</v>
      </c>
      <c r="AV40" s="51">
        <v>37</v>
      </c>
      <c r="AW40" s="51">
        <v>8</v>
      </c>
      <c r="AX40" s="51">
        <v>77</v>
      </c>
      <c r="AY40" s="51">
        <v>198</v>
      </c>
      <c r="AZ40" s="51">
        <v>267</v>
      </c>
      <c r="BA40" s="51">
        <v>229</v>
      </c>
      <c r="BB40" s="51">
        <v>92</v>
      </c>
      <c r="BC40" s="51">
        <v>0</v>
      </c>
      <c r="BD40" s="51">
        <v>133</v>
      </c>
      <c r="BE40" s="51">
        <v>13</v>
      </c>
      <c r="BF40" s="51">
        <v>175</v>
      </c>
      <c r="BG40" s="51">
        <v>465</v>
      </c>
      <c r="BH40" s="51">
        <v>796</v>
      </c>
      <c r="BI40" s="51">
        <v>322</v>
      </c>
      <c r="BJ40" s="51">
        <v>207</v>
      </c>
      <c r="BK40" s="51">
        <v>482</v>
      </c>
      <c r="BL40" s="51">
        <v>209</v>
      </c>
      <c r="BM40" s="51">
        <v>176</v>
      </c>
      <c r="BN40" s="51">
        <v>96</v>
      </c>
      <c r="BO40" s="51">
        <v>130</v>
      </c>
      <c r="BP40" s="51">
        <v>108</v>
      </c>
      <c r="BQ40" s="51">
        <v>107</v>
      </c>
      <c r="BR40" s="51">
        <v>82</v>
      </c>
      <c r="BS40" s="51">
        <v>54</v>
      </c>
      <c r="BT40" s="51">
        <v>477</v>
      </c>
      <c r="BU40" s="51">
        <v>92</v>
      </c>
      <c r="BV40" s="51">
        <v>166</v>
      </c>
      <c r="BW40" s="51">
        <v>40</v>
      </c>
      <c r="BX40" s="51">
        <v>174</v>
      </c>
      <c r="BY40" s="51">
        <v>1668</v>
      </c>
      <c r="BZ40" s="51">
        <v>185</v>
      </c>
      <c r="CA40" s="51">
        <v>754</v>
      </c>
      <c r="CB40" s="51">
        <v>185</v>
      </c>
      <c r="CC40" s="51">
        <v>515</v>
      </c>
      <c r="CD40" s="51">
        <v>169</v>
      </c>
      <c r="CE40" s="51">
        <v>40</v>
      </c>
      <c r="CF40" s="51">
        <v>0.3</v>
      </c>
      <c r="CG40" s="51">
        <v>52.5</v>
      </c>
      <c r="CH40" s="51">
        <v>23</v>
      </c>
      <c r="CI40" s="51">
        <v>43.4</v>
      </c>
      <c r="CJ40" s="51">
        <v>36.5</v>
      </c>
      <c r="CK40" s="51">
        <v>136</v>
      </c>
      <c r="CL40" s="52">
        <v>28.2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9" width="15" customWidth="1"/>
    <col min="10" max="13" width="15.140625" customWidth="1"/>
    <col min="14" max="14" width="19.28515625" customWidth="1"/>
    <col min="15" max="15" width="22.42578125" customWidth="1"/>
    <col min="16" max="16" width="23.42578125" customWidth="1"/>
    <col min="17" max="20" width="24.42578125" customWidth="1"/>
    <col min="21" max="21" width="28.5703125" customWidth="1"/>
    <col min="22" max="22" width="32.42578125" customWidth="1"/>
    <col min="23" max="23" width="46.28515625" customWidth="1"/>
    <col min="24" max="24" width="55.42578125" customWidth="1"/>
    <col min="25" max="25" width="44.28515625" customWidth="1"/>
    <col min="26" max="26" width="50.5703125" customWidth="1"/>
    <col min="27" max="27" width="59.7109375" customWidth="1"/>
    <col min="28" max="28" width="63.85546875" customWidth="1"/>
    <col min="29" max="29" width="66.5703125" customWidth="1"/>
    <col min="30" max="30" width="36.85546875" customWidth="1"/>
    <col min="31" max="31" width="50.7109375" customWidth="1"/>
    <col min="32" max="32" width="59.85546875" customWidth="1"/>
    <col min="33" max="33" width="48.7109375" customWidth="1"/>
    <col min="34" max="34" width="55" customWidth="1"/>
    <col min="35" max="35" width="64.140625" customWidth="1"/>
    <col min="36" max="36" width="68.28515625" customWidth="1"/>
    <col min="37" max="37" width="71" customWidth="1"/>
    <col min="38" max="38" width="36.5703125" customWidth="1"/>
    <col min="39" max="39" width="50.42578125" customWidth="1"/>
    <col min="40" max="40" width="59.5703125" customWidth="1"/>
    <col min="41" max="41" width="48.42578125" customWidth="1"/>
    <col min="42" max="42" width="54.7109375" customWidth="1"/>
    <col min="43" max="43" width="63.85546875" customWidth="1"/>
    <col min="44" max="44" width="68" customWidth="1"/>
    <col min="45" max="45" width="70.7109375" customWidth="1"/>
    <col min="46" max="46" width="18.7109375" customWidth="1"/>
    <col min="47" max="47" width="52.140625" customWidth="1"/>
    <col min="48" max="48" width="38" customWidth="1"/>
    <col min="49" max="49" width="45" customWidth="1"/>
  </cols>
  <sheetData>
    <row r="1" spans="1:49">
      <c r="A1" s="10" t="s">
        <v>807</v>
      </c>
      <c r="B1" s="1"/>
      <c r="C1" s="1"/>
      <c r="D1" s="1"/>
      <c r="E1" s="1"/>
      <c r="F1" s="1"/>
      <c r="G1" s="2" t="s">
        <v>0</v>
      </c>
      <c r="H1" s="2">
        <f t="shared" ref="H1:AV1" si="0">SUBTOTAL(9,H3:H40)</f>
        <v>6543</v>
      </c>
      <c r="I1" s="2">
        <f t="shared" si="0"/>
        <v>8728</v>
      </c>
      <c r="J1" s="2">
        <f t="shared" si="0"/>
        <v>6534</v>
      </c>
      <c r="K1" s="2">
        <f t="shared" si="0"/>
        <v>4718</v>
      </c>
      <c r="L1" s="2">
        <f t="shared" si="0"/>
        <v>11832</v>
      </c>
      <c r="M1" s="2">
        <f t="shared" si="0"/>
        <v>6446</v>
      </c>
      <c r="N1" s="2">
        <f t="shared" si="0"/>
        <v>51717</v>
      </c>
      <c r="O1" s="2">
        <f t="shared" si="0"/>
        <v>5074</v>
      </c>
      <c r="P1" s="2">
        <f t="shared" si="0"/>
        <v>8499</v>
      </c>
      <c r="Q1" s="2">
        <f t="shared" si="0"/>
        <v>6359</v>
      </c>
      <c r="R1" s="2">
        <f t="shared" si="0"/>
        <v>4306</v>
      </c>
      <c r="S1" s="2">
        <f t="shared" si="0"/>
        <v>6155</v>
      </c>
      <c r="T1" s="2">
        <f t="shared" si="0"/>
        <v>622</v>
      </c>
      <c r="U1" s="2">
        <f t="shared" si="0"/>
        <v>716</v>
      </c>
      <c r="V1" s="2">
        <f t="shared" si="0"/>
        <v>62911</v>
      </c>
      <c r="W1" s="2">
        <f t="shared" si="0"/>
        <v>22511</v>
      </c>
      <c r="X1" s="2">
        <f t="shared" si="0"/>
        <v>3372</v>
      </c>
      <c r="Y1" s="2">
        <f t="shared" si="0"/>
        <v>12744</v>
      </c>
      <c r="Z1" s="2">
        <f t="shared" si="0"/>
        <v>10536</v>
      </c>
      <c r="AA1" s="2">
        <f t="shared" si="0"/>
        <v>4941</v>
      </c>
      <c r="AB1" s="2">
        <f t="shared" si="0"/>
        <v>4376</v>
      </c>
      <c r="AC1" s="2">
        <f t="shared" si="0"/>
        <v>4430</v>
      </c>
      <c r="AD1" s="2">
        <f t="shared" si="0"/>
        <v>30390</v>
      </c>
      <c r="AE1" s="2">
        <f t="shared" si="0"/>
        <v>10138</v>
      </c>
      <c r="AF1" s="2">
        <f t="shared" si="0"/>
        <v>1551</v>
      </c>
      <c r="AG1" s="2">
        <f t="shared" si="0"/>
        <v>6948</v>
      </c>
      <c r="AH1" s="2">
        <f t="shared" si="0"/>
        <v>5204</v>
      </c>
      <c r="AI1" s="2">
        <f t="shared" si="0"/>
        <v>2303</v>
      </c>
      <c r="AJ1" s="2">
        <f t="shared" si="0"/>
        <v>1877</v>
      </c>
      <c r="AK1" s="2">
        <f t="shared" si="0"/>
        <v>2373</v>
      </c>
      <c r="AL1" s="2">
        <f t="shared" si="0"/>
        <v>32518</v>
      </c>
      <c r="AM1" s="2">
        <f t="shared" si="0"/>
        <v>12374</v>
      </c>
      <c r="AN1" s="2">
        <f t="shared" si="0"/>
        <v>1820</v>
      </c>
      <c r="AO1" s="2">
        <f t="shared" si="0"/>
        <v>5796</v>
      </c>
      <c r="AP1" s="2">
        <f t="shared" si="0"/>
        <v>5336</v>
      </c>
      <c r="AQ1" s="2">
        <f t="shared" si="0"/>
        <v>2639</v>
      </c>
      <c r="AR1" s="2">
        <f t="shared" si="0"/>
        <v>2496</v>
      </c>
      <c r="AS1" s="2">
        <f t="shared" si="0"/>
        <v>2056</v>
      </c>
      <c r="AT1" s="2">
        <f t="shared" si="0"/>
        <v>13.399999999999995</v>
      </c>
      <c r="AU1" s="2">
        <f>SUBTOTAL(1,AU3:AU40)</f>
        <v>37.871052631578948</v>
      </c>
      <c r="AV1" s="2">
        <f t="shared" si="0"/>
        <v>13747</v>
      </c>
      <c r="AW1" s="2">
        <f>SUBTOTAL(1,AW3:AW40)</f>
        <v>19.897368421052633</v>
      </c>
    </row>
    <row r="2" spans="1:49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370</v>
      </c>
      <c r="I2" s="46" t="s">
        <v>11</v>
      </c>
      <c r="J2" s="46" t="s">
        <v>371</v>
      </c>
      <c r="K2" s="46" t="s">
        <v>372</v>
      </c>
      <c r="L2" s="46" t="s">
        <v>13</v>
      </c>
      <c r="M2" s="46" t="s">
        <v>373</v>
      </c>
      <c r="N2" s="46" t="s">
        <v>374</v>
      </c>
      <c r="O2" s="46" t="s">
        <v>375</v>
      </c>
      <c r="P2" s="46" t="s">
        <v>376</v>
      </c>
      <c r="Q2" s="46" t="s">
        <v>377</v>
      </c>
      <c r="R2" s="46" t="s">
        <v>378</v>
      </c>
      <c r="S2" s="46" t="s">
        <v>379</v>
      </c>
      <c r="T2" s="46" t="s">
        <v>380</v>
      </c>
      <c r="U2" s="46" t="s">
        <v>381</v>
      </c>
      <c r="V2" s="46" t="s">
        <v>382</v>
      </c>
      <c r="W2" s="46" t="s">
        <v>383</v>
      </c>
      <c r="X2" s="46" t="s">
        <v>384</v>
      </c>
      <c r="Y2" s="46" t="s">
        <v>385</v>
      </c>
      <c r="Z2" s="46" t="s">
        <v>386</v>
      </c>
      <c r="AA2" s="46" t="s">
        <v>387</v>
      </c>
      <c r="AB2" s="46" t="s">
        <v>388</v>
      </c>
      <c r="AC2" s="46" t="s">
        <v>389</v>
      </c>
      <c r="AD2" s="46" t="s">
        <v>390</v>
      </c>
      <c r="AE2" s="46" t="s">
        <v>391</v>
      </c>
      <c r="AF2" s="46" t="s">
        <v>392</v>
      </c>
      <c r="AG2" s="46" t="s">
        <v>393</v>
      </c>
      <c r="AH2" s="46" t="s">
        <v>394</v>
      </c>
      <c r="AI2" s="46" t="s">
        <v>395</v>
      </c>
      <c r="AJ2" s="46" t="s">
        <v>396</v>
      </c>
      <c r="AK2" s="46" t="s">
        <v>397</v>
      </c>
      <c r="AL2" s="46" t="s">
        <v>398</v>
      </c>
      <c r="AM2" s="46" t="s">
        <v>399</v>
      </c>
      <c r="AN2" s="46" t="s">
        <v>400</v>
      </c>
      <c r="AO2" s="46" t="s">
        <v>401</v>
      </c>
      <c r="AP2" s="46" t="s">
        <v>402</v>
      </c>
      <c r="AQ2" s="46" t="s">
        <v>403</v>
      </c>
      <c r="AR2" s="46" t="s">
        <v>404</v>
      </c>
      <c r="AS2" s="46" t="s">
        <v>405</v>
      </c>
      <c r="AT2" s="47" t="s">
        <v>80</v>
      </c>
      <c r="AU2" s="47" t="s">
        <v>406</v>
      </c>
      <c r="AV2" s="47" t="s">
        <v>407</v>
      </c>
      <c r="AW2" s="48" t="s">
        <v>408</v>
      </c>
    </row>
    <row r="3" spans="1:49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183</v>
      </c>
      <c r="I3" s="4">
        <v>240</v>
      </c>
      <c r="J3" s="4">
        <v>202</v>
      </c>
      <c r="K3" s="4">
        <v>138</v>
      </c>
      <c r="L3" s="4">
        <v>235</v>
      </c>
      <c r="M3" s="4">
        <v>161</v>
      </c>
      <c r="N3" s="4">
        <v>1237</v>
      </c>
      <c r="O3" s="4">
        <v>148</v>
      </c>
      <c r="P3" s="4">
        <v>240</v>
      </c>
      <c r="Q3" s="4">
        <v>202</v>
      </c>
      <c r="R3" s="4">
        <v>122</v>
      </c>
      <c r="S3" s="4">
        <v>131</v>
      </c>
      <c r="T3" s="4">
        <v>25</v>
      </c>
      <c r="U3" s="4">
        <v>44</v>
      </c>
      <c r="V3" s="4">
        <v>1448</v>
      </c>
      <c r="W3" s="4">
        <v>535</v>
      </c>
      <c r="X3" s="4">
        <v>79</v>
      </c>
      <c r="Y3" s="4">
        <v>340</v>
      </c>
      <c r="Z3" s="4">
        <v>260</v>
      </c>
      <c r="AA3" s="4">
        <v>98</v>
      </c>
      <c r="AB3" s="4">
        <v>83</v>
      </c>
      <c r="AC3" s="4">
        <v>54</v>
      </c>
      <c r="AD3" s="4">
        <v>712</v>
      </c>
      <c r="AE3" s="4">
        <v>246</v>
      </c>
      <c r="AF3" s="4">
        <v>35</v>
      </c>
      <c r="AG3" s="4">
        <v>187</v>
      </c>
      <c r="AH3" s="4">
        <v>119</v>
      </c>
      <c r="AI3" s="4">
        <v>51</v>
      </c>
      <c r="AJ3" s="4">
        <v>38</v>
      </c>
      <c r="AK3" s="4">
        <v>35</v>
      </c>
      <c r="AL3" s="4">
        <v>737</v>
      </c>
      <c r="AM3" s="4">
        <v>289</v>
      </c>
      <c r="AN3" s="4">
        <v>44</v>
      </c>
      <c r="AO3" s="4">
        <v>153</v>
      </c>
      <c r="AP3" s="4">
        <v>141</v>
      </c>
      <c r="AQ3" s="4">
        <v>47</v>
      </c>
      <c r="AR3" s="4">
        <v>45</v>
      </c>
      <c r="AS3" s="4">
        <v>18</v>
      </c>
      <c r="AT3" s="4">
        <v>0.3</v>
      </c>
      <c r="AU3" s="4">
        <v>36.9</v>
      </c>
      <c r="AV3" s="4">
        <v>235</v>
      </c>
      <c r="AW3" s="43">
        <v>16.2</v>
      </c>
    </row>
    <row r="4" spans="1:49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189</v>
      </c>
      <c r="I4" s="4">
        <v>356</v>
      </c>
      <c r="J4" s="4">
        <v>259</v>
      </c>
      <c r="K4" s="4">
        <v>193</v>
      </c>
      <c r="L4" s="4">
        <v>745</v>
      </c>
      <c r="M4" s="4">
        <v>327</v>
      </c>
      <c r="N4" s="4">
        <v>2071</v>
      </c>
      <c r="O4" s="4">
        <v>165</v>
      </c>
      <c r="P4" s="4">
        <v>331</v>
      </c>
      <c r="Q4" s="4">
        <v>245</v>
      </c>
      <c r="R4" s="4">
        <v>174</v>
      </c>
      <c r="S4" s="4">
        <v>460</v>
      </c>
      <c r="T4" s="4">
        <v>74</v>
      </c>
      <c r="U4" s="4">
        <v>34</v>
      </c>
      <c r="V4" s="4">
        <v>2593</v>
      </c>
      <c r="W4" s="4">
        <v>669</v>
      </c>
      <c r="X4" s="4">
        <v>170</v>
      </c>
      <c r="Y4" s="4">
        <v>592</v>
      </c>
      <c r="Z4" s="4">
        <v>402</v>
      </c>
      <c r="AA4" s="4">
        <v>283</v>
      </c>
      <c r="AB4" s="4">
        <v>218</v>
      </c>
      <c r="AC4" s="4">
        <v>259</v>
      </c>
      <c r="AD4" s="4">
        <v>1311</v>
      </c>
      <c r="AE4" s="4">
        <v>330</v>
      </c>
      <c r="AF4" s="4">
        <v>79</v>
      </c>
      <c r="AG4" s="4">
        <v>305</v>
      </c>
      <c r="AH4" s="4">
        <v>200</v>
      </c>
      <c r="AI4" s="4">
        <v>140</v>
      </c>
      <c r="AJ4" s="4">
        <v>95</v>
      </c>
      <c r="AK4" s="4">
        <v>161</v>
      </c>
      <c r="AL4" s="4">
        <v>1282</v>
      </c>
      <c r="AM4" s="4">
        <v>339</v>
      </c>
      <c r="AN4" s="4">
        <v>91</v>
      </c>
      <c r="AO4" s="4">
        <v>287</v>
      </c>
      <c r="AP4" s="4">
        <v>202</v>
      </c>
      <c r="AQ4" s="4">
        <v>143</v>
      </c>
      <c r="AR4" s="4">
        <v>122</v>
      </c>
      <c r="AS4" s="4">
        <v>97</v>
      </c>
      <c r="AT4" s="4">
        <v>0.1</v>
      </c>
      <c r="AU4" s="4">
        <v>25.8</v>
      </c>
      <c r="AV4" s="4">
        <v>760</v>
      </c>
      <c r="AW4" s="43">
        <v>29.3</v>
      </c>
    </row>
    <row r="5" spans="1:49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225</v>
      </c>
      <c r="I5" s="4">
        <v>201</v>
      </c>
      <c r="J5" s="4">
        <v>184</v>
      </c>
      <c r="K5" s="4">
        <v>142</v>
      </c>
      <c r="L5" s="4">
        <v>332</v>
      </c>
      <c r="M5" s="4">
        <v>209</v>
      </c>
      <c r="N5" s="4">
        <v>1618</v>
      </c>
      <c r="O5" s="4">
        <v>157</v>
      </c>
      <c r="P5" s="4">
        <v>175</v>
      </c>
      <c r="Q5" s="4">
        <v>165</v>
      </c>
      <c r="R5" s="4">
        <v>133</v>
      </c>
      <c r="S5" s="4">
        <v>193</v>
      </c>
      <c r="T5" s="4">
        <v>12</v>
      </c>
      <c r="U5" s="4">
        <v>18</v>
      </c>
      <c r="V5" s="4">
        <v>1945</v>
      </c>
      <c r="W5" s="4">
        <v>837</v>
      </c>
      <c r="X5" s="4">
        <v>117</v>
      </c>
      <c r="Y5" s="4">
        <v>415</v>
      </c>
      <c r="Z5" s="4">
        <v>325</v>
      </c>
      <c r="AA5" s="4">
        <v>98</v>
      </c>
      <c r="AB5" s="4">
        <v>91</v>
      </c>
      <c r="AC5" s="4">
        <v>61</v>
      </c>
      <c r="AD5" s="4">
        <v>946</v>
      </c>
      <c r="AE5" s="4">
        <v>402</v>
      </c>
      <c r="AF5" s="4">
        <v>36</v>
      </c>
      <c r="AG5" s="4">
        <v>238</v>
      </c>
      <c r="AH5" s="4">
        <v>165</v>
      </c>
      <c r="AI5" s="4">
        <v>52</v>
      </c>
      <c r="AJ5" s="4">
        <v>32</v>
      </c>
      <c r="AK5" s="4">
        <v>21</v>
      </c>
      <c r="AL5" s="4">
        <v>999</v>
      </c>
      <c r="AM5" s="4">
        <v>435</v>
      </c>
      <c r="AN5" s="4">
        <v>81</v>
      </c>
      <c r="AO5" s="4">
        <v>178</v>
      </c>
      <c r="AP5" s="4">
        <v>161</v>
      </c>
      <c r="AQ5" s="4">
        <v>46</v>
      </c>
      <c r="AR5" s="4">
        <v>59</v>
      </c>
      <c r="AS5" s="4">
        <v>40</v>
      </c>
      <c r="AT5" s="4">
        <v>0.4</v>
      </c>
      <c r="AU5" s="4">
        <v>43</v>
      </c>
      <c r="AV5" s="4">
        <v>250</v>
      </c>
      <c r="AW5" s="43">
        <v>12.9</v>
      </c>
    </row>
    <row r="6" spans="1:49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154</v>
      </c>
      <c r="I6" s="4">
        <v>233</v>
      </c>
      <c r="J6" s="4">
        <v>116</v>
      </c>
      <c r="K6" s="4">
        <v>107</v>
      </c>
      <c r="L6" s="4">
        <v>314</v>
      </c>
      <c r="M6" s="4">
        <v>123</v>
      </c>
      <c r="N6" s="4">
        <v>880</v>
      </c>
      <c r="O6" s="4">
        <v>140</v>
      </c>
      <c r="P6" s="4">
        <v>233</v>
      </c>
      <c r="Q6" s="4">
        <v>111</v>
      </c>
      <c r="R6" s="4">
        <v>93</v>
      </c>
      <c r="S6" s="4">
        <v>154</v>
      </c>
      <c r="T6" s="4">
        <v>5</v>
      </c>
      <c r="U6" s="4">
        <v>11</v>
      </c>
      <c r="V6" s="4">
        <v>1162</v>
      </c>
      <c r="W6" s="4">
        <v>608</v>
      </c>
      <c r="X6" s="4">
        <v>98</v>
      </c>
      <c r="Y6" s="4">
        <v>196</v>
      </c>
      <c r="Z6" s="4">
        <v>164</v>
      </c>
      <c r="AA6" s="4">
        <v>53</v>
      </c>
      <c r="AB6" s="4">
        <v>24</v>
      </c>
      <c r="AC6" s="4">
        <v>19</v>
      </c>
      <c r="AD6" s="4">
        <v>562</v>
      </c>
      <c r="AE6" s="4">
        <v>284</v>
      </c>
      <c r="AF6" s="4">
        <v>51</v>
      </c>
      <c r="AG6" s="4">
        <v>94</v>
      </c>
      <c r="AH6" s="4">
        <v>89</v>
      </c>
      <c r="AI6" s="4">
        <v>19</v>
      </c>
      <c r="AJ6" s="4">
        <v>15</v>
      </c>
      <c r="AK6" s="4">
        <v>10</v>
      </c>
      <c r="AL6" s="4">
        <v>600</v>
      </c>
      <c r="AM6" s="4">
        <v>324</v>
      </c>
      <c r="AN6" s="4">
        <v>47</v>
      </c>
      <c r="AO6" s="4">
        <v>101</v>
      </c>
      <c r="AP6" s="4">
        <v>75</v>
      </c>
      <c r="AQ6" s="4">
        <v>34</v>
      </c>
      <c r="AR6" s="4">
        <v>9</v>
      </c>
      <c r="AS6" s="4">
        <v>9</v>
      </c>
      <c r="AT6" s="4">
        <v>0.1</v>
      </c>
      <c r="AU6" s="4">
        <v>52.3</v>
      </c>
      <c r="AV6" s="4">
        <v>96</v>
      </c>
      <c r="AW6" s="43">
        <v>8.3000000000000007</v>
      </c>
    </row>
    <row r="7" spans="1:49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129</v>
      </c>
      <c r="I7" s="4">
        <v>165</v>
      </c>
      <c r="J7" s="4">
        <v>118</v>
      </c>
      <c r="K7" s="4">
        <v>119</v>
      </c>
      <c r="L7" s="4">
        <v>168</v>
      </c>
      <c r="M7" s="4">
        <v>104</v>
      </c>
      <c r="N7" s="4">
        <v>833</v>
      </c>
      <c r="O7" s="4">
        <v>119</v>
      </c>
      <c r="P7" s="4">
        <v>162</v>
      </c>
      <c r="Q7" s="4">
        <v>115</v>
      </c>
      <c r="R7" s="4">
        <v>112</v>
      </c>
      <c r="S7" s="4">
        <v>91</v>
      </c>
      <c r="T7" s="4">
        <v>10</v>
      </c>
      <c r="U7" s="4">
        <v>7</v>
      </c>
      <c r="V7" s="4">
        <v>1005</v>
      </c>
      <c r="W7" s="4">
        <v>479</v>
      </c>
      <c r="X7" s="4">
        <v>40</v>
      </c>
      <c r="Y7" s="4">
        <v>206</v>
      </c>
      <c r="Z7" s="4">
        <v>131</v>
      </c>
      <c r="AA7" s="4">
        <v>57</v>
      </c>
      <c r="AB7" s="4">
        <v>55</v>
      </c>
      <c r="AC7" s="4">
        <v>37</v>
      </c>
      <c r="AD7" s="4">
        <v>511</v>
      </c>
      <c r="AE7" s="4">
        <v>236</v>
      </c>
      <c r="AF7" s="4">
        <v>16</v>
      </c>
      <c r="AG7" s="4">
        <v>111</v>
      </c>
      <c r="AH7" s="4">
        <v>67</v>
      </c>
      <c r="AI7" s="4">
        <v>34</v>
      </c>
      <c r="AJ7" s="4">
        <v>25</v>
      </c>
      <c r="AK7" s="4">
        <v>21</v>
      </c>
      <c r="AL7" s="4">
        <v>494</v>
      </c>
      <c r="AM7" s="4">
        <v>243</v>
      </c>
      <c r="AN7" s="4">
        <v>23</v>
      </c>
      <c r="AO7" s="4">
        <v>94</v>
      </c>
      <c r="AP7" s="4">
        <v>64</v>
      </c>
      <c r="AQ7" s="4">
        <v>23</v>
      </c>
      <c r="AR7" s="4">
        <v>30</v>
      </c>
      <c r="AS7" s="4">
        <v>16</v>
      </c>
      <c r="AT7" s="4">
        <v>0.4</v>
      </c>
      <c r="AU7" s="4">
        <v>47.7</v>
      </c>
      <c r="AV7" s="4">
        <v>149</v>
      </c>
      <c r="AW7" s="43">
        <v>14.8</v>
      </c>
    </row>
    <row r="8" spans="1:49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162</v>
      </c>
      <c r="I8" s="4">
        <v>279</v>
      </c>
      <c r="J8" s="4">
        <v>193</v>
      </c>
      <c r="K8" s="4">
        <v>146</v>
      </c>
      <c r="L8" s="4">
        <v>262</v>
      </c>
      <c r="M8" s="4">
        <v>182</v>
      </c>
      <c r="N8" s="4">
        <v>1322</v>
      </c>
      <c r="O8" s="4">
        <v>137</v>
      </c>
      <c r="P8" s="4">
        <v>267</v>
      </c>
      <c r="Q8" s="4">
        <v>187</v>
      </c>
      <c r="R8" s="4">
        <v>136</v>
      </c>
      <c r="S8" s="4">
        <v>125</v>
      </c>
      <c r="T8" s="4">
        <v>19</v>
      </c>
      <c r="U8" s="4">
        <v>32</v>
      </c>
      <c r="V8" s="4">
        <v>1601</v>
      </c>
      <c r="W8" s="4">
        <v>805</v>
      </c>
      <c r="X8" s="4">
        <v>45</v>
      </c>
      <c r="Y8" s="4">
        <v>366</v>
      </c>
      <c r="Z8" s="4">
        <v>207</v>
      </c>
      <c r="AA8" s="4">
        <v>96</v>
      </c>
      <c r="AB8" s="4">
        <v>50</v>
      </c>
      <c r="AC8" s="4">
        <v>33</v>
      </c>
      <c r="AD8" s="4">
        <v>771</v>
      </c>
      <c r="AE8" s="4">
        <v>410</v>
      </c>
      <c r="AF8" s="4">
        <v>15</v>
      </c>
      <c r="AG8" s="4">
        <v>185</v>
      </c>
      <c r="AH8" s="4">
        <v>77</v>
      </c>
      <c r="AI8" s="4">
        <v>44</v>
      </c>
      <c r="AJ8" s="4">
        <v>30</v>
      </c>
      <c r="AK8" s="4">
        <v>9</v>
      </c>
      <c r="AL8" s="4">
        <v>830</v>
      </c>
      <c r="AM8" s="4">
        <v>395</v>
      </c>
      <c r="AN8" s="4">
        <v>30</v>
      </c>
      <c r="AO8" s="4">
        <v>181</v>
      </c>
      <c r="AP8" s="4">
        <v>130</v>
      </c>
      <c r="AQ8" s="4">
        <v>51</v>
      </c>
      <c r="AR8" s="4">
        <v>20</v>
      </c>
      <c r="AS8" s="4">
        <v>23</v>
      </c>
      <c r="AT8" s="4">
        <v>0.9</v>
      </c>
      <c r="AU8" s="4">
        <v>50.3</v>
      </c>
      <c r="AV8" s="4">
        <v>179</v>
      </c>
      <c r="AW8" s="43">
        <v>11.2</v>
      </c>
    </row>
    <row r="9" spans="1:49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157</v>
      </c>
      <c r="I9" s="4">
        <v>191</v>
      </c>
      <c r="J9" s="4">
        <v>207</v>
      </c>
      <c r="K9" s="4">
        <v>102</v>
      </c>
      <c r="L9" s="4">
        <v>199</v>
      </c>
      <c r="M9" s="4">
        <v>102</v>
      </c>
      <c r="N9" s="4">
        <v>1186</v>
      </c>
      <c r="O9" s="4">
        <v>131</v>
      </c>
      <c r="P9" s="4">
        <v>188</v>
      </c>
      <c r="Q9" s="4">
        <v>207</v>
      </c>
      <c r="R9" s="4">
        <v>93</v>
      </c>
      <c r="S9" s="4">
        <v>94</v>
      </c>
      <c r="T9" s="4">
        <v>0</v>
      </c>
      <c r="U9" s="4">
        <v>1</v>
      </c>
      <c r="V9" s="4">
        <v>1402</v>
      </c>
      <c r="W9" s="4">
        <v>701</v>
      </c>
      <c r="X9" s="4">
        <v>34</v>
      </c>
      <c r="Y9" s="4">
        <v>315</v>
      </c>
      <c r="Z9" s="4">
        <v>215</v>
      </c>
      <c r="AA9" s="4">
        <v>86</v>
      </c>
      <c r="AB9" s="4">
        <v>29</v>
      </c>
      <c r="AC9" s="4">
        <v>21</v>
      </c>
      <c r="AD9" s="4">
        <v>669</v>
      </c>
      <c r="AE9" s="4">
        <v>317</v>
      </c>
      <c r="AF9" s="4">
        <v>9</v>
      </c>
      <c r="AG9" s="4">
        <v>191</v>
      </c>
      <c r="AH9" s="4">
        <v>91</v>
      </c>
      <c r="AI9" s="4">
        <v>41</v>
      </c>
      <c r="AJ9" s="4">
        <v>17</v>
      </c>
      <c r="AK9" s="4">
        <v>3</v>
      </c>
      <c r="AL9" s="4">
        <v>733</v>
      </c>
      <c r="AM9" s="4">
        <v>384</v>
      </c>
      <c r="AN9" s="4">
        <v>25</v>
      </c>
      <c r="AO9" s="4">
        <v>124</v>
      </c>
      <c r="AP9" s="4">
        <v>124</v>
      </c>
      <c r="AQ9" s="4">
        <v>45</v>
      </c>
      <c r="AR9" s="4">
        <v>12</v>
      </c>
      <c r="AS9" s="4">
        <v>18</v>
      </c>
      <c r="AT9" s="4">
        <v>0.4</v>
      </c>
      <c r="AU9" s="4">
        <v>50</v>
      </c>
      <c r="AV9" s="4">
        <v>136</v>
      </c>
      <c r="AW9" s="43">
        <v>9.6999999999999993</v>
      </c>
    </row>
    <row r="10" spans="1:49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261</v>
      </c>
      <c r="I10" s="4">
        <v>325</v>
      </c>
      <c r="J10" s="4">
        <v>314</v>
      </c>
      <c r="K10" s="4">
        <v>222</v>
      </c>
      <c r="L10" s="4">
        <v>430</v>
      </c>
      <c r="M10" s="4">
        <v>206</v>
      </c>
      <c r="N10" s="4">
        <v>1652</v>
      </c>
      <c r="O10" s="4">
        <v>218</v>
      </c>
      <c r="P10" s="4">
        <v>314</v>
      </c>
      <c r="Q10" s="4">
        <v>304</v>
      </c>
      <c r="R10" s="4">
        <v>201</v>
      </c>
      <c r="S10" s="4">
        <v>180</v>
      </c>
      <c r="T10" s="4">
        <v>11</v>
      </c>
      <c r="U10" s="4">
        <v>36</v>
      </c>
      <c r="V10" s="4">
        <v>2082</v>
      </c>
      <c r="W10" s="4">
        <v>1066</v>
      </c>
      <c r="X10" s="4">
        <v>107</v>
      </c>
      <c r="Y10" s="4">
        <v>303</v>
      </c>
      <c r="Z10" s="4">
        <v>353</v>
      </c>
      <c r="AA10" s="4">
        <v>132</v>
      </c>
      <c r="AB10" s="4">
        <v>68</v>
      </c>
      <c r="AC10" s="4">
        <v>52</v>
      </c>
      <c r="AD10" s="4">
        <v>1039</v>
      </c>
      <c r="AE10" s="4">
        <v>479</v>
      </c>
      <c r="AF10" s="4">
        <v>51</v>
      </c>
      <c r="AG10" s="4">
        <v>176</v>
      </c>
      <c r="AH10" s="4">
        <v>200</v>
      </c>
      <c r="AI10" s="4">
        <v>67</v>
      </c>
      <c r="AJ10" s="4">
        <v>33</v>
      </c>
      <c r="AK10" s="4">
        <v>33</v>
      </c>
      <c r="AL10" s="4">
        <v>1043</v>
      </c>
      <c r="AM10" s="4">
        <v>587</v>
      </c>
      <c r="AN10" s="4">
        <v>56</v>
      </c>
      <c r="AO10" s="4">
        <v>127</v>
      </c>
      <c r="AP10" s="4">
        <v>153</v>
      </c>
      <c r="AQ10" s="4">
        <v>64</v>
      </c>
      <c r="AR10" s="4">
        <v>35</v>
      </c>
      <c r="AS10" s="4">
        <v>20</v>
      </c>
      <c r="AT10" s="4">
        <v>0.6</v>
      </c>
      <c r="AU10" s="4">
        <v>51.2</v>
      </c>
      <c r="AV10" s="4">
        <v>252</v>
      </c>
      <c r="AW10" s="43">
        <v>12.1</v>
      </c>
    </row>
    <row r="11" spans="1:49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210</v>
      </c>
      <c r="I11" s="4">
        <v>253</v>
      </c>
      <c r="J11" s="4">
        <v>208</v>
      </c>
      <c r="K11" s="4">
        <v>118</v>
      </c>
      <c r="L11" s="4">
        <v>272</v>
      </c>
      <c r="M11" s="4">
        <v>147</v>
      </c>
      <c r="N11" s="4">
        <v>1168</v>
      </c>
      <c r="O11" s="4">
        <v>164</v>
      </c>
      <c r="P11" s="4">
        <v>246</v>
      </c>
      <c r="Q11" s="4">
        <v>181</v>
      </c>
      <c r="R11" s="4">
        <v>97</v>
      </c>
      <c r="S11" s="4">
        <v>129</v>
      </c>
      <c r="T11" s="4">
        <v>14</v>
      </c>
      <c r="U11" s="4">
        <v>32</v>
      </c>
      <c r="V11" s="4">
        <v>1433</v>
      </c>
      <c r="W11" s="4">
        <v>697</v>
      </c>
      <c r="X11" s="4">
        <v>48</v>
      </c>
      <c r="Y11" s="4">
        <v>287</v>
      </c>
      <c r="Z11" s="4">
        <v>198</v>
      </c>
      <c r="AA11" s="4">
        <v>60</v>
      </c>
      <c r="AB11" s="4">
        <v>37</v>
      </c>
      <c r="AC11" s="4">
        <v>106</v>
      </c>
      <c r="AD11" s="4">
        <v>713</v>
      </c>
      <c r="AE11" s="4">
        <v>345</v>
      </c>
      <c r="AF11" s="4">
        <v>25</v>
      </c>
      <c r="AG11" s="4">
        <v>133</v>
      </c>
      <c r="AH11" s="4">
        <v>102</v>
      </c>
      <c r="AI11" s="4">
        <v>36</v>
      </c>
      <c r="AJ11" s="4">
        <v>20</v>
      </c>
      <c r="AK11" s="4">
        <v>53</v>
      </c>
      <c r="AL11" s="4">
        <v>719</v>
      </c>
      <c r="AM11" s="4">
        <v>353</v>
      </c>
      <c r="AN11" s="4">
        <v>23</v>
      </c>
      <c r="AO11" s="4">
        <v>153</v>
      </c>
      <c r="AP11" s="4">
        <v>96</v>
      </c>
      <c r="AQ11" s="4">
        <v>24</v>
      </c>
      <c r="AR11" s="4">
        <v>17</v>
      </c>
      <c r="AS11" s="4">
        <v>53</v>
      </c>
      <c r="AT11" s="4">
        <v>0.2</v>
      </c>
      <c r="AU11" s="4">
        <v>48.6</v>
      </c>
      <c r="AV11" s="4">
        <v>203</v>
      </c>
      <c r="AW11" s="43">
        <v>14.2</v>
      </c>
    </row>
    <row r="12" spans="1:49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199</v>
      </c>
      <c r="I12" s="4">
        <v>273</v>
      </c>
      <c r="J12" s="4">
        <v>225</v>
      </c>
      <c r="K12" s="4">
        <v>188</v>
      </c>
      <c r="L12" s="4">
        <v>267</v>
      </c>
      <c r="M12" s="4">
        <v>110</v>
      </c>
      <c r="N12" s="4">
        <v>1452</v>
      </c>
      <c r="O12" s="4">
        <v>165</v>
      </c>
      <c r="P12" s="4">
        <v>256</v>
      </c>
      <c r="Q12" s="4">
        <v>220</v>
      </c>
      <c r="R12" s="4">
        <v>176</v>
      </c>
      <c r="S12" s="4">
        <v>120</v>
      </c>
      <c r="T12" s="4">
        <v>9</v>
      </c>
      <c r="U12" s="4">
        <v>3</v>
      </c>
      <c r="V12" s="4">
        <v>1710</v>
      </c>
      <c r="W12" s="4">
        <v>933</v>
      </c>
      <c r="X12" s="4">
        <v>83</v>
      </c>
      <c r="Y12" s="4">
        <v>280</v>
      </c>
      <c r="Z12" s="4">
        <v>213</v>
      </c>
      <c r="AA12" s="4">
        <v>78</v>
      </c>
      <c r="AB12" s="4">
        <v>67</v>
      </c>
      <c r="AC12" s="4">
        <v>55</v>
      </c>
      <c r="AD12" s="4">
        <v>737</v>
      </c>
      <c r="AE12" s="4">
        <v>356</v>
      </c>
      <c r="AF12" s="4">
        <v>50</v>
      </c>
      <c r="AG12" s="4">
        <v>140</v>
      </c>
      <c r="AH12" s="4">
        <v>93</v>
      </c>
      <c r="AI12" s="4">
        <v>38</v>
      </c>
      <c r="AJ12" s="4">
        <v>26</v>
      </c>
      <c r="AK12" s="4">
        <v>34</v>
      </c>
      <c r="AL12" s="4">
        <v>972</v>
      </c>
      <c r="AM12" s="4">
        <v>577</v>
      </c>
      <c r="AN12" s="4">
        <v>33</v>
      </c>
      <c r="AO12" s="4">
        <v>140</v>
      </c>
      <c r="AP12" s="4">
        <v>120</v>
      </c>
      <c r="AQ12" s="4">
        <v>40</v>
      </c>
      <c r="AR12" s="4">
        <v>41</v>
      </c>
      <c r="AS12" s="4">
        <v>22</v>
      </c>
      <c r="AT12" s="4">
        <v>0.3</v>
      </c>
      <c r="AU12" s="4">
        <v>54.6</v>
      </c>
      <c r="AV12" s="4">
        <v>200</v>
      </c>
      <c r="AW12" s="43">
        <v>11.7</v>
      </c>
    </row>
    <row r="13" spans="1:49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138</v>
      </c>
      <c r="I13" s="4">
        <v>210</v>
      </c>
      <c r="J13" s="4">
        <v>151</v>
      </c>
      <c r="K13" s="4">
        <v>141</v>
      </c>
      <c r="L13" s="4">
        <v>299</v>
      </c>
      <c r="M13" s="4">
        <v>130</v>
      </c>
      <c r="N13" s="4">
        <v>1172</v>
      </c>
      <c r="O13" s="4">
        <v>113</v>
      </c>
      <c r="P13" s="4">
        <v>210</v>
      </c>
      <c r="Q13" s="4">
        <v>144</v>
      </c>
      <c r="R13" s="4">
        <v>113</v>
      </c>
      <c r="S13" s="4">
        <v>143</v>
      </c>
      <c r="T13" s="4">
        <v>17</v>
      </c>
      <c r="U13" s="4">
        <v>21</v>
      </c>
      <c r="V13" s="4">
        <v>1447</v>
      </c>
      <c r="W13" s="4">
        <v>708</v>
      </c>
      <c r="X13" s="4">
        <v>80</v>
      </c>
      <c r="Y13" s="4">
        <v>272</v>
      </c>
      <c r="Z13" s="4">
        <v>205</v>
      </c>
      <c r="AA13" s="4">
        <v>66</v>
      </c>
      <c r="AB13" s="4">
        <v>69</v>
      </c>
      <c r="AC13" s="4">
        <v>46</v>
      </c>
      <c r="AD13" s="4">
        <v>756</v>
      </c>
      <c r="AE13" s="4">
        <v>340</v>
      </c>
      <c r="AF13" s="4">
        <v>50</v>
      </c>
      <c r="AG13" s="4">
        <v>160</v>
      </c>
      <c r="AH13" s="4">
        <v>116</v>
      </c>
      <c r="AI13" s="4">
        <v>36</v>
      </c>
      <c r="AJ13" s="4">
        <v>37</v>
      </c>
      <c r="AK13" s="4">
        <v>18</v>
      </c>
      <c r="AL13" s="4">
        <v>691</v>
      </c>
      <c r="AM13" s="4">
        <v>369</v>
      </c>
      <c r="AN13" s="4">
        <v>30</v>
      </c>
      <c r="AO13" s="4">
        <v>111</v>
      </c>
      <c r="AP13" s="4">
        <v>90</v>
      </c>
      <c r="AQ13" s="4">
        <v>31</v>
      </c>
      <c r="AR13" s="4">
        <v>33</v>
      </c>
      <c r="AS13" s="4">
        <v>28</v>
      </c>
      <c r="AT13" s="4">
        <v>0.2</v>
      </c>
      <c r="AU13" s="4">
        <v>48.9</v>
      </c>
      <c r="AV13" s="4">
        <v>181</v>
      </c>
      <c r="AW13" s="43">
        <v>12.5</v>
      </c>
    </row>
    <row r="14" spans="1:49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137</v>
      </c>
      <c r="I14" s="4">
        <v>178</v>
      </c>
      <c r="J14" s="4">
        <v>125</v>
      </c>
      <c r="K14" s="4">
        <v>97</v>
      </c>
      <c r="L14" s="4">
        <v>250</v>
      </c>
      <c r="M14" s="4">
        <v>124</v>
      </c>
      <c r="N14" s="4">
        <v>1020</v>
      </c>
      <c r="O14" s="4">
        <v>95</v>
      </c>
      <c r="P14" s="4">
        <v>171</v>
      </c>
      <c r="Q14" s="4">
        <v>121</v>
      </c>
      <c r="R14" s="4">
        <v>81</v>
      </c>
      <c r="S14" s="4">
        <v>96</v>
      </c>
      <c r="T14" s="4">
        <v>14</v>
      </c>
      <c r="U14" s="4">
        <v>16</v>
      </c>
      <c r="V14" s="4">
        <v>1284</v>
      </c>
      <c r="W14" s="4">
        <v>673</v>
      </c>
      <c r="X14" s="4">
        <v>86</v>
      </c>
      <c r="Y14" s="4">
        <v>247</v>
      </c>
      <c r="Z14" s="4">
        <v>155</v>
      </c>
      <c r="AA14" s="4">
        <v>65</v>
      </c>
      <c r="AB14" s="4">
        <v>38</v>
      </c>
      <c r="AC14" s="4">
        <v>20</v>
      </c>
      <c r="AD14" s="4">
        <v>644</v>
      </c>
      <c r="AE14" s="4">
        <v>346</v>
      </c>
      <c r="AF14" s="4">
        <v>18</v>
      </c>
      <c r="AG14" s="4">
        <v>144</v>
      </c>
      <c r="AH14" s="4">
        <v>77</v>
      </c>
      <c r="AI14" s="4">
        <v>30</v>
      </c>
      <c r="AJ14" s="4">
        <v>23</v>
      </c>
      <c r="AK14" s="4">
        <v>6</v>
      </c>
      <c r="AL14" s="4">
        <v>640</v>
      </c>
      <c r="AM14" s="4">
        <v>327</v>
      </c>
      <c r="AN14" s="4">
        <v>67</v>
      </c>
      <c r="AO14" s="4">
        <v>103</v>
      </c>
      <c r="AP14" s="4">
        <v>78</v>
      </c>
      <c r="AQ14" s="4">
        <v>35</v>
      </c>
      <c r="AR14" s="4">
        <v>15</v>
      </c>
      <c r="AS14" s="4">
        <v>14</v>
      </c>
      <c r="AT14" s="4">
        <v>0.3</v>
      </c>
      <c r="AU14" s="4">
        <v>52.4</v>
      </c>
      <c r="AV14" s="4">
        <v>123</v>
      </c>
      <c r="AW14" s="43">
        <v>9.6</v>
      </c>
    </row>
    <row r="15" spans="1:49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205</v>
      </c>
      <c r="I15" s="4">
        <v>228</v>
      </c>
      <c r="J15" s="4">
        <v>182</v>
      </c>
      <c r="K15" s="4">
        <v>126</v>
      </c>
      <c r="L15" s="4">
        <v>246</v>
      </c>
      <c r="M15" s="4">
        <v>163</v>
      </c>
      <c r="N15" s="4">
        <v>1304</v>
      </c>
      <c r="O15" s="4">
        <v>166</v>
      </c>
      <c r="P15" s="4">
        <v>218</v>
      </c>
      <c r="Q15" s="4">
        <v>174</v>
      </c>
      <c r="R15" s="4">
        <v>113</v>
      </c>
      <c r="S15" s="4">
        <v>69</v>
      </c>
      <c r="T15" s="4">
        <v>6</v>
      </c>
      <c r="U15" s="4">
        <v>9</v>
      </c>
      <c r="V15" s="4">
        <v>1641</v>
      </c>
      <c r="W15" s="4">
        <v>577</v>
      </c>
      <c r="X15" s="4">
        <v>101</v>
      </c>
      <c r="Y15" s="4">
        <v>417</v>
      </c>
      <c r="Z15" s="4">
        <v>258</v>
      </c>
      <c r="AA15" s="4">
        <v>108</v>
      </c>
      <c r="AB15" s="4">
        <v>117</v>
      </c>
      <c r="AC15" s="4">
        <v>63</v>
      </c>
      <c r="AD15" s="4">
        <v>783</v>
      </c>
      <c r="AE15" s="4">
        <v>247</v>
      </c>
      <c r="AF15" s="4">
        <v>32</v>
      </c>
      <c r="AG15" s="4">
        <v>232</v>
      </c>
      <c r="AH15" s="4">
        <v>129</v>
      </c>
      <c r="AI15" s="4">
        <v>65</v>
      </c>
      <c r="AJ15" s="4">
        <v>49</v>
      </c>
      <c r="AK15" s="4">
        <v>29</v>
      </c>
      <c r="AL15" s="4">
        <v>858</v>
      </c>
      <c r="AM15" s="4">
        <v>330</v>
      </c>
      <c r="AN15" s="4">
        <v>69</v>
      </c>
      <c r="AO15" s="4">
        <v>185</v>
      </c>
      <c r="AP15" s="4">
        <v>129</v>
      </c>
      <c r="AQ15" s="4">
        <v>43</v>
      </c>
      <c r="AR15" s="4">
        <v>68</v>
      </c>
      <c r="AS15" s="4">
        <v>34</v>
      </c>
      <c r="AT15" s="4">
        <v>0.5</v>
      </c>
      <c r="AU15" s="4">
        <v>35.200000000000003</v>
      </c>
      <c r="AV15" s="4">
        <v>288</v>
      </c>
      <c r="AW15" s="43">
        <v>17.600000000000001</v>
      </c>
    </row>
    <row r="16" spans="1:49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89</v>
      </c>
      <c r="I16" s="4">
        <v>125</v>
      </c>
      <c r="J16" s="4">
        <v>104</v>
      </c>
      <c r="K16" s="4">
        <v>107</v>
      </c>
      <c r="L16" s="4">
        <v>344</v>
      </c>
      <c r="M16" s="4">
        <v>120</v>
      </c>
      <c r="N16" s="4">
        <v>1132</v>
      </c>
      <c r="O16" s="4">
        <v>48</v>
      </c>
      <c r="P16" s="4">
        <v>125</v>
      </c>
      <c r="Q16" s="4">
        <v>104</v>
      </c>
      <c r="R16" s="4">
        <v>103</v>
      </c>
      <c r="S16" s="4">
        <v>197</v>
      </c>
      <c r="T16" s="4">
        <v>32</v>
      </c>
      <c r="U16" s="4">
        <v>14</v>
      </c>
      <c r="V16" s="4">
        <v>1357</v>
      </c>
      <c r="W16" s="4">
        <v>455</v>
      </c>
      <c r="X16" s="4">
        <v>86</v>
      </c>
      <c r="Y16" s="4">
        <v>264</v>
      </c>
      <c r="Z16" s="4">
        <v>256</v>
      </c>
      <c r="AA16" s="4">
        <v>96</v>
      </c>
      <c r="AB16" s="4">
        <v>89</v>
      </c>
      <c r="AC16" s="4">
        <v>112</v>
      </c>
      <c r="AD16" s="4">
        <v>713</v>
      </c>
      <c r="AE16" s="4">
        <v>239</v>
      </c>
      <c r="AF16" s="4">
        <v>34</v>
      </c>
      <c r="AG16" s="4">
        <v>166</v>
      </c>
      <c r="AH16" s="4">
        <v>125</v>
      </c>
      <c r="AI16" s="4">
        <v>47</v>
      </c>
      <c r="AJ16" s="4">
        <v>58</v>
      </c>
      <c r="AK16" s="4">
        <v>45</v>
      </c>
      <c r="AL16" s="4">
        <v>644</v>
      </c>
      <c r="AM16" s="4">
        <v>216</v>
      </c>
      <c r="AN16" s="4">
        <v>52</v>
      </c>
      <c r="AO16" s="4">
        <v>98</v>
      </c>
      <c r="AP16" s="4">
        <v>131</v>
      </c>
      <c r="AQ16" s="4">
        <v>49</v>
      </c>
      <c r="AR16" s="4">
        <v>31</v>
      </c>
      <c r="AS16" s="4">
        <v>67</v>
      </c>
      <c r="AT16" s="4">
        <v>0.2</v>
      </c>
      <c r="AU16" s="4">
        <v>33.5</v>
      </c>
      <c r="AV16" s="4">
        <v>297</v>
      </c>
      <c r="AW16" s="43">
        <v>21.9</v>
      </c>
    </row>
    <row r="17" spans="1:49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202</v>
      </c>
      <c r="I17" s="4">
        <v>290</v>
      </c>
      <c r="J17" s="4">
        <v>245</v>
      </c>
      <c r="K17" s="4">
        <v>132</v>
      </c>
      <c r="L17" s="4">
        <v>427</v>
      </c>
      <c r="M17" s="4">
        <v>261</v>
      </c>
      <c r="N17" s="4">
        <v>1382</v>
      </c>
      <c r="O17" s="4">
        <v>143</v>
      </c>
      <c r="P17" s="4">
        <v>287</v>
      </c>
      <c r="Q17" s="4">
        <v>239</v>
      </c>
      <c r="R17" s="4">
        <v>119</v>
      </c>
      <c r="S17" s="4">
        <v>189</v>
      </c>
      <c r="T17" s="4">
        <v>40</v>
      </c>
      <c r="U17" s="4">
        <v>23</v>
      </c>
      <c r="V17" s="4">
        <v>1831</v>
      </c>
      <c r="W17" s="4">
        <v>473</v>
      </c>
      <c r="X17" s="4">
        <v>117</v>
      </c>
      <c r="Y17" s="4">
        <v>360</v>
      </c>
      <c r="Z17" s="4">
        <v>336</v>
      </c>
      <c r="AA17" s="4">
        <v>137</v>
      </c>
      <c r="AB17" s="4">
        <v>208</v>
      </c>
      <c r="AC17" s="4">
        <v>200</v>
      </c>
      <c r="AD17" s="4">
        <v>918</v>
      </c>
      <c r="AE17" s="4">
        <v>249</v>
      </c>
      <c r="AF17" s="4">
        <v>53</v>
      </c>
      <c r="AG17" s="4">
        <v>205</v>
      </c>
      <c r="AH17" s="4">
        <v>147</v>
      </c>
      <c r="AI17" s="4">
        <v>55</v>
      </c>
      <c r="AJ17" s="4">
        <v>84</v>
      </c>
      <c r="AK17" s="4">
        <v>125</v>
      </c>
      <c r="AL17" s="4">
        <v>913</v>
      </c>
      <c r="AM17" s="4">
        <v>224</v>
      </c>
      <c r="AN17" s="4">
        <v>64</v>
      </c>
      <c r="AO17" s="4">
        <v>155</v>
      </c>
      <c r="AP17" s="4">
        <v>190</v>
      </c>
      <c r="AQ17" s="4">
        <v>82</v>
      </c>
      <c r="AR17" s="4">
        <v>124</v>
      </c>
      <c r="AS17" s="4">
        <v>75</v>
      </c>
      <c r="AT17" s="4">
        <v>0.2</v>
      </c>
      <c r="AU17" s="4">
        <v>25.8</v>
      </c>
      <c r="AV17" s="4">
        <v>545</v>
      </c>
      <c r="AW17" s="43">
        <v>29.8</v>
      </c>
    </row>
    <row r="18" spans="1:49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215</v>
      </c>
      <c r="I18" s="4">
        <v>227</v>
      </c>
      <c r="J18" s="4">
        <v>146</v>
      </c>
      <c r="K18" s="4">
        <v>119</v>
      </c>
      <c r="L18" s="4">
        <v>740</v>
      </c>
      <c r="M18" s="4">
        <v>319</v>
      </c>
      <c r="N18" s="4">
        <v>1668</v>
      </c>
      <c r="O18" s="4">
        <v>151</v>
      </c>
      <c r="P18" s="4">
        <v>215</v>
      </c>
      <c r="Q18" s="4">
        <v>134</v>
      </c>
      <c r="R18" s="4">
        <v>110</v>
      </c>
      <c r="S18" s="4">
        <v>523</v>
      </c>
      <c r="T18" s="4">
        <v>43</v>
      </c>
      <c r="U18" s="4">
        <v>33</v>
      </c>
      <c r="V18" s="4">
        <v>2135</v>
      </c>
      <c r="W18" s="4">
        <v>497</v>
      </c>
      <c r="X18" s="4">
        <v>134</v>
      </c>
      <c r="Y18" s="4">
        <v>420</v>
      </c>
      <c r="Z18" s="4">
        <v>486</v>
      </c>
      <c r="AA18" s="4">
        <v>199</v>
      </c>
      <c r="AB18" s="4">
        <v>172</v>
      </c>
      <c r="AC18" s="4">
        <v>228</v>
      </c>
      <c r="AD18" s="4">
        <v>1125</v>
      </c>
      <c r="AE18" s="4">
        <v>245</v>
      </c>
      <c r="AF18" s="4">
        <v>71</v>
      </c>
      <c r="AG18" s="4">
        <v>234</v>
      </c>
      <c r="AH18" s="4">
        <v>276</v>
      </c>
      <c r="AI18" s="4">
        <v>86</v>
      </c>
      <c r="AJ18" s="4">
        <v>82</v>
      </c>
      <c r="AK18" s="4">
        <v>132</v>
      </c>
      <c r="AL18" s="4">
        <v>1010</v>
      </c>
      <c r="AM18" s="4">
        <v>252</v>
      </c>
      <c r="AN18" s="4">
        <v>63</v>
      </c>
      <c r="AO18" s="4">
        <v>186</v>
      </c>
      <c r="AP18" s="4">
        <v>210</v>
      </c>
      <c r="AQ18" s="4">
        <v>113</v>
      </c>
      <c r="AR18" s="4">
        <v>90</v>
      </c>
      <c r="AS18" s="4">
        <v>96</v>
      </c>
      <c r="AT18" s="4">
        <v>0.5</v>
      </c>
      <c r="AU18" s="4">
        <v>23.3</v>
      </c>
      <c r="AV18" s="4">
        <v>599</v>
      </c>
      <c r="AW18" s="43">
        <v>28.1</v>
      </c>
    </row>
    <row r="19" spans="1:49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158</v>
      </c>
      <c r="I19" s="4">
        <v>242</v>
      </c>
      <c r="J19" s="4">
        <v>132</v>
      </c>
      <c r="K19" s="4">
        <v>34</v>
      </c>
      <c r="L19" s="4">
        <v>403</v>
      </c>
      <c r="M19" s="4">
        <v>296</v>
      </c>
      <c r="N19" s="4">
        <v>1516</v>
      </c>
      <c r="O19" s="4">
        <v>131</v>
      </c>
      <c r="P19" s="4">
        <v>242</v>
      </c>
      <c r="Q19" s="4">
        <v>131</v>
      </c>
      <c r="R19" s="4">
        <v>22</v>
      </c>
      <c r="S19" s="4">
        <v>154</v>
      </c>
      <c r="T19" s="4">
        <v>14</v>
      </c>
      <c r="U19" s="4">
        <v>14</v>
      </c>
      <c r="V19" s="4">
        <v>2045</v>
      </c>
      <c r="W19" s="4">
        <v>632</v>
      </c>
      <c r="X19" s="4">
        <v>110</v>
      </c>
      <c r="Y19" s="4">
        <v>383</v>
      </c>
      <c r="Z19" s="4">
        <v>381</v>
      </c>
      <c r="AA19" s="4">
        <v>232</v>
      </c>
      <c r="AB19" s="4">
        <v>127</v>
      </c>
      <c r="AC19" s="4">
        <v>180</v>
      </c>
      <c r="AD19" s="4">
        <v>1032</v>
      </c>
      <c r="AE19" s="4">
        <v>294</v>
      </c>
      <c r="AF19" s="4">
        <v>62</v>
      </c>
      <c r="AG19" s="4">
        <v>235</v>
      </c>
      <c r="AH19" s="4">
        <v>221</v>
      </c>
      <c r="AI19" s="4">
        <v>88</v>
      </c>
      <c r="AJ19" s="4">
        <v>59</v>
      </c>
      <c r="AK19" s="4">
        <v>75</v>
      </c>
      <c r="AL19" s="4">
        <v>1012</v>
      </c>
      <c r="AM19" s="4">
        <v>338</v>
      </c>
      <c r="AN19" s="4">
        <v>48</v>
      </c>
      <c r="AO19" s="4">
        <v>149</v>
      </c>
      <c r="AP19" s="4">
        <v>160</v>
      </c>
      <c r="AQ19" s="4">
        <v>144</v>
      </c>
      <c r="AR19" s="4">
        <v>68</v>
      </c>
      <c r="AS19" s="4">
        <v>105</v>
      </c>
      <c r="AT19" s="4">
        <v>0.3</v>
      </c>
      <c r="AU19" s="4">
        <v>30.9</v>
      </c>
      <c r="AV19" s="4">
        <v>539</v>
      </c>
      <c r="AW19" s="43">
        <v>26.4</v>
      </c>
    </row>
    <row r="20" spans="1:49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254</v>
      </c>
      <c r="I20" s="4">
        <v>281</v>
      </c>
      <c r="J20" s="4">
        <v>175</v>
      </c>
      <c r="K20" s="4">
        <v>125</v>
      </c>
      <c r="L20" s="4">
        <v>418</v>
      </c>
      <c r="M20" s="4">
        <v>318</v>
      </c>
      <c r="N20" s="4">
        <v>1923</v>
      </c>
      <c r="O20" s="4">
        <v>181</v>
      </c>
      <c r="P20" s="4">
        <v>271</v>
      </c>
      <c r="Q20" s="4">
        <v>171</v>
      </c>
      <c r="R20" s="4">
        <v>116</v>
      </c>
      <c r="S20" s="4">
        <v>230</v>
      </c>
      <c r="T20" s="4">
        <v>38</v>
      </c>
      <c r="U20" s="4">
        <v>38</v>
      </c>
      <c r="V20" s="4">
        <v>2362</v>
      </c>
      <c r="W20" s="4">
        <v>830</v>
      </c>
      <c r="X20" s="4">
        <v>164</v>
      </c>
      <c r="Y20" s="4">
        <v>483</v>
      </c>
      <c r="Z20" s="4">
        <v>440</v>
      </c>
      <c r="AA20" s="4">
        <v>191</v>
      </c>
      <c r="AB20" s="4">
        <v>130</v>
      </c>
      <c r="AC20" s="4">
        <v>123</v>
      </c>
      <c r="AD20" s="4">
        <v>1154</v>
      </c>
      <c r="AE20" s="4">
        <v>345</v>
      </c>
      <c r="AF20" s="4">
        <v>90</v>
      </c>
      <c r="AG20" s="4">
        <v>280</v>
      </c>
      <c r="AH20" s="4">
        <v>211</v>
      </c>
      <c r="AI20" s="4">
        <v>77</v>
      </c>
      <c r="AJ20" s="4">
        <v>76</v>
      </c>
      <c r="AK20" s="4">
        <v>75</v>
      </c>
      <c r="AL20" s="4">
        <v>1208</v>
      </c>
      <c r="AM20" s="4">
        <v>485</v>
      </c>
      <c r="AN20" s="4">
        <v>74</v>
      </c>
      <c r="AO20" s="4">
        <v>204</v>
      </c>
      <c r="AP20" s="4">
        <v>229</v>
      </c>
      <c r="AQ20" s="4">
        <v>114</v>
      </c>
      <c r="AR20" s="4">
        <v>54</v>
      </c>
      <c r="AS20" s="4">
        <v>48</v>
      </c>
      <c r="AT20" s="4">
        <v>0.3</v>
      </c>
      <c r="AU20" s="4">
        <v>35.1</v>
      </c>
      <c r="AV20" s="4">
        <v>444</v>
      </c>
      <c r="AW20" s="43">
        <v>18.8</v>
      </c>
    </row>
    <row r="21" spans="1:49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120</v>
      </c>
      <c r="I21" s="4">
        <v>153</v>
      </c>
      <c r="J21" s="4">
        <v>116</v>
      </c>
      <c r="K21" s="4">
        <v>116</v>
      </c>
      <c r="L21" s="4">
        <v>505</v>
      </c>
      <c r="M21" s="4">
        <v>183</v>
      </c>
      <c r="N21" s="4">
        <v>2337</v>
      </c>
      <c r="O21" s="4">
        <v>91</v>
      </c>
      <c r="P21" s="4">
        <v>149</v>
      </c>
      <c r="Q21" s="4">
        <v>116</v>
      </c>
      <c r="R21" s="4">
        <v>107</v>
      </c>
      <c r="S21" s="4">
        <v>349</v>
      </c>
      <c r="T21" s="4">
        <v>28</v>
      </c>
      <c r="U21" s="4">
        <v>33</v>
      </c>
      <c r="V21" s="4">
        <v>2624</v>
      </c>
      <c r="W21" s="4">
        <v>418</v>
      </c>
      <c r="X21" s="4">
        <v>119</v>
      </c>
      <c r="Y21" s="4">
        <v>328</v>
      </c>
      <c r="Z21" s="4">
        <v>428</v>
      </c>
      <c r="AA21" s="4">
        <v>296</v>
      </c>
      <c r="AB21" s="4">
        <v>428</v>
      </c>
      <c r="AC21" s="4">
        <v>608</v>
      </c>
      <c r="AD21" s="4">
        <v>1222</v>
      </c>
      <c r="AE21" s="4">
        <v>183</v>
      </c>
      <c r="AF21" s="4">
        <v>47</v>
      </c>
      <c r="AG21" s="4">
        <v>163</v>
      </c>
      <c r="AH21" s="4">
        <v>182</v>
      </c>
      <c r="AI21" s="4">
        <v>126</v>
      </c>
      <c r="AJ21" s="4">
        <v>182</v>
      </c>
      <c r="AK21" s="4">
        <v>338</v>
      </c>
      <c r="AL21" s="4">
        <v>1402</v>
      </c>
      <c r="AM21" s="4">
        <v>235</v>
      </c>
      <c r="AN21" s="4">
        <v>71</v>
      </c>
      <c r="AO21" s="4">
        <v>165</v>
      </c>
      <c r="AP21" s="4">
        <v>246</v>
      </c>
      <c r="AQ21" s="4">
        <v>170</v>
      </c>
      <c r="AR21" s="4">
        <v>245</v>
      </c>
      <c r="AS21" s="4">
        <v>270</v>
      </c>
      <c r="AT21" s="4">
        <v>0.9</v>
      </c>
      <c r="AU21" s="4">
        <v>15.9</v>
      </c>
      <c r="AV21" s="4">
        <v>1332</v>
      </c>
      <c r="AW21" s="43">
        <v>50.8</v>
      </c>
    </row>
    <row r="22" spans="1:49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94</v>
      </c>
      <c r="I22" s="4">
        <v>86</v>
      </c>
      <c r="J22" s="4">
        <v>65</v>
      </c>
      <c r="K22" s="4">
        <v>69</v>
      </c>
      <c r="L22" s="4">
        <v>253</v>
      </c>
      <c r="M22" s="4">
        <v>95</v>
      </c>
      <c r="N22" s="4">
        <v>1646</v>
      </c>
      <c r="O22" s="4">
        <v>73</v>
      </c>
      <c r="P22" s="4">
        <v>86</v>
      </c>
      <c r="Q22" s="4">
        <v>65</v>
      </c>
      <c r="R22" s="4">
        <v>62</v>
      </c>
      <c r="S22" s="4">
        <v>173</v>
      </c>
      <c r="T22" s="4">
        <v>14</v>
      </c>
      <c r="U22" s="4">
        <v>16</v>
      </c>
      <c r="V22" s="4">
        <v>1798</v>
      </c>
      <c r="W22" s="4">
        <v>352</v>
      </c>
      <c r="X22" s="4">
        <v>84</v>
      </c>
      <c r="Y22" s="4">
        <v>257</v>
      </c>
      <c r="Z22" s="4">
        <v>241</v>
      </c>
      <c r="AA22" s="4">
        <v>217</v>
      </c>
      <c r="AB22" s="4">
        <v>259</v>
      </c>
      <c r="AC22" s="4">
        <v>388</v>
      </c>
      <c r="AD22" s="4">
        <v>788</v>
      </c>
      <c r="AE22" s="4">
        <v>107</v>
      </c>
      <c r="AF22" s="4">
        <v>35</v>
      </c>
      <c r="AG22" s="4">
        <v>116</v>
      </c>
      <c r="AH22" s="4">
        <v>109</v>
      </c>
      <c r="AI22" s="4">
        <v>82</v>
      </c>
      <c r="AJ22" s="4">
        <v>127</v>
      </c>
      <c r="AK22" s="4">
        <v>213</v>
      </c>
      <c r="AL22" s="4">
        <v>1010</v>
      </c>
      <c r="AM22" s="4">
        <v>245</v>
      </c>
      <c r="AN22" s="4">
        <v>49</v>
      </c>
      <c r="AO22" s="4">
        <v>141</v>
      </c>
      <c r="AP22" s="4">
        <v>132</v>
      </c>
      <c r="AQ22" s="4">
        <v>136</v>
      </c>
      <c r="AR22" s="4">
        <v>132</v>
      </c>
      <c r="AS22" s="4">
        <v>175</v>
      </c>
      <c r="AT22" s="4">
        <v>0.6</v>
      </c>
      <c r="AU22" s="4">
        <v>19.600000000000001</v>
      </c>
      <c r="AV22" s="4">
        <v>864</v>
      </c>
      <c r="AW22" s="43">
        <v>48.1</v>
      </c>
    </row>
    <row r="23" spans="1:49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283</v>
      </c>
      <c r="I23" s="4">
        <v>289</v>
      </c>
      <c r="J23" s="4">
        <v>235</v>
      </c>
      <c r="K23" s="4">
        <v>154</v>
      </c>
      <c r="L23" s="4">
        <v>648</v>
      </c>
      <c r="M23" s="4">
        <v>326</v>
      </c>
      <c r="N23" s="4">
        <v>2300</v>
      </c>
      <c r="O23" s="4">
        <v>198</v>
      </c>
      <c r="P23" s="4">
        <v>286</v>
      </c>
      <c r="Q23" s="4">
        <v>231</v>
      </c>
      <c r="R23" s="4">
        <v>151</v>
      </c>
      <c r="S23" s="4">
        <v>463</v>
      </c>
      <c r="T23" s="4">
        <v>44</v>
      </c>
      <c r="U23" s="4">
        <v>28</v>
      </c>
      <c r="V23" s="4">
        <v>2742</v>
      </c>
      <c r="W23" s="4">
        <v>554</v>
      </c>
      <c r="X23" s="4">
        <v>117</v>
      </c>
      <c r="Y23" s="4">
        <v>558</v>
      </c>
      <c r="Z23" s="4">
        <v>539</v>
      </c>
      <c r="AA23" s="4">
        <v>316</v>
      </c>
      <c r="AB23" s="4">
        <v>337</v>
      </c>
      <c r="AC23" s="4">
        <v>321</v>
      </c>
      <c r="AD23" s="4">
        <v>1259</v>
      </c>
      <c r="AE23" s="4">
        <v>249</v>
      </c>
      <c r="AF23" s="4">
        <v>47</v>
      </c>
      <c r="AG23" s="4">
        <v>280</v>
      </c>
      <c r="AH23" s="4">
        <v>247</v>
      </c>
      <c r="AI23" s="4">
        <v>131</v>
      </c>
      <c r="AJ23" s="4">
        <v>132</v>
      </c>
      <c r="AK23" s="4">
        <v>174</v>
      </c>
      <c r="AL23" s="4">
        <v>1483</v>
      </c>
      <c r="AM23" s="4">
        <v>305</v>
      </c>
      <c r="AN23" s="4">
        <v>70</v>
      </c>
      <c r="AO23" s="4">
        <v>278</v>
      </c>
      <c r="AP23" s="4">
        <v>292</v>
      </c>
      <c r="AQ23" s="4">
        <v>185</v>
      </c>
      <c r="AR23" s="4">
        <v>205</v>
      </c>
      <c r="AS23" s="4">
        <v>148</v>
      </c>
      <c r="AT23" s="4">
        <v>0.5</v>
      </c>
      <c r="AU23" s="4">
        <v>20.2</v>
      </c>
      <c r="AV23" s="4">
        <v>974</v>
      </c>
      <c r="AW23" s="43">
        <v>35.5</v>
      </c>
    </row>
    <row r="24" spans="1:49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159</v>
      </c>
      <c r="I24" s="4">
        <v>239</v>
      </c>
      <c r="J24" s="4">
        <v>195</v>
      </c>
      <c r="K24" s="4">
        <v>151</v>
      </c>
      <c r="L24" s="4">
        <v>308</v>
      </c>
      <c r="M24" s="4">
        <v>114</v>
      </c>
      <c r="N24" s="4">
        <v>1242</v>
      </c>
      <c r="O24" s="4">
        <v>114</v>
      </c>
      <c r="P24" s="4">
        <v>232</v>
      </c>
      <c r="Q24" s="4">
        <v>191</v>
      </c>
      <c r="R24" s="4">
        <v>128</v>
      </c>
      <c r="S24" s="4">
        <v>199</v>
      </c>
      <c r="T24" s="4">
        <v>1</v>
      </c>
      <c r="U24" s="4">
        <v>14</v>
      </c>
      <c r="V24" s="4">
        <v>1473</v>
      </c>
      <c r="W24" s="4">
        <v>574</v>
      </c>
      <c r="X24" s="4">
        <v>101</v>
      </c>
      <c r="Y24" s="4">
        <v>330</v>
      </c>
      <c r="Z24" s="4">
        <v>222</v>
      </c>
      <c r="AA24" s="4">
        <v>100</v>
      </c>
      <c r="AB24" s="4">
        <v>62</v>
      </c>
      <c r="AC24" s="4">
        <v>83</v>
      </c>
      <c r="AD24" s="4">
        <v>732</v>
      </c>
      <c r="AE24" s="4">
        <v>267</v>
      </c>
      <c r="AF24" s="4">
        <v>42</v>
      </c>
      <c r="AG24" s="4">
        <v>180</v>
      </c>
      <c r="AH24" s="4">
        <v>117</v>
      </c>
      <c r="AI24" s="4">
        <v>46</v>
      </c>
      <c r="AJ24" s="4">
        <v>28</v>
      </c>
      <c r="AK24" s="4">
        <v>51</v>
      </c>
      <c r="AL24" s="4">
        <v>741</v>
      </c>
      <c r="AM24" s="4">
        <v>307</v>
      </c>
      <c r="AN24" s="4">
        <v>60</v>
      </c>
      <c r="AO24" s="4">
        <v>150</v>
      </c>
      <c r="AP24" s="4">
        <v>105</v>
      </c>
      <c r="AQ24" s="4">
        <v>54</v>
      </c>
      <c r="AR24" s="4">
        <v>33</v>
      </c>
      <c r="AS24" s="4">
        <v>32</v>
      </c>
      <c r="AT24" s="4">
        <v>0.2</v>
      </c>
      <c r="AU24" s="4">
        <v>39</v>
      </c>
      <c r="AV24" s="4">
        <v>245</v>
      </c>
      <c r="AW24" s="43">
        <v>16.600000000000001</v>
      </c>
    </row>
    <row r="25" spans="1:49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198</v>
      </c>
      <c r="I25" s="4">
        <v>244</v>
      </c>
      <c r="J25" s="4">
        <v>158</v>
      </c>
      <c r="K25" s="4">
        <v>136</v>
      </c>
      <c r="L25" s="4">
        <v>208</v>
      </c>
      <c r="M25" s="4">
        <v>98</v>
      </c>
      <c r="N25" s="4">
        <v>1225</v>
      </c>
      <c r="O25" s="4">
        <v>150</v>
      </c>
      <c r="P25" s="4">
        <v>244</v>
      </c>
      <c r="Q25" s="4">
        <v>158</v>
      </c>
      <c r="R25" s="4">
        <v>129</v>
      </c>
      <c r="S25" s="4">
        <v>72</v>
      </c>
      <c r="T25" s="4">
        <v>7</v>
      </c>
      <c r="U25" s="4">
        <v>10</v>
      </c>
      <c r="V25" s="4">
        <v>1450</v>
      </c>
      <c r="W25" s="4">
        <v>577</v>
      </c>
      <c r="X25" s="4">
        <v>89</v>
      </c>
      <c r="Y25" s="4">
        <v>317</v>
      </c>
      <c r="Z25" s="4">
        <v>238</v>
      </c>
      <c r="AA25" s="4">
        <v>113</v>
      </c>
      <c r="AB25" s="4">
        <v>79</v>
      </c>
      <c r="AC25" s="4">
        <v>37</v>
      </c>
      <c r="AD25" s="4">
        <v>680</v>
      </c>
      <c r="AE25" s="4">
        <v>240</v>
      </c>
      <c r="AF25" s="4">
        <v>29</v>
      </c>
      <c r="AG25" s="4">
        <v>195</v>
      </c>
      <c r="AH25" s="4">
        <v>121</v>
      </c>
      <c r="AI25" s="4">
        <v>46</v>
      </c>
      <c r="AJ25" s="4">
        <v>29</v>
      </c>
      <c r="AK25" s="4">
        <v>20</v>
      </c>
      <c r="AL25" s="4">
        <v>770</v>
      </c>
      <c r="AM25" s="4">
        <v>337</v>
      </c>
      <c r="AN25" s="4">
        <v>60</v>
      </c>
      <c r="AO25" s="4">
        <v>122</v>
      </c>
      <c r="AP25" s="4">
        <v>117</v>
      </c>
      <c r="AQ25" s="4">
        <v>67</v>
      </c>
      <c r="AR25" s="4">
        <v>50</v>
      </c>
      <c r="AS25" s="4">
        <v>17</v>
      </c>
      <c r="AT25" s="4">
        <v>0.2</v>
      </c>
      <c r="AU25" s="4">
        <v>39.799999999999997</v>
      </c>
      <c r="AV25" s="4">
        <v>229</v>
      </c>
      <c r="AW25" s="43">
        <v>15.8</v>
      </c>
    </row>
    <row r="26" spans="1:49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215</v>
      </c>
      <c r="I26" s="4">
        <v>242</v>
      </c>
      <c r="J26" s="4">
        <v>192</v>
      </c>
      <c r="K26" s="4">
        <v>130</v>
      </c>
      <c r="L26" s="4">
        <v>360</v>
      </c>
      <c r="M26" s="4">
        <v>230</v>
      </c>
      <c r="N26" s="4">
        <v>1720</v>
      </c>
      <c r="O26" s="4">
        <v>171</v>
      </c>
      <c r="P26" s="4">
        <v>242</v>
      </c>
      <c r="Q26" s="4">
        <v>192</v>
      </c>
      <c r="R26" s="4">
        <v>123</v>
      </c>
      <c r="S26" s="4">
        <v>185</v>
      </c>
      <c r="T26" s="4">
        <v>17</v>
      </c>
      <c r="U26" s="4">
        <v>11</v>
      </c>
      <c r="V26" s="4">
        <v>2104</v>
      </c>
      <c r="W26" s="4">
        <v>346</v>
      </c>
      <c r="X26" s="4">
        <v>84</v>
      </c>
      <c r="Y26" s="4">
        <v>457</v>
      </c>
      <c r="Z26" s="4">
        <v>406</v>
      </c>
      <c r="AA26" s="4">
        <v>239</v>
      </c>
      <c r="AB26" s="4">
        <v>277</v>
      </c>
      <c r="AC26" s="4">
        <v>295</v>
      </c>
      <c r="AD26" s="4">
        <v>983</v>
      </c>
      <c r="AE26" s="4">
        <v>128</v>
      </c>
      <c r="AF26" s="4">
        <v>57</v>
      </c>
      <c r="AG26" s="4">
        <v>221</v>
      </c>
      <c r="AH26" s="4">
        <v>216</v>
      </c>
      <c r="AI26" s="4">
        <v>117</v>
      </c>
      <c r="AJ26" s="4">
        <v>80</v>
      </c>
      <c r="AK26" s="4">
        <v>164</v>
      </c>
      <c r="AL26" s="4">
        <v>1121</v>
      </c>
      <c r="AM26" s="4">
        <v>218</v>
      </c>
      <c r="AN26" s="4">
        <v>27</v>
      </c>
      <c r="AO26" s="4">
        <v>236</v>
      </c>
      <c r="AP26" s="4">
        <v>190</v>
      </c>
      <c r="AQ26" s="4">
        <v>122</v>
      </c>
      <c r="AR26" s="4">
        <v>197</v>
      </c>
      <c r="AS26" s="4">
        <v>131</v>
      </c>
      <c r="AT26" s="4">
        <v>0.4</v>
      </c>
      <c r="AU26" s="4">
        <v>16.399999999999999</v>
      </c>
      <c r="AV26" s="4">
        <v>811</v>
      </c>
      <c r="AW26" s="43">
        <v>38.5</v>
      </c>
    </row>
    <row r="27" spans="1:49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148</v>
      </c>
      <c r="I27" s="4">
        <v>248</v>
      </c>
      <c r="J27" s="4">
        <v>204</v>
      </c>
      <c r="K27" s="4">
        <v>167</v>
      </c>
      <c r="L27" s="4">
        <v>237</v>
      </c>
      <c r="M27" s="4">
        <v>121</v>
      </c>
      <c r="N27" s="4">
        <v>1132</v>
      </c>
      <c r="O27" s="4">
        <v>127</v>
      </c>
      <c r="P27" s="4">
        <v>242</v>
      </c>
      <c r="Q27" s="4">
        <v>204</v>
      </c>
      <c r="R27" s="4">
        <v>159</v>
      </c>
      <c r="S27" s="4">
        <v>99</v>
      </c>
      <c r="T27" s="4">
        <v>3</v>
      </c>
      <c r="U27" s="4">
        <v>14</v>
      </c>
      <c r="V27" s="4">
        <v>1381</v>
      </c>
      <c r="W27" s="4">
        <v>511</v>
      </c>
      <c r="X27" s="4">
        <v>86</v>
      </c>
      <c r="Y27" s="4">
        <v>365</v>
      </c>
      <c r="Z27" s="4">
        <v>230</v>
      </c>
      <c r="AA27" s="4">
        <v>94</v>
      </c>
      <c r="AB27" s="4">
        <v>68</v>
      </c>
      <c r="AC27" s="4">
        <v>27</v>
      </c>
      <c r="AD27" s="4">
        <v>649</v>
      </c>
      <c r="AE27" s="4">
        <v>218</v>
      </c>
      <c r="AF27" s="4">
        <v>56</v>
      </c>
      <c r="AG27" s="4">
        <v>180</v>
      </c>
      <c r="AH27" s="4">
        <v>102</v>
      </c>
      <c r="AI27" s="4">
        <v>47</v>
      </c>
      <c r="AJ27" s="4">
        <v>31</v>
      </c>
      <c r="AK27" s="4">
        <v>15</v>
      </c>
      <c r="AL27" s="4">
        <v>733</v>
      </c>
      <c r="AM27" s="4">
        <v>293</v>
      </c>
      <c r="AN27" s="4">
        <v>30</v>
      </c>
      <c r="AO27" s="4">
        <v>185</v>
      </c>
      <c r="AP27" s="4">
        <v>128</v>
      </c>
      <c r="AQ27" s="4">
        <v>47</v>
      </c>
      <c r="AR27" s="4">
        <v>37</v>
      </c>
      <c r="AS27" s="4">
        <v>12</v>
      </c>
      <c r="AT27" s="4">
        <v>0.2</v>
      </c>
      <c r="AU27" s="4">
        <v>37</v>
      </c>
      <c r="AV27" s="4">
        <v>189</v>
      </c>
      <c r="AW27" s="43">
        <v>13.7</v>
      </c>
    </row>
    <row r="28" spans="1:49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201</v>
      </c>
      <c r="I28" s="4">
        <v>233</v>
      </c>
      <c r="J28" s="4">
        <v>185</v>
      </c>
      <c r="K28" s="4">
        <v>92</v>
      </c>
      <c r="L28" s="4">
        <v>194</v>
      </c>
      <c r="M28" s="4">
        <v>162</v>
      </c>
      <c r="N28" s="4">
        <v>1016</v>
      </c>
      <c r="O28" s="4">
        <v>144</v>
      </c>
      <c r="P28" s="4">
        <v>226</v>
      </c>
      <c r="Q28" s="4">
        <v>185</v>
      </c>
      <c r="R28" s="4">
        <v>84</v>
      </c>
      <c r="S28" s="4">
        <v>97</v>
      </c>
      <c r="T28" s="4">
        <v>14</v>
      </c>
      <c r="U28" s="4">
        <v>17</v>
      </c>
      <c r="V28" s="4">
        <v>1251</v>
      </c>
      <c r="W28" s="4">
        <v>493</v>
      </c>
      <c r="X28" s="4">
        <v>78</v>
      </c>
      <c r="Y28" s="4">
        <v>239</v>
      </c>
      <c r="Z28" s="4">
        <v>251</v>
      </c>
      <c r="AA28" s="4">
        <v>68</v>
      </c>
      <c r="AB28" s="4">
        <v>74</v>
      </c>
      <c r="AC28" s="4">
        <v>49</v>
      </c>
      <c r="AD28" s="4">
        <v>598</v>
      </c>
      <c r="AE28" s="4">
        <v>229</v>
      </c>
      <c r="AF28" s="4">
        <v>39</v>
      </c>
      <c r="AG28" s="4">
        <v>135</v>
      </c>
      <c r="AH28" s="4">
        <v>120</v>
      </c>
      <c r="AI28" s="4">
        <v>25</v>
      </c>
      <c r="AJ28" s="4">
        <v>28</v>
      </c>
      <c r="AK28" s="4">
        <v>21</v>
      </c>
      <c r="AL28" s="4">
        <v>653</v>
      </c>
      <c r="AM28" s="4">
        <v>263</v>
      </c>
      <c r="AN28" s="4">
        <v>39</v>
      </c>
      <c r="AO28" s="4">
        <v>104</v>
      </c>
      <c r="AP28" s="4">
        <v>130</v>
      </c>
      <c r="AQ28" s="4">
        <v>42</v>
      </c>
      <c r="AR28" s="4">
        <v>46</v>
      </c>
      <c r="AS28" s="4">
        <v>28</v>
      </c>
      <c r="AT28" s="4">
        <v>0.1</v>
      </c>
      <c r="AU28" s="4">
        <v>39.4</v>
      </c>
      <c r="AV28" s="4">
        <v>191</v>
      </c>
      <c r="AW28" s="43">
        <v>15.3</v>
      </c>
    </row>
    <row r="29" spans="1:49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152</v>
      </c>
      <c r="I29" s="4">
        <v>236</v>
      </c>
      <c r="J29" s="4">
        <v>207</v>
      </c>
      <c r="K29" s="4">
        <v>112</v>
      </c>
      <c r="L29" s="4">
        <v>338</v>
      </c>
      <c r="M29" s="4">
        <v>192</v>
      </c>
      <c r="N29" s="4">
        <v>1553</v>
      </c>
      <c r="O29" s="4">
        <v>111</v>
      </c>
      <c r="P29" s="4">
        <v>229</v>
      </c>
      <c r="Q29" s="4">
        <v>201</v>
      </c>
      <c r="R29" s="4">
        <v>103</v>
      </c>
      <c r="S29" s="4">
        <v>175</v>
      </c>
      <c r="T29" s="4">
        <v>21</v>
      </c>
      <c r="U29" s="4">
        <v>36</v>
      </c>
      <c r="V29" s="4">
        <v>1861</v>
      </c>
      <c r="W29" s="4">
        <v>744</v>
      </c>
      <c r="X29" s="4">
        <v>77</v>
      </c>
      <c r="Y29" s="4">
        <v>396</v>
      </c>
      <c r="Z29" s="4">
        <v>297</v>
      </c>
      <c r="AA29" s="4">
        <v>152</v>
      </c>
      <c r="AB29" s="4">
        <v>103</v>
      </c>
      <c r="AC29" s="4">
        <v>92</v>
      </c>
      <c r="AD29" s="4">
        <v>878</v>
      </c>
      <c r="AE29" s="4">
        <v>318</v>
      </c>
      <c r="AF29" s="4">
        <v>46</v>
      </c>
      <c r="AG29" s="4">
        <v>211</v>
      </c>
      <c r="AH29" s="4">
        <v>147</v>
      </c>
      <c r="AI29" s="4">
        <v>63</v>
      </c>
      <c r="AJ29" s="4">
        <v>35</v>
      </c>
      <c r="AK29" s="4">
        <v>58</v>
      </c>
      <c r="AL29" s="4">
        <v>983</v>
      </c>
      <c r="AM29" s="4">
        <v>425</v>
      </c>
      <c r="AN29" s="4">
        <v>31</v>
      </c>
      <c r="AO29" s="4">
        <v>185</v>
      </c>
      <c r="AP29" s="4">
        <v>151</v>
      </c>
      <c r="AQ29" s="4">
        <v>88</v>
      </c>
      <c r="AR29" s="4">
        <v>68</v>
      </c>
      <c r="AS29" s="4">
        <v>34</v>
      </c>
      <c r="AT29" s="4">
        <v>0.2</v>
      </c>
      <c r="AU29" s="4">
        <v>40</v>
      </c>
      <c r="AV29" s="4">
        <v>347</v>
      </c>
      <c r="AW29" s="43">
        <v>18.600000000000001</v>
      </c>
    </row>
    <row r="30" spans="1:49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148</v>
      </c>
      <c r="I30" s="4">
        <v>301</v>
      </c>
      <c r="J30" s="4">
        <v>169</v>
      </c>
      <c r="K30" s="4">
        <v>119</v>
      </c>
      <c r="L30" s="4">
        <v>274</v>
      </c>
      <c r="M30" s="4">
        <v>139</v>
      </c>
      <c r="N30" s="4">
        <v>1046</v>
      </c>
      <c r="O30" s="4">
        <v>123</v>
      </c>
      <c r="P30" s="4">
        <v>295</v>
      </c>
      <c r="Q30" s="4">
        <v>169</v>
      </c>
      <c r="R30" s="4">
        <v>102</v>
      </c>
      <c r="S30" s="4">
        <v>102</v>
      </c>
      <c r="T30" s="4">
        <v>6</v>
      </c>
      <c r="U30" s="4">
        <v>13</v>
      </c>
      <c r="V30" s="4">
        <v>1353</v>
      </c>
      <c r="W30" s="4">
        <v>646</v>
      </c>
      <c r="X30" s="4">
        <v>65</v>
      </c>
      <c r="Y30" s="4">
        <v>258</v>
      </c>
      <c r="Z30" s="4">
        <v>221</v>
      </c>
      <c r="AA30" s="4">
        <v>79</v>
      </c>
      <c r="AB30" s="4">
        <v>59</v>
      </c>
      <c r="AC30" s="4">
        <v>25</v>
      </c>
      <c r="AD30" s="4">
        <v>690</v>
      </c>
      <c r="AE30" s="4">
        <v>294</v>
      </c>
      <c r="AF30" s="4">
        <v>37</v>
      </c>
      <c r="AG30" s="4">
        <v>151</v>
      </c>
      <c r="AH30" s="4">
        <v>126</v>
      </c>
      <c r="AI30" s="4">
        <v>42</v>
      </c>
      <c r="AJ30" s="4">
        <v>24</v>
      </c>
      <c r="AK30" s="4">
        <v>18</v>
      </c>
      <c r="AL30" s="4">
        <v>663</v>
      </c>
      <c r="AM30" s="4">
        <v>352</v>
      </c>
      <c r="AN30" s="4">
        <v>28</v>
      </c>
      <c r="AO30" s="4">
        <v>107</v>
      </c>
      <c r="AP30" s="4">
        <v>95</v>
      </c>
      <c r="AQ30" s="4">
        <v>38</v>
      </c>
      <c r="AR30" s="4">
        <v>35</v>
      </c>
      <c r="AS30" s="4">
        <v>8</v>
      </c>
      <c r="AT30" s="4">
        <v>0.2</v>
      </c>
      <c r="AU30" s="4">
        <v>47.7</v>
      </c>
      <c r="AV30" s="4">
        <v>163</v>
      </c>
      <c r="AW30" s="43">
        <v>12</v>
      </c>
    </row>
    <row r="31" spans="1:49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245</v>
      </c>
      <c r="I31" s="4">
        <v>314</v>
      </c>
      <c r="J31" s="4">
        <v>202</v>
      </c>
      <c r="K31" s="4">
        <v>133</v>
      </c>
      <c r="L31" s="4">
        <v>283</v>
      </c>
      <c r="M31" s="4">
        <v>180</v>
      </c>
      <c r="N31" s="4">
        <v>1166</v>
      </c>
      <c r="O31" s="4">
        <v>187</v>
      </c>
      <c r="P31" s="4">
        <v>306</v>
      </c>
      <c r="Q31" s="4">
        <v>196</v>
      </c>
      <c r="R31" s="4">
        <v>108</v>
      </c>
      <c r="S31" s="4">
        <v>88</v>
      </c>
      <c r="T31" s="4">
        <v>15</v>
      </c>
      <c r="U31" s="4">
        <v>6</v>
      </c>
      <c r="V31" s="4">
        <v>1544</v>
      </c>
      <c r="W31" s="4">
        <v>686</v>
      </c>
      <c r="X31" s="4">
        <v>102</v>
      </c>
      <c r="Y31" s="4">
        <v>269</v>
      </c>
      <c r="Z31" s="4">
        <v>234</v>
      </c>
      <c r="AA31" s="4">
        <v>100</v>
      </c>
      <c r="AB31" s="4">
        <v>80</v>
      </c>
      <c r="AC31" s="4">
        <v>72</v>
      </c>
      <c r="AD31" s="4">
        <v>741</v>
      </c>
      <c r="AE31" s="4">
        <v>290</v>
      </c>
      <c r="AF31" s="4">
        <v>61</v>
      </c>
      <c r="AG31" s="4">
        <v>138</v>
      </c>
      <c r="AH31" s="4">
        <v>148</v>
      </c>
      <c r="AI31" s="4">
        <v>48</v>
      </c>
      <c r="AJ31" s="4">
        <v>22</v>
      </c>
      <c r="AK31" s="4">
        <v>34</v>
      </c>
      <c r="AL31" s="4">
        <v>802</v>
      </c>
      <c r="AM31" s="4">
        <v>396</v>
      </c>
      <c r="AN31" s="4">
        <v>40</v>
      </c>
      <c r="AO31" s="4">
        <v>131</v>
      </c>
      <c r="AP31" s="4">
        <v>87</v>
      </c>
      <c r="AQ31" s="4">
        <v>53</v>
      </c>
      <c r="AR31" s="4">
        <v>58</v>
      </c>
      <c r="AS31" s="4">
        <v>38</v>
      </c>
      <c r="AT31" s="4">
        <v>0.2</v>
      </c>
      <c r="AU31" s="4">
        <v>44.4</v>
      </c>
      <c r="AV31" s="4">
        <v>252</v>
      </c>
      <c r="AW31" s="43">
        <v>16.3</v>
      </c>
    </row>
    <row r="32" spans="1:49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122</v>
      </c>
      <c r="I32" s="4">
        <v>192</v>
      </c>
      <c r="J32" s="4">
        <v>126</v>
      </c>
      <c r="K32" s="4">
        <v>127</v>
      </c>
      <c r="L32" s="4">
        <v>209</v>
      </c>
      <c r="M32" s="4">
        <v>148</v>
      </c>
      <c r="N32" s="4">
        <v>1088</v>
      </c>
      <c r="O32" s="4">
        <v>91</v>
      </c>
      <c r="P32" s="4">
        <v>192</v>
      </c>
      <c r="Q32" s="4">
        <v>126</v>
      </c>
      <c r="R32" s="4">
        <v>104</v>
      </c>
      <c r="S32" s="4">
        <v>95</v>
      </c>
      <c r="T32" s="4">
        <v>16</v>
      </c>
      <c r="U32" s="4">
        <v>11</v>
      </c>
      <c r="V32" s="4">
        <v>1347</v>
      </c>
      <c r="W32" s="4">
        <v>640</v>
      </c>
      <c r="X32" s="4">
        <v>58</v>
      </c>
      <c r="Y32" s="4">
        <v>289</v>
      </c>
      <c r="Z32" s="4">
        <v>161</v>
      </c>
      <c r="AA32" s="4">
        <v>80</v>
      </c>
      <c r="AB32" s="4">
        <v>50</v>
      </c>
      <c r="AC32" s="4">
        <v>69</v>
      </c>
      <c r="AD32" s="4">
        <v>700</v>
      </c>
      <c r="AE32" s="4">
        <v>325</v>
      </c>
      <c r="AF32" s="4">
        <v>25</v>
      </c>
      <c r="AG32" s="4">
        <v>182</v>
      </c>
      <c r="AH32" s="4">
        <v>68</v>
      </c>
      <c r="AI32" s="4">
        <v>53</v>
      </c>
      <c r="AJ32" s="4">
        <v>18</v>
      </c>
      <c r="AK32" s="4">
        <v>29</v>
      </c>
      <c r="AL32" s="4">
        <v>646</v>
      </c>
      <c r="AM32" s="4">
        <v>315</v>
      </c>
      <c r="AN32" s="4">
        <v>33</v>
      </c>
      <c r="AO32" s="4">
        <v>107</v>
      </c>
      <c r="AP32" s="4">
        <v>93</v>
      </c>
      <c r="AQ32" s="4">
        <v>27</v>
      </c>
      <c r="AR32" s="4">
        <v>31</v>
      </c>
      <c r="AS32" s="4">
        <v>40</v>
      </c>
      <c r="AT32" s="4">
        <v>0.3</v>
      </c>
      <c r="AU32" s="4">
        <v>47.5</v>
      </c>
      <c r="AV32" s="4">
        <v>199</v>
      </c>
      <c r="AW32" s="43">
        <v>14.8</v>
      </c>
    </row>
    <row r="33" spans="1:49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28</v>
      </c>
      <c r="I33" s="4">
        <v>41</v>
      </c>
      <c r="J33" s="4">
        <v>19</v>
      </c>
      <c r="K33" s="4">
        <v>17</v>
      </c>
      <c r="L33" s="4">
        <v>49</v>
      </c>
      <c r="M33" s="4">
        <v>38</v>
      </c>
      <c r="N33" s="4">
        <v>339</v>
      </c>
      <c r="O33" s="4">
        <v>22</v>
      </c>
      <c r="P33" s="4">
        <v>41</v>
      </c>
      <c r="Q33" s="4">
        <v>19</v>
      </c>
      <c r="R33" s="4">
        <v>17</v>
      </c>
      <c r="S33" s="4">
        <v>32</v>
      </c>
      <c r="T33" s="4">
        <v>0</v>
      </c>
      <c r="U33" s="4">
        <v>2</v>
      </c>
      <c r="V33" s="4">
        <v>392</v>
      </c>
      <c r="W33" s="4">
        <v>195</v>
      </c>
      <c r="X33" s="4">
        <v>19</v>
      </c>
      <c r="Y33" s="4">
        <v>90</v>
      </c>
      <c r="Z33" s="4">
        <v>51</v>
      </c>
      <c r="AA33" s="4">
        <v>12</v>
      </c>
      <c r="AB33" s="4">
        <v>17</v>
      </c>
      <c r="AC33" s="4">
        <v>8</v>
      </c>
      <c r="AD33" s="4">
        <v>262</v>
      </c>
      <c r="AE33" s="4">
        <v>149</v>
      </c>
      <c r="AF33" s="4">
        <v>9</v>
      </c>
      <c r="AG33" s="4">
        <v>60</v>
      </c>
      <c r="AH33" s="4">
        <v>21</v>
      </c>
      <c r="AI33" s="4">
        <v>7</v>
      </c>
      <c r="AJ33" s="4">
        <v>11</v>
      </c>
      <c r="AK33" s="4">
        <v>5</v>
      </c>
      <c r="AL33" s="4">
        <v>130</v>
      </c>
      <c r="AM33" s="4">
        <v>46</v>
      </c>
      <c r="AN33" s="4">
        <v>11</v>
      </c>
      <c r="AO33" s="4">
        <v>30</v>
      </c>
      <c r="AP33" s="4">
        <v>31</v>
      </c>
      <c r="AQ33" s="4">
        <v>4</v>
      </c>
      <c r="AR33" s="4">
        <v>7</v>
      </c>
      <c r="AS33" s="4">
        <v>2</v>
      </c>
      <c r="AT33" s="4">
        <v>0.1</v>
      </c>
      <c r="AU33" s="4">
        <v>49.7</v>
      </c>
      <c r="AV33" s="4">
        <v>37</v>
      </c>
      <c r="AW33" s="43">
        <v>9.4</v>
      </c>
    </row>
    <row r="34" spans="1:49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229</v>
      </c>
      <c r="I34" s="4">
        <v>277</v>
      </c>
      <c r="J34" s="4">
        <v>167</v>
      </c>
      <c r="K34" s="4">
        <v>131</v>
      </c>
      <c r="L34" s="4">
        <v>179</v>
      </c>
      <c r="M34" s="4">
        <v>141</v>
      </c>
      <c r="N34" s="4">
        <v>1124</v>
      </c>
      <c r="O34" s="4">
        <v>189</v>
      </c>
      <c r="P34" s="4">
        <v>270</v>
      </c>
      <c r="Q34" s="4">
        <v>164</v>
      </c>
      <c r="R34" s="4">
        <v>120</v>
      </c>
      <c r="S34" s="4">
        <v>95</v>
      </c>
      <c r="T34" s="4">
        <v>16</v>
      </c>
      <c r="U34" s="4">
        <v>21</v>
      </c>
      <c r="V34" s="4">
        <v>1323</v>
      </c>
      <c r="W34" s="4">
        <v>535</v>
      </c>
      <c r="X34" s="4">
        <v>68</v>
      </c>
      <c r="Y34" s="4">
        <v>249</v>
      </c>
      <c r="Z34" s="4">
        <v>272</v>
      </c>
      <c r="AA34" s="4">
        <v>82</v>
      </c>
      <c r="AB34" s="4">
        <v>78</v>
      </c>
      <c r="AC34" s="4">
        <v>39</v>
      </c>
      <c r="AD34" s="4">
        <v>585</v>
      </c>
      <c r="AE34" s="4">
        <v>228</v>
      </c>
      <c r="AF34" s="4">
        <v>38</v>
      </c>
      <c r="AG34" s="4">
        <v>105</v>
      </c>
      <c r="AH34" s="4">
        <v>124</v>
      </c>
      <c r="AI34" s="4">
        <v>47</v>
      </c>
      <c r="AJ34" s="4">
        <v>15</v>
      </c>
      <c r="AK34" s="4">
        <v>28</v>
      </c>
      <c r="AL34" s="4">
        <v>738</v>
      </c>
      <c r="AM34" s="4">
        <v>307</v>
      </c>
      <c r="AN34" s="4">
        <v>30</v>
      </c>
      <c r="AO34" s="4">
        <v>144</v>
      </c>
      <c r="AP34" s="4">
        <v>148</v>
      </c>
      <c r="AQ34" s="4">
        <v>36</v>
      </c>
      <c r="AR34" s="4">
        <v>63</v>
      </c>
      <c r="AS34" s="4">
        <v>11</v>
      </c>
      <c r="AT34" s="4">
        <v>0.2</v>
      </c>
      <c r="AU34" s="4">
        <v>40.4</v>
      </c>
      <c r="AV34" s="4">
        <v>199</v>
      </c>
      <c r="AW34" s="43">
        <v>15</v>
      </c>
    </row>
    <row r="35" spans="1:49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86</v>
      </c>
      <c r="I35" s="4">
        <v>107</v>
      </c>
      <c r="J35" s="4">
        <v>91</v>
      </c>
      <c r="K35" s="4">
        <v>81</v>
      </c>
      <c r="L35" s="4">
        <v>117</v>
      </c>
      <c r="M35" s="4">
        <v>81</v>
      </c>
      <c r="N35" s="4">
        <v>1090</v>
      </c>
      <c r="O35" s="4">
        <v>67</v>
      </c>
      <c r="P35" s="4">
        <v>104</v>
      </c>
      <c r="Q35" s="4">
        <v>91</v>
      </c>
      <c r="R35" s="4">
        <v>74</v>
      </c>
      <c r="S35" s="4">
        <v>59</v>
      </c>
      <c r="T35" s="4">
        <v>6</v>
      </c>
      <c r="U35" s="4">
        <v>13</v>
      </c>
      <c r="V35" s="4">
        <v>1216</v>
      </c>
      <c r="W35" s="4">
        <v>597</v>
      </c>
      <c r="X35" s="4">
        <v>49</v>
      </c>
      <c r="Y35" s="4">
        <v>223</v>
      </c>
      <c r="Z35" s="4">
        <v>175</v>
      </c>
      <c r="AA35" s="4">
        <v>85</v>
      </c>
      <c r="AB35" s="4">
        <v>43</v>
      </c>
      <c r="AC35" s="4">
        <v>44</v>
      </c>
      <c r="AD35" s="4">
        <v>561</v>
      </c>
      <c r="AE35" s="4">
        <v>230</v>
      </c>
      <c r="AF35" s="4">
        <v>17</v>
      </c>
      <c r="AG35" s="4">
        <v>153</v>
      </c>
      <c r="AH35" s="4">
        <v>92</v>
      </c>
      <c r="AI35" s="4">
        <v>39</v>
      </c>
      <c r="AJ35" s="4">
        <v>11</v>
      </c>
      <c r="AK35" s="4">
        <v>19</v>
      </c>
      <c r="AL35" s="4">
        <v>655</v>
      </c>
      <c r="AM35" s="4">
        <v>367</v>
      </c>
      <c r="AN35" s="4">
        <v>32</v>
      </c>
      <c r="AO35" s="4">
        <v>70</v>
      </c>
      <c r="AP35" s="4">
        <v>82</v>
      </c>
      <c r="AQ35" s="4">
        <v>46</v>
      </c>
      <c r="AR35" s="4">
        <v>32</v>
      </c>
      <c r="AS35" s="4">
        <v>25</v>
      </c>
      <c r="AT35" s="4">
        <v>1</v>
      </c>
      <c r="AU35" s="4">
        <v>49.1</v>
      </c>
      <c r="AV35" s="4">
        <v>172</v>
      </c>
      <c r="AW35" s="43">
        <v>14.1</v>
      </c>
    </row>
    <row r="36" spans="1:49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222</v>
      </c>
      <c r="I36" s="4">
        <v>293</v>
      </c>
      <c r="J36" s="4">
        <v>227</v>
      </c>
      <c r="K36" s="4">
        <v>178</v>
      </c>
      <c r="L36" s="4">
        <v>324</v>
      </c>
      <c r="M36" s="4">
        <v>212</v>
      </c>
      <c r="N36" s="4">
        <v>1984</v>
      </c>
      <c r="O36" s="4">
        <v>182</v>
      </c>
      <c r="P36" s="4">
        <v>286</v>
      </c>
      <c r="Q36" s="4">
        <v>220</v>
      </c>
      <c r="R36" s="4">
        <v>178</v>
      </c>
      <c r="S36" s="4">
        <v>159</v>
      </c>
      <c r="T36" s="4">
        <v>10</v>
      </c>
      <c r="U36" s="4">
        <v>47</v>
      </c>
      <c r="V36" s="4">
        <v>2304</v>
      </c>
      <c r="W36" s="4">
        <v>530</v>
      </c>
      <c r="X36" s="4">
        <v>112</v>
      </c>
      <c r="Y36" s="4">
        <v>477</v>
      </c>
      <c r="Z36" s="4">
        <v>491</v>
      </c>
      <c r="AA36" s="4">
        <v>241</v>
      </c>
      <c r="AB36" s="4">
        <v>273</v>
      </c>
      <c r="AC36" s="4">
        <v>180</v>
      </c>
      <c r="AD36" s="4">
        <v>1021</v>
      </c>
      <c r="AE36" s="4">
        <v>189</v>
      </c>
      <c r="AF36" s="4">
        <v>48</v>
      </c>
      <c r="AG36" s="4">
        <v>227</v>
      </c>
      <c r="AH36" s="4">
        <v>223</v>
      </c>
      <c r="AI36" s="4">
        <v>148</v>
      </c>
      <c r="AJ36" s="4">
        <v>114</v>
      </c>
      <c r="AK36" s="4">
        <v>72</v>
      </c>
      <c r="AL36" s="4">
        <v>1283</v>
      </c>
      <c r="AM36" s="4">
        <v>341</v>
      </c>
      <c r="AN36" s="4">
        <v>65</v>
      </c>
      <c r="AO36" s="4">
        <v>250</v>
      </c>
      <c r="AP36" s="4">
        <v>269</v>
      </c>
      <c r="AQ36" s="4">
        <v>93</v>
      </c>
      <c r="AR36" s="4">
        <v>159</v>
      </c>
      <c r="AS36" s="4">
        <v>108</v>
      </c>
      <c r="AT36" s="4">
        <v>0.5</v>
      </c>
      <c r="AU36" s="4">
        <v>23</v>
      </c>
      <c r="AV36" s="4">
        <v>694</v>
      </c>
      <c r="AW36" s="43">
        <v>30.1</v>
      </c>
    </row>
    <row r="37" spans="1:49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109</v>
      </c>
      <c r="I37" s="4">
        <v>186</v>
      </c>
      <c r="J37" s="4">
        <v>128</v>
      </c>
      <c r="K37" s="4">
        <v>102</v>
      </c>
      <c r="L37" s="4">
        <v>223</v>
      </c>
      <c r="M37" s="4">
        <v>118</v>
      </c>
      <c r="N37" s="4">
        <v>1383</v>
      </c>
      <c r="O37" s="4">
        <v>84</v>
      </c>
      <c r="P37" s="4">
        <v>180</v>
      </c>
      <c r="Q37" s="4">
        <v>121</v>
      </c>
      <c r="R37" s="4">
        <v>102</v>
      </c>
      <c r="S37" s="4">
        <v>102</v>
      </c>
      <c r="T37" s="4">
        <v>3</v>
      </c>
      <c r="U37" s="4">
        <v>0</v>
      </c>
      <c r="V37" s="4">
        <v>1619</v>
      </c>
      <c r="W37" s="4">
        <v>423</v>
      </c>
      <c r="X37" s="4">
        <v>107</v>
      </c>
      <c r="Y37" s="4">
        <v>379</v>
      </c>
      <c r="Z37" s="4">
        <v>295</v>
      </c>
      <c r="AA37" s="4">
        <v>148</v>
      </c>
      <c r="AB37" s="4">
        <v>120</v>
      </c>
      <c r="AC37" s="4">
        <v>148</v>
      </c>
      <c r="AD37" s="4">
        <v>792</v>
      </c>
      <c r="AE37" s="4">
        <v>166</v>
      </c>
      <c r="AF37" s="4">
        <v>55</v>
      </c>
      <c r="AG37" s="4">
        <v>202</v>
      </c>
      <c r="AH37" s="4">
        <v>147</v>
      </c>
      <c r="AI37" s="4">
        <v>54</v>
      </c>
      <c r="AJ37" s="4">
        <v>77</v>
      </c>
      <c r="AK37" s="4">
        <v>91</v>
      </c>
      <c r="AL37" s="4">
        <v>827</v>
      </c>
      <c r="AM37" s="4">
        <v>257</v>
      </c>
      <c r="AN37" s="4">
        <v>52</v>
      </c>
      <c r="AO37" s="4">
        <v>177</v>
      </c>
      <c r="AP37" s="4">
        <v>147</v>
      </c>
      <c r="AQ37" s="4">
        <v>94</v>
      </c>
      <c r="AR37" s="4">
        <v>43</v>
      </c>
      <c r="AS37" s="4">
        <v>56</v>
      </c>
      <c r="AT37" s="4">
        <v>0.5</v>
      </c>
      <c r="AU37" s="4">
        <v>26.1</v>
      </c>
      <c r="AV37" s="4">
        <v>416</v>
      </c>
      <c r="AW37" s="43">
        <v>25.7</v>
      </c>
    </row>
    <row r="38" spans="1:49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151</v>
      </c>
      <c r="I38" s="4">
        <v>266</v>
      </c>
      <c r="J38" s="4">
        <v>229</v>
      </c>
      <c r="K38" s="4">
        <v>112</v>
      </c>
      <c r="L38" s="4">
        <v>278</v>
      </c>
      <c r="M38" s="4">
        <v>186</v>
      </c>
      <c r="N38" s="4">
        <v>1343</v>
      </c>
      <c r="O38" s="4">
        <v>104</v>
      </c>
      <c r="P38" s="4">
        <v>263</v>
      </c>
      <c r="Q38" s="4">
        <v>226</v>
      </c>
      <c r="R38" s="4">
        <v>106</v>
      </c>
      <c r="S38" s="4">
        <v>144</v>
      </c>
      <c r="T38" s="4">
        <v>14</v>
      </c>
      <c r="U38" s="4">
        <v>7</v>
      </c>
      <c r="V38" s="4">
        <v>1649</v>
      </c>
      <c r="W38" s="4">
        <v>448</v>
      </c>
      <c r="X38" s="4">
        <v>73</v>
      </c>
      <c r="Y38" s="4">
        <v>345</v>
      </c>
      <c r="Z38" s="4">
        <v>276</v>
      </c>
      <c r="AA38" s="4">
        <v>163</v>
      </c>
      <c r="AB38" s="4">
        <v>166</v>
      </c>
      <c r="AC38" s="4">
        <v>178</v>
      </c>
      <c r="AD38" s="4">
        <v>796</v>
      </c>
      <c r="AE38" s="4">
        <v>168</v>
      </c>
      <c r="AF38" s="4">
        <v>33</v>
      </c>
      <c r="AG38" s="4">
        <v>226</v>
      </c>
      <c r="AH38" s="4">
        <v>131</v>
      </c>
      <c r="AI38" s="4">
        <v>77</v>
      </c>
      <c r="AJ38" s="4">
        <v>69</v>
      </c>
      <c r="AK38" s="4">
        <v>92</v>
      </c>
      <c r="AL38" s="4">
        <v>853</v>
      </c>
      <c r="AM38" s="4">
        <v>280</v>
      </c>
      <c r="AN38" s="4">
        <v>40</v>
      </c>
      <c r="AO38" s="4">
        <v>119</v>
      </c>
      <c r="AP38" s="4">
        <v>145</v>
      </c>
      <c r="AQ38" s="4">
        <v>87</v>
      </c>
      <c r="AR38" s="4">
        <v>97</v>
      </c>
      <c r="AS38" s="4">
        <v>86</v>
      </c>
      <c r="AT38" s="4">
        <v>0.4</v>
      </c>
      <c r="AU38" s="4">
        <v>27.2</v>
      </c>
      <c r="AV38" s="4">
        <v>507</v>
      </c>
      <c r="AW38" s="43">
        <v>30.7</v>
      </c>
    </row>
    <row r="39" spans="1:49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190</v>
      </c>
      <c r="I39" s="4">
        <v>310</v>
      </c>
      <c r="J39" s="4">
        <v>180</v>
      </c>
      <c r="K39" s="4">
        <v>153</v>
      </c>
      <c r="L39" s="4">
        <v>213</v>
      </c>
      <c r="M39" s="4">
        <v>136</v>
      </c>
      <c r="N39" s="4">
        <v>1266</v>
      </c>
      <c r="O39" s="4">
        <v>139</v>
      </c>
      <c r="P39" s="4">
        <v>303</v>
      </c>
      <c r="Q39" s="4">
        <v>176</v>
      </c>
      <c r="R39" s="4">
        <v>153</v>
      </c>
      <c r="S39" s="4">
        <v>104</v>
      </c>
      <c r="T39" s="4">
        <v>1</v>
      </c>
      <c r="U39" s="4">
        <v>16</v>
      </c>
      <c r="V39" s="4">
        <v>1493</v>
      </c>
      <c r="W39" s="4">
        <v>503</v>
      </c>
      <c r="X39" s="4">
        <v>90</v>
      </c>
      <c r="Y39" s="4">
        <v>361</v>
      </c>
      <c r="Z39" s="4">
        <v>273</v>
      </c>
      <c r="AA39" s="4">
        <v>130</v>
      </c>
      <c r="AB39" s="4">
        <v>76</v>
      </c>
      <c r="AC39" s="4">
        <v>60</v>
      </c>
      <c r="AD39" s="4">
        <v>655</v>
      </c>
      <c r="AE39" s="4">
        <v>201</v>
      </c>
      <c r="AF39" s="4">
        <v>19</v>
      </c>
      <c r="AG39" s="4">
        <v>199</v>
      </c>
      <c r="AH39" s="4">
        <v>131</v>
      </c>
      <c r="AI39" s="4">
        <v>51</v>
      </c>
      <c r="AJ39" s="4">
        <v>26</v>
      </c>
      <c r="AK39" s="4">
        <v>29</v>
      </c>
      <c r="AL39" s="4">
        <v>838</v>
      </c>
      <c r="AM39" s="4">
        <v>302</v>
      </c>
      <c r="AN39" s="4">
        <v>71</v>
      </c>
      <c r="AO39" s="4">
        <v>163</v>
      </c>
      <c r="AP39" s="4">
        <v>142</v>
      </c>
      <c r="AQ39" s="4">
        <v>79</v>
      </c>
      <c r="AR39" s="4">
        <v>49</v>
      </c>
      <c r="AS39" s="4">
        <v>31</v>
      </c>
      <c r="AT39" s="4">
        <v>0.2</v>
      </c>
      <c r="AU39" s="4">
        <v>33.700000000000003</v>
      </c>
      <c r="AV39" s="4">
        <v>266</v>
      </c>
      <c r="AW39" s="43">
        <v>17.8</v>
      </c>
    </row>
    <row r="40" spans="1:49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176</v>
      </c>
      <c r="I40" s="51">
        <v>174</v>
      </c>
      <c r="J40" s="51">
        <v>153</v>
      </c>
      <c r="K40" s="51">
        <v>82</v>
      </c>
      <c r="L40" s="51">
        <v>281</v>
      </c>
      <c r="M40" s="51">
        <v>144</v>
      </c>
      <c r="N40" s="51">
        <v>1181</v>
      </c>
      <c r="O40" s="51">
        <v>135</v>
      </c>
      <c r="P40" s="51">
        <v>172</v>
      </c>
      <c r="Q40" s="51">
        <v>153</v>
      </c>
      <c r="R40" s="51">
        <v>82</v>
      </c>
      <c r="S40" s="51">
        <v>85</v>
      </c>
      <c r="T40" s="51">
        <v>3</v>
      </c>
      <c r="U40" s="51">
        <v>15</v>
      </c>
      <c r="V40" s="51">
        <v>1504</v>
      </c>
      <c r="W40" s="51">
        <v>564</v>
      </c>
      <c r="X40" s="51">
        <v>95</v>
      </c>
      <c r="Y40" s="51">
        <v>411</v>
      </c>
      <c r="Z40" s="51">
        <v>250</v>
      </c>
      <c r="AA40" s="51">
        <v>91</v>
      </c>
      <c r="AB40" s="51">
        <v>55</v>
      </c>
      <c r="AC40" s="51">
        <v>38</v>
      </c>
      <c r="AD40" s="51">
        <v>702</v>
      </c>
      <c r="AE40" s="51">
        <v>249</v>
      </c>
      <c r="AF40" s="51">
        <v>34</v>
      </c>
      <c r="AG40" s="51">
        <v>208</v>
      </c>
      <c r="AH40" s="51">
        <v>127</v>
      </c>
      <c r="AI40" s="51">
        <v>48</v>
      </c>
      <c r="AJ40" s="51">
        <v>19</v>
      </c>
      <c r="AK40" s="51">
        <v>17</v>
      </c>
      <c r="AL40" s="51">
        <v>802</v>
      </c>
      <c r="AM40" s="51">
        <v>316</v>
      </c>
      <c r="AN40" s="51">
        <v>61</v>
      </c>
      <c r="AO40" s="51">
        <v>203</v>
      </c>
      <c r="AP40" s="51">
        <v>123</v>
      </c>
      <c r="AQ40" s="51">
        <v>43</v>
      </c>
      <c r="AR40" s="51">
        <v>36</v>
      </c>
      <c r="AS40" s="51">
        <v>21</v>
      </c>
      <c r="AT40" s="51">
        <v>0.3</v>
      </c>
      <c r="AU40" s="51">
        <v>37.5</v>
      </c>
      <c r="AV40" s="51">
        <v>184</v>
      </c>
      <c r="AW40" s="52">
        <v>12.2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15" customWidth="1"/>
    <col min="9" max="9" width="23.28515625" customWidth="1"/>
    <col min="10" max="10" width="36" customWidth="1"/>
    <col min="11" max="11" width="19.85546875" customWidth="1"/>
    <col min="12" max="12" width="15" customWidth="1"/>
    <col min="13" max="13" width="15.85546875" customWidth="1"/>
    <col min="14" max="14" width="17.85546875" customWidth="1"/>
    <col min="15" max="17" width="18.7109375" customWidth="1"/>
    <col min="18" max="18" width="25.5703125" customWidth="1"/>
    <col min="19" max="19" width="16.85546875" customWidth="1"/>
    <col min="20" max="20" width="22.42578125" customWidth="1"/>
    <col min="21" max="21" width="28.140625" customWidth="1"/>
    <col min="22" max="22" width="27.5703125" customWidth="1"/>
    <col min="23" max="23" width="33.28515625" customWidth="1"/>
    <col min="24" max="24" width="28" customWidth="1"/>
    <col min="25" max="27" width="31.85546875" customWidth="1"/>
    <col min="28" max="28" width="32.85546875" customWidth="1"/>
    <col min="29" max="29" width="33.85546875" customWidth="1"/>
    <col min="30" max="30" width="27.28515625" customWidth="1"/>
    <col min="31" max="32" width="18.7109375" customWidth="1"/>
    <col min="33" max="37" width="21.42578125" customWidth="1"/>
    <col min="38" max="39" width="30.28515625" customWidth="1"/>
    <col min="40" max="44" width="33" customWidth="1"/>
    <col min="45" max="46" width="29.5703125" customWidth="1"/>
    <col min="47" max="51" width="32.28515625" customWidth="1"/>
    <col min="52" max="52" width="15" customWidth="1"/>
    <col min="53" max="53" width="33.28515625" customWidth="1"/>
    <col min="54" max="55" width="34.42578125" customWidth="1"/>
    <col min="56" max="56" width="41.7109375" customWidth="1"/>
    <col min="57" max="57" width="15.140625" customWidth="1"/>
    <col min="58" max="58" width="33" customWidth="1"/>
    <col min="59" max="60" width="34.140625" customWidth="1"/>
    <col min="61" max="61" width="41.42578125" customWidth="1"/>
    <col min="62" max="62" width="44.42578125" customWidth="1"/>
    <col min="63" max="64" width="45.5703125" customWidth="1"/>
    <col min="65" max="65" width="52.85546875" customWidth="1"/>
    <col min="66" max="66" width="31.85546875" customWidth="1"/>
    <col min="67" max="67" width="29.140625" customWidth="1"/>
    <col min="68" max="68" width="25.42578125" customWidth="1"/>
    <col min="69" max="69" width="21.7109375" customWidth="1"/>
    <col min="70" max="70" width="20.85546875" customWidth="1"/>
    <col min="71" max="71" width="36.140625" customWidth="1"/>
    <col min="72" max="72" width="33.42578125" customWidth="1"/>
    <col min="73" max="73" width="31.42578125" customWidth="1"/>
    <col min="74" max="74" width="30.42578125" customWidth="1"/>
    <col min="75" max="75" width="35" customWidth="1"/>
    <col min="76" max="76" width="53.5703125" customWidth="1"/>
    <col min="77" max="77" width="50.85546875" customWidth="1"/>
    <col min="78" max="78" width="51" customWidth="1"/>
    <col min="79" max="79" width="44.5703125" customWidth="1"/>
    <col min="80" max="84" width="73.42578125" customWidth="1"/>
    <col min="85" max="85" width="29.42578125" customWidth="1"/>
    <col min="86" max="86" width="30.42578125" customWidth="1"/>
    <col min="87" max="87" width="22" customWidth="1"/>
    <col min="88" max="88" width="30.7109375" customWidth="1"/>
    <col min="89" max="89" width="47.42578125" customWidth="1"/>
    <col min="90" max="90" width="49" customWidth="1"/>
    <col min="91" max="91" width="50" customWidth="1"/>
    <col min="92" max="92" width="53.85546875" customWidth="1"/>
    <col min="93" max="93" width="47" customWidth="1"/>
    <col min="94" max="94" width="48" customWidth="1"/>
    <col min="95" max="95" width="18.7109375" customWidth="1"/>
    <col min="96" max="96" width="28.42578125" customWidth="1"/>
    <col min="97" max="97" width="29" customWidth="1"/>
    <col min="98" max="98" width="33" customWidth="1"/>
    <col min="99" max="99" width="30.5703125" customWidth="1"/>
    <col min="100" max="100" width="33.85546875" customWidth="1"/>
    <col min="101" max="101" width="33.28515625" customWidth="1"/>
    <col min="102" max="102" width="33.85546875" customWidth="1"/>
    <col min="103" max="103" width="34" customWidth="1"/>
    <col min="104" max="104" width="34.5703125" customWidth="1"/>
    <col min="105" max="105" width="53.28515625" customWidth="1"/>
    <col min="106" max="106" width="34.28515625" customWidth="1"/>
    <col min="107" max="107" width="54.28515625" customWidth="1"/>
    <col min="108" max="108" width="28.85546875" customWidth="1"/>
    <col min="109" max="109" width="25" customWidth="1"/>
    <col min="110" max="110" width="40.7109375" customWidth="1"/>
    <col min="111" max="111" width="42.140625" customWidth="1"/>
    <col min="112" max="112" width="27.5703125" customWidth="1"/>
    <col min="113" max="113" width="33.85546875" customWidth="1"/>
    <col min="114" max="114" width="33.5703125" customWidth="1"/>
    <col min="115" max="115" width="45.7109375" customWidth="1"/>
    <col min="116" max="125" width="15" customWidth="1"/>
  </cols>
  <sheetData>
    <row r="1" spans="1:115">
      <c r="A1" s="10" t="s">
        <v>808</v>
      </c>
      <c r="B1" s="1"/>
      <c r="C1" s="1"/>
      <c r="D1" s="1"/>
      <c r="E1" s="1"/>
      <c r="F1" s="1"/>
      <c r="G1" s="2" t="s">
        <v>0</v>
      </c>
      <c r="H1" s="2">
        <f t="shared" ref="H1:AM1" si="0">SUBTOTAL(9,H3:H40)</f>
        <v>43489</v>
      </c>
      <c r="I1" s="2">
        <f t="shared" si="0"/>
        <v>39078</v>
      </c>
      <c r="J1" s="2">
        <f t="shared" si="0"/>
        <v>306</v>
      </c>
      <c r="K1" s="2">
        <f t="shared" si="0"/>
        <v>4117</v>
      </c>
      <c r="L1" s="2">
        <f t="shared" si="0"/>
        <v>18333</v>
      </c>
      <c r="M1" s="2">
        <f t="shared" si="0"/>
        <v>24833</v>
      </c>
      <c r="N1" s="2">
        <f t="shared" si="0"/>
        <v>2965</v>
      </c>
      <c r="O1" s="2">
        <f t="shared" si="0"/>
        <v>6816</v>
      </c>
      <c r="P1" s="2">
        <f t="shared" si="0"/>
        <v>9021</v>
      </c>
      <c r="Q1" s="2">
        <f t="shared" si="0"/>
        <v>7756</v>
      </c>
      <c r="R1" s="2">
        <f t="shared" si="0"/>
        <v>12521</v>
      </c>
      <c r="S1" s="2">
        <f t="shared" si="0"/>
        <v>148433</v>
      </c>
      <c r="T1" s="2">
        <f t="shared" si="0"/>
        <v>16752</v>
      </c>
      <c r="U1" s="2">
        <f t="shared" si="0"/>
        <v>85428</v>
      </c>
      <c r="V1" s="2">
        <f t="shared" si="0"/>
        <v>22039</v>
      </c>
      <c r="W1" s="2">
        <f t="shared" si="0"/>
        <v>62560</v>
      </c>
      <c r="X1" s="2">
        <f t="shared" si="0"/>
        <v>2497</v>
      </c>
      <c r="Y1" s="2">
        <f t="shared" si="0"/>
        <v>4377</v>
      </c>
      <c r="Z1" s="2">
        <f t="shared" si="0"/>
        <v>8972</v>
      </c>
      <c r="AA1" s="2">
        <f t="shared" si="0"/>
        <v>9367</v>
      </c>
      <c r="AB1" s="2">
        <f t="shared" si="0"/>
        <v>7758</v>
      </c>
      <c r="AC1" s="2">
        <f t="shared" si="0"/>
        <v>3392</v>
      </c>
      <c r="AD1" s="2">
        <f t="shared" si="0"/>
        <v>2709</v>
      </c>
      <c r="AE1" s="2">
        <f t="shared" si="0"/>
        <v>38716</v>
      </c>
      <c r="AF1" s="2">
        <f t="shared" si="0"/>
        <v>2770</v>
      </c>
      <c r="AG1" s="2">
        <f t="shared" si="0"/>
        <v>14214</v>
      </c>
      <c r="AH1" s="2">
        <f t="shared" si="0"/>
        <v>8587</v>
      </c>
      <c r="AI1" s="2">
        <f t="shared" si="0"/>
        <v>6597</v>
      </c>
      <c r="AJ1" s="2">
        <f t="shared" si="0"/>
        <v>2175</v>
      </c>
      <c r="AK1" s="2">
        <f t="shared" si="0"/>
        <v>4366</v>
      </c>
      <c r="AL1" s="2">
        <f t="shared" si="0"/>
        <v>16705</v>
      </c>
      <c r="AM1" s="2">
        <f t="shared" si="0"/>
        <v>1726</v>
      </c>
      <c r="AN1" s="2">
        <f t="shared" ref="AN1:BS1" si="1">SUBTOTAL(9,AN3:AN40)</f>
        <v>10292</v>
      </c>
      <c r="AO1" s="2">
        <f t="shared" si="1"/>
        <v>2340</v>
      </c>
      <c r="AP1" s="2">
        <f t="shared" si="1"/>
        <v>1242</v>
      </c>
      <c r="AQ1" s="2">
        <f t="shared" si="1"/>
        <v>567</v>
      </c>
      <c r="AR1" s="2">
        <f t="shared" si="1"/>
        <v>532</v>
      </c>
      <c r="AS1" s="2">
        <f t="shared" si="1"/>
        <v>21726</v>
      </c>
      <c r="AT1" s="2">
        <f t="shared" si="1"/>
        <v>1020</v>
      </c>
      <c r="AU1" s="2">
        <f t="shared" si="1"/>
        <v>3909</v>
      </c>
      <c r="AV1" s="2">
        <f t="shared" si="1"/>
        <v>6224</v>
      </c>
      <c r="AW1" s="2">
        <f t="shared" si="1"/>
        <v>5335</v>
      </c>
      <c r="AX1" s="2">
        <f t="shared" si="1"/>
        <v>1575</v>
      </c>
      <c r="AY1" s="2">
        <f t="shared" si="1"/>
        <v>3666</v>
      </c>
      <c r="AZ1" s="2">
        <f t="shared" si="1"/>
        <v>39078</v>
      </c>
      <c r="BA1" s="2">
        <f t="shared" si="1"/>
        <v>5179</v>
      </c>
      <c r="BB1" s="2">
        <f t="shared" si="1"/>
        <v>9126</v>
      </c>
      <c r="BC1" s="2">
        <f t="shared" si="1"/>
        <v>8059</v>
      </c>
      <c r="BD1" s="2">
        <f t="shared" si="1"/>
        <v>16712</v>
      </c>
      <c r="BE1" s="2">
        <f t="shared" si="1"/>
        <v>98000</v>
      </c>
      <c r="BF1" s="2">
        <f t="shared" si="1"/>
        <v>11050</v>
      </c>
      <c r="BG1" s="2">
        <f t="shared" si="1"/>
        <v>21766</v>
      </c>
      <c r="BH1" s="2">
        <f t="shared" si="1"/>
        <v>23104</v>
      </c>
      <c r="BI1" s="2">
        <f t="shared" si="1"/>
        <v>42079</v>
      </c>
      <c r="BJ1" s="2">
        <f t="shared" si="1"/>
        <v>15869</v>
      </c>
      <c r="BK1" s="2">
        <f t="shared" si="1"/>
        <v>29861</v>
      </c>
      <c r="BL1" s="2">
        <f t="shared" si="1"/>
        <v>29430</v>
      </c>
      <c r="BM1" s="2">
        <f t="shared" si="1"/>
        <v>73271</v>
      </c>
      <c r="BN1" s="2">
        <f t="shared" si="1"/>
        <v>13081</v>
      </c>
      <c r="BO1" s="2">
        <f t="shared" si="1"/>
        <v>25481</v>
      </c>
      <c r="BP1" s="2">
        <f t="shared" si="1"/>
        <v>13508</v>
      </c>
      <c r="BQ1" s="2">
        <f t="shared" si="1"/>
        <v>515</v>
      </c>
      <c r="BR1" s="2">
        <f t="shared" si="1"/>
        <v>98000</v>
      </c>
      <c r="BS1" s="2">
        <f t="shared" si="1"/>
        <v>34573</v>
      </c>
      <c r="BT1" s="2">
        <f t="shared" ref="BT1:CF1" si="2">SUBTOTAL(9,BT3:BT40)</f>
        <v>62257</v>
      </c>
      <c r="BU1" s="2">
        <f t="shared" si="2"/>
        <v>33972</v>
      </c>
      <c r="BV1" s="2">
        <f t="shared" si="2"/>
        <v>1165</v>
      </c>
      <c r="BW1" s="2">
        <f t="shared" si="2"/>
        <v>477296</v>
      </c>
      <c r="BX1" s="2">
        <f t="shared" si="2"/>
        <v>249462</v>
      </c>
      <c r="BY1" s="2">
        <f t="shared" si="2"/>
        <v>221627</v>
      </c>
      <c r="BZ1" s="2">
        <f t="shared" si="2"/>
        <v>150754</v>
      </c>
      <c r="CA1" s="2">
        <f t="shared" si="2"/>
        <v>6205</v>
      </c>
      <c r="CB1" s="2">
        <f t="shared" si="2"/>
        <v>27546</v>
      </c>
      <c r="CC1" s="2">
        <f t="shared" si="2"/>
        <v>607</v>
      </c>
      <c r="CD1" s="2">
        <f t="shared" si="2"/>
        <v>9725</v>
      </c>
      <c r="CE1" s="2">
        <f t="shared" si="2"/>
        <v>194</v>
      </c>
      <c r="CF1" s="2">
        <f t="shared" si="2"/>
        <v>1001</v>
      </c>
      <c r="CG1" s="2">
        <f t="shared" ref="CG1:CO1" si="3">SUBTOTAL(9,CG3:CG40)</f>
        <v>11045</v>
      </c>
      <c r="CH1" s="2">
        <f t="shared" si="3"/>
        <v>24508</v>
      </c>
      <c r="CI1" s="2">
        <f t="shared" si="3"/>
        <v>18380</v>
      </c>
      <c r="CJ1" s="2">
        <f t="shared" si="3"/>
        <v>6127</v>
      </c>
      <c r="CK1" s="2">
        <f t="shared" si="3"/>
        <v>11364</v>
      </c>
      <c r="CL1" s="2">
        <f t="shared" si="3"/>
        <v>9038</v>
      </c>
      <c r="CM1" s="2">
        <f t="shared" si="3"/>
        <v>5644</v>
      </c>
      <c r="CN1" s="2">
        <f t="shared" si="3"/>
        <v>6503</v>
      </c>
      <c r="CO1" s="2">
        <f t="shared" si="3"/>
        <v>5656</v>
      </c>
      <c r="CP1" s="2">
        <f t="shared" ref="CP1:DE1" si="4">SUBTOTAL(9,CP3:CP40)</f>
        <v>899</v>
      </c>
      <c r="CQ1" s="2">
        <f t="shared" si="4"/>
        <v>13.399999999999995</v>
      </c>
      <c r="CR1" s="2">
        <f t="shared" si="4"/>
        <v>1340</v>
      </c>
      <c r="CS1" s="2">
        <f t="shared" si="4"/>
        <v>161835.29999999999</v>
      </c>
      <c r="CT1" s="2">
        <f t="shared" si="4"/>
        <v>1618.7</v>
      </c>
      <c r="CU1" s="2">
        <f>SUBTOTAL(1,CU3:CU40)</f>
        <v>9.4815789473684191</v>
      </c>
      <c r="CV1" s="2">
        <f>SUBTOTAL(1,CV3:CV40)</f>
        <v>44.913157894736841</v>
      </c>
      <c r="CW1" s="2">
        <f t="shared" si="4"/>
        <v>9781</v>
      </c>
      <c r="CX1" s="2">
        <f>SUBTOTAL(1,CX3:CX40)</f>
        <v>22.613157894736837</v>
      </c>
      <c r="CY1" s="2">
        <f t="shared" si="4"/>
        <v>29298</v>
      </c>
      <c r="CZ1" s="2">
        <f>SUBTOTAL(1,CZ3:CZ40)</f>
        <v>77.405263157894723</v>
      </c>
      <c r="DA1" s="2">
        <f>SUBTOTAL(1,DA3:DA40)</f>
        <v>12.171052631578949</v>
      </c>
      <c r="DB1" s="2">
        <f t="shared" si="4"/>
        <v>22366</v>
      </c>
      <c r="DC1" s="2">
        <f t="shared" si="4"/>
        <v>2104.2000000000003</v>
      </c>
      <c r="DD1" s="2">
        <f t="shared" si="4"/>
        <v>99.3</v>
      </c>
      <c r="DE1" s="2">
        <f t="shared" si="4"/>
        <v>25570</v>
      </c>
      <c r="DF1" s="2">
        <f>SUBTOTAL(1,DF3:DF40)</f>
        <v>50.478947368421061</v>
      </c>
      <c r="DG1" s="2">
        <f t="shared" ref="DG1:DK1" si="5">SUBTOTAL(1,DG3:DG40)</f>
        <v>32.992105263157903</v>
      </c>
      <c r="DH1" s="2">
        <f t="shared" si="5"/>
        <v>36.560526315789481</v>
      </c>
      <c r="DI1" s="2">
        <f t="shared" si="5"/>
        <v>51.547368421052617</v>
      </c>
      <c r="DJ1" s="2">
        <f t="shared" si="5"/>
        <v>26.052631578947373</v>
      </c>
      <c r="DK1" s="2">
        <f t="shared" si="5"/>
        <v>62.80526315789475</v>
      </c>
    </row>
    <row r="2" spans="1:115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409</v>
      </c>
      <c r="I2" s="46" t="s">
        <v>410</v>
      </c>
      <c r="J2" s="46" t="s">
        <v>411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420</v>
      </c>
      <c r="T2" s="46" t="s">
        <v>421</v>
      </c>
      <c r="U2" s="46" t="s">
        <v>422</v>
      </c>
      <c r="V2" s="46" t="s">
        <v>423</v>
      </c>
      <c r="W2" s="46" t="s">
        <v>424</v>
      </c>
      <c r="X2" s="46" t="s">
        <v>425</v>
      </c>
      <c r="Y2" s="46" t="s">
        <v>426</v>
      </c>
      <c r="Z2" s="46" t="s">
        <v>427</v>
      </c>
      <c r="AA2" s="46" t="s">
        <v>428</v>
      </c>
      <c r="AB2" s="46" t="s">
        <v>429</v>
      </c>
      <c r="AC2" s="46" t="s">
        <v>430</v>
      </c>
      <c r="AD2" s="46" t="s">
        <v>431</v>
      </c>
      <c r="AE2" s="46" t="s">
        <v>432</v>
      </c>
      <c r="AF2" s="46" t="s">
        <v>433</v>
      </c>
      <c r="AG2" s="46" t="s">
        <v>434</v>
      </c>
      <c r="AH2" s="46" t="s">
        <v>435</v>
      </c>
      <c r="AI2" s="46" t="s">
        <v>436</v>
      </c>
      <c r="AJ2" s="46" t="s">
        <v>437</v>
      </c>
      <c r="AK2" s="46" t="s">
        <v>438</v>
      </c>
      <c r="AL2" s="46" t="s">
        <v>439</v>
      </c>
      <c r="AM2" s="46" t="s">
        <v>440</v>
      </c>
      <c r="AN2" s="46" t="s">
        <v>441</v>
      </c>
      <c r="AO2" s="46" t="s">
        <v>442</v>
      </c>
      <c r="AP2" s="46" t="s">
        <v>443</v>
      </c>
      <c r="AQ2" s="46" t="s">
        <v>444</v>
      </c>
      <c r="AR2" s="46" t="s">
        <v>445</v>
      </c>
      <c r="AS2" s="46" t="s">
        <v>446</v>
      </c>
      <c r="AT2" s="46" t="s">
        <v>447</v>
      </c>
      <c r="AU2" s="46" t="s">
        <v>448</v>
      </c>
      <c r="AV2" s="46" t="s">
        <v>449</v>
      </c>
      <c r="AW2" s="46" t="s">
        <v>450</v>
      </c>
      <c r="AX2" s="46" t="s">
        <v>451</v>
      </c>
      <c r="AY2" s="46" t="s">
        <v>452</v>
      </c>
      <c r="AZ2" s="46" t="s">
        <v>292</v>
      </c>
      <c r="BA2" s="46" t="s">
        <v>453</v>
      </c>
      <c r="BB2" s="46" t="s">
        <v>454</v>
      </c>
      <c r="BC2" s="46" t="s">
        <v>455</v>
      </c>
      <c r="BD2" s="46" t="s">
        <v>456</v>
      </c>
      <c r="BE2" s="46" t="s">
        <v>301</v>
      </c>
      <c r="BF2" s="46" t="s">
        <v>457</v>
      </c>
      <c r="BG2" s="46" t="s">
        <v>458</v>
      </c>
      <c r="BH2" s="46" t="s">
        <v>459</v>
      </c>
      <c r="BI2" s="46" t="s">
        <v>460</v>
      </c>
      <c r="BJ2" s="46" t="s">
        <v>461</v>
      </c>
      <c r="BK2" s="46" t="s">
        <v>462</v>
      </c>
      <c r="BL2" s="46" t="s">
        <v>463</v>
      </c>
      <c r="BM2" s="46" t="s">
        <v>464</v>
      </c>
      <c r="BN2" s="46" t="s">
        <v>465</v>
      </c>
      <c r="BO2" s="46" t="s">
        <v>466</v>
      </c>
      <c r="BP2" s="46" t="s">
        <v>467</v>
      </c>
      <c r="BQ2" s="46" t="s">
        <v>468</v>
      </c>
      <c r="BR2" s="46" t="s">
        <v>469</v>
      </c>
      <c r="BS2" s="46" t="s">
        <v>470</v>
      </c>
      <c r="BT2" s="46" t="s">
        <v>471</v>
      </c>
      <c r="BU2" s="46" t="s">
        <v>472</v>
      </c>
      <c r="BV2" s="46" t="s">
        <v>473</v>
      </c>
      <c r="BW2" s="46" t="s">
        <v>474</v>
      </c>
      <c r="BX2" s="46" t="s">
        <v>475</v>
      </c>
      <c r="BY2" s="46" t="s">
        <v>476</v>
      </c>
      <c r="BZ2" s="46" t="s">
        <v>477</v>
      </c>
      <c r="CA2" s="46" t="s">
        <v>478</v>
      </c>
      <c r="CB2" s="46" t="s">
        <v>479</v>
      </c>
      <c r="CC2" s="46" t="s">
        <v>480</v>
      </c>
      <c r="CD2" s="46" t="s">
        <v>481</v>
      </c>
      <c r="CE2" s="46" t="s">
        <v>482</v>
      </c>
      <c r="CF2" s="46" t="s">
        <v>483</v>
      </c>
      <c r="CG2" s="46" t="s">
        <v>484</v>
      </c>
      <c r="CH2" s="46" t="s">
        <v>485</v>
      </c>
      <c r="CI2" s="46" t="s">
        <v>486</v>
      </c>
      <c r="CJ2" s="46" t="s">
        <v>487</v>
      </c>
      <c r="CK2" s="46" t="s">
        <v>488</v>
      </c>
      <c r="CL2" s="46" t="s">
        <v>489</v>
      </c>
      <c r="CM2" s="46" t="s">
        <v>490</v>
      </c>
      <c r="CN2" s="46" t="s">
        <v>491</v>
      </c>
      <c r="CO2" s="46" t="s">
        <v>492</v>
      </c>
      <c r="CP2" s="46" t="s">
        <v>493</v>
      </c>
      <c r="CQ2" s="47" t="s">
        <v>80</v>
      </c>
      <c r="CR2" s="47" t="s">
        <v>494</v>
      </c>
      <c r="CS2" s="47" t="s">
        <v>495</v>
      </c>
      <c r="CT2" s="47" t="s">
        <v>496</v>
      </c>
      <c r="CU2" s="47" t="s">
        <v>497</v>
      </c>
      <c r="CV2" s="47" t="s">
        <v>498</v>
      </c>
      <c r="CW2" s="47" t="s">
        <v>499</v>
      </c>
      <c r="CX2" s="47" t="s">
        <v>500</v>
      </c>
      <c r="CY2" s="47" t="s">
        <v>501</v>
      </c>
      <c r="CZ2" s="47" t="s">
        <v>502</v>
      </c>
      <c r="DA2" s="47" t="s">
        <v>503</v>
      </c>
      <c r="DB2" s="47" t="s">
        <v>504</v>
      </c>
      <c r="DC2" s="47" t="s">
        <v>505</v>
      </c>
      <c r="DD2" s="47" t="s">
        <v>506</v>
      </c>
      <c r="DE2" s="47" t="s">
        <v>507</v>
      </c>
      <c r="DF2" s="47" t="s">
        <v>508</v>
      </c>
      <c r="DG2" s="47" t="s">
        <v>509</v>
      </c>
      <c r="DH2" s="47" t="s">
        <v>510</v>
      </c>
      <c r="DI2" s="47" t="s">
        <v>511</v>
      </c>
      <c r="DJ2" s="47" t="s">
        <v>512</v>
      </c>
      <c r="DK2" s="48" t="s">
        <v>513</v>
      </c>
    </row>
    <row r="3" spans="1:115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1022</v>
      </c>
      <c r="I3" s="4">
        <v>922</v>
      </c>
      <c r="J3" s="4">
        <v>0</v>
      </c>
      <c r="K3" s="4">
        <v>100</v>
      </c>
      <c r="L3" s="4">
        <v>586</v>
      </c>
      <c r="M3" s="4">
        <v>436</v>
      </c>
      <c r="N3" s="4">
        <v>67</v>
      </c>
      <c r="O3" s="4">
        <v>127</v>
      </c>
      <c r="P3" s="4">
        <v>206</v>
      </c>
      <c r="Q3" s="4">
        <v>199</v>
      </c>
      <c r="R3" s="4">
        <v>323</v>
      </c>
      <c r="S3" s="4">
        <v>3640</v>
      </c>
      <c r="T3" s="4">
        <v>522</v>
      </c>
      <c r="U3" s="4">
        <v>2612</v>
      </c>
      <c r="V3" s="4">
        <v>400</v>
      </c>
      <c r="W3" s="4">
        <v>1028</v>
      </c>
      <c r="X3" s="4">
        <v>47</v>
      </c>
      <c r="Y3" s="4">
        <v>122</v>
      </c>
      <c r="Z3" s="4">
        <v>166</v>
      </c>
      <c r="AA3" s="4">
        <v>225</v>
      </c>
      <c r="AB3" s="4">
        <v>202</v>
      </c>
      <c r="AC3" s="4">
        <v>92</v>
      </c>
      <c r="AD3" s="4">
        <v>69</v>
      </c>
      <c r="AE3" s="4">
        <v>919</v>
      </c>
      <c r="AF3" s="4">
        <v>81</v>
      </c>
      <c r="AG3" s="4">
        <v>450</v>
      </c>
      <c r="AH3" s="4">
        <v>266</v>
      </c>
      <c r="AI3" s="4">
        <v>92</v>
      </c>
      <c r="AJ3" s="4">
        <v>18</v>
      </c>
      <c r="AK3" s="4">
        <v>12</v>
      </c>
      <c r="AL3" s="4">
        <v>519</v>
      </c>
      <c r="AM3" s="4">
        <v>60</v>
      </c>
      <c r="AN3" s="4">
        <v>356</v>
      </c>
      <c r="AO3" s="4">
        <v>53</v>
      </c>
      <c r="AP3" s="4">
        <v>27</v>
      </c>
      <c r="AQ3" s="4">
        <v>14</v>
      </c>
      <c r="AR3" s="4">
        <v>8</v>
      </c>
      <c r="AS3" s="4">
        <v>400</v>
      </c>
      <c r="AT3" s="4">
        <v>20</v>
      </c>
      <c r="AU3" s="4">
        <v>94</v>
      </c>
      <c r="AV3" s="4">
        <v>213</v>
      </c>
      <c r="AW3" s="4">
        <v>65</v>
      </c>
      <c r="AX3" s="4">
        <v>4</v>
      </c>
      <c r="AY3" s="4">
        <v>4</v>
      </c>
      <c r="AZ3" s="4">
        <v>922</v>
      </c>
      <c r="BA3" s="4">
        <v>99</v>
      </c>
      <c r="BB3" s="4">
        <v>232</v>
      </c>
      <c r="BC3" s="4">
        <v>160</v>
      </c>
      <c r="BD3" s="4">
        <v>431</v>
      </c>
      <c r="BE3" s="4">
        <v>2450</v>
      </c>
      <c r="BF3" s="4">
        <v>231</v>
      </c>
      <c r="BG3" s="4">
        <v>714</v>
      </c>
      <c r="BH3" s="4">
        <v>480</v>
      </c>
      <c r="BI3" s="4">
        <v>1025</v>
      </c>
      <c r="BJ3" s="4">
        <v>344</v>
      </c>
      <c r="BK3" s="4">
        <v>869</v>
      </c>
      <c r="BL3" s="4">
        <v>593</v>
      </c>
      <c r="BM3" s="4">
        <v>1834</v>
      </c>
      <c r="BN3" s="4">
        <v>319</v>
      </c>
      <c r="BO3" s="4">
        <v>597</v>
      </c>
      <c r="BP3" s="4">
        <v>277</v>
      </c>
      <c r="BQ3" s="4">
        <v>6</v>
      </c>
      <c r="BR3" s="4">
        <v>2450</v>
      </c>
      <c r="BS3" s="4">
        <v>826</v>
      </c>
      <c r="BT3" s="4">
        <v>1618</v>
      </c>
      <c r="BU3" s="4">
        <v>649</v>
      </c>
      <c r="BV3" s="4">
        <v>6</v>
      </c>
      <c r="BW3" s="4">
        <v>12240</v>
      </c>
      <c r="BX3" s="4">
        <v>6417</v>
      </c>
      <c r="BY3" s="4">
        <v>5806</v>
      </c>
      <c r="BZ3" s="4">
        <v>3566</v>
      </c>
      <c r="CA3" s="4">
        <v>17</v>
      </c>
      <c r="CB3" s="4">
        <v>668</v>
      </c>
      <c r="CC3" s="4">
        <v>17</v>
      </c>
      <c r="CD3" s="4">
        <v>220</v>
      </c>
      <c r="CE3" s="4">
        <v>0</v>
      </c>
      <c r="CF3" s="4">
        <v>17</v>
      </c>
      <c r="CG3" s="4">
        <v>106</v>
      </c>
      <c r="CH3" s="4">
        <v>546</v>
      </c>
      <c r="CI3" s="4">
        <v>421</v>
      </c>
      <c r="CJ3" s="4">
        <v>125</v>
      </c>
      <c r="CK3" s="4">
        <v>302</v>
      </c>
      <c r="CL3" s="4">
        <v>223</v>
      </c>
      <c r="CM3" s="4">
        <v>128</v>
      </c>
      <c r="CN3" s="4">
        <v>151</v>
      </c>
      <c r="CO3" s="4">
        <v>166</v>
      </c>
      <c r="CP3" s="4">
        <v>8</v>
      </c>
      <c r="CQ3" s="4">
        <v>0.3</v>
      </c>
      <c r="CR3" s="4">
        <v>30</v>
      </c>
      <c r="CS3" s="4">
        <v>3406.7</v>
      </c>
      <c r="CT3" s="4">
        <v>34.1</v>
      </c>
      <c r="CU3" s="4">
        <v>9.8000000000000007</v>
      </c>
      <c r="CV3" s="4">
        <v>57.3</v>
      </c>
      <c r="CW3" s="4">
        <v>194</v>
      </c>
      <c r="CX3" s="4">
        <v>21</v>
      </c>
      <c r="CY3" s="4">
        <v>728</v>
      </c>
      <c r="CZ3" s="4">
        <v>79</v>
      </c>
      <c r="DA3" s="4">
        <v>10.7</v>
      </c>
      <c r="DB3" s="4">
        <v>491</v>
      </c>
      <c r="DC3" s="4">
        <v>53.3</v>
      </c>
      <c r="DD3" s="4">
        <v>2.7</v>
      </c>
      <c r="DE3" s="4">
        <v>645</v>
      </c>
      <c r="DF3" s="4">
        <v>49.5</v>
      </c>
      <c r="DG3" s="4">
        <v>34.6</v>
      </c>
      <c r="DH3" s="4">
        <v>30</v>
      </c>
      <c r="DI3" s="4">
        <v>46.4</v>
      </c>
      <c r="DJ3" s="4">
        <v>11.5</v>
      </c>
      <c r="DK3" s="43">
        <v>59.2</v>
      </c>
    </row>
    <row r="4" spans="1:115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2069</v>
      </c>
      <c r="I4" s="4">
        <v>1819</v>
      </c>
      <c r="J4" s="4">
        <v>48</v>
      </c>
      <c r="K4" s="4">
        <v>202</v>
      </c>
      <c r="L4" s="4">
        <v>812</v>
      </c>
      <c r="M4" s="4">
        <v>1214</v>
      </c>
      <c r="N4" s="4">
        <v>308</v>
      </c>
      <c r="O4" s="4">
        <v>384</v>
      </c>
      <c r="P4" s="4">
        <v>277</v>
      </c>
      <c r="Q4" s="4">
        <v>293</v>
      </c>
      <c r="R4" s="4">
        <v>557</v>
      </c>
      <c r="S4" s="4">
        <v>6510</v>
      </c>
      <c r="T4" s="4">
        <v>763</v>
      </c>
      <c r="U4" s="4">
        <v>4075</v>
      </c>
      <c r="V4" s="4">
        <v>1019</v>
      </c>
      <c r="W4" s="4">
        <v>2391</v>
      </c>
      <c r="X4" s="4">
        <v>372</v>
      </c>
      <c r="Y4" s="4">
        <v>187</v>
      </c>
      <c r="Z4" s="4">
        <v>287</v>
      </c>
      <c r="AA4" s="4">
        <v>300</v>
      </c>
      <c r="AB4" s="4">
        <v>358</v>
      </c>
      <c r="AC4" s="4">
        <v>157</v>
      </c>
      <c r="AD4" s="4">
        <v>159</v>
      </c>
      <c r="AE4" s="4">
        <v>1812</v>
      </c>
      <c r="AF4" s="4">
        <v>143</v>
      </c>
      <c r="AG4" s="4">
        <v>644</v>
      </c>
      <c r="AH4" s="4">
        <v>106</v>
      </c>
      <c r="AI4" s="4">
        <v>121</v>
      </c>
      <c r="AJ4" s="4">
        <v>330</v>
      </c>
      <c r="AK4" s="4">
        <v>468</v>
      </c>
      <c r="AL4" s="4">
        <v>763</v>
      </c>
      <c r="AM4" s="4">
        <v>89</v>
      </c>
      <c r="AN4" s="4">
        <v>458</v>
      </c>
      <c r="AO4" s="4">
        <v>47</v>
      </c>
      <c r="AP4" s="4">
        <v>44</v>
      </c>
      <c r="AQ4" s="4">
        <v>101</v>
      </c>
      <c r="AR4" s="4">
        <v>24</v>
      </c>
      <c r="AS4" s="4">
        <v>1012</v>
      </c>
      <c r="AT4" s="4">
        <v>54</v>
      </c>
      <c r="AU4" s="4">
        <v>186</v>
      </c>
      <c r="AV4" s="4">
        <v>60</v>
      </c>
      <c r="AW4" s="4">
        <v>70</v>
      </c>
      <c r="AX4" s="4">
        <v>225</v>
      </c>
      <c r="AY4" s="4">
        <v>418</v>
      </c>
      <c r="AZ4" s="4">
        <v>1819</v>
      </c>
      <c r="BA4" s="4">
        <v>378</v>
      </c>
      <c r="BB4" s="4">
        <v>522</v>
      </c>
      <c r="BC4" s="4">
        <v>293</v>
      </c>
      <c r="BD4" s="4">
        <v>626</v>
      </c>
      <c r="BE4" s="4">
        <v>4255</v>
      </c>
      <c r="BF4" s="4">
        <v>617</v>
      </c>
      <c r="BG4" s="4">
        <v>1112</v>
      </c>
      <c r="BH4" s="4">
        <v>745</v>
      </c>
      <c r="BI4" s="4">
        <v>1782</v>
      </c>
      <c r="BJ4" s="4">
        <v>917</v>
      </c>
      <c r="BK4" s="4">
        <v>1485</v>
      </c>
      <c r="BL4" s="4">
        <v>1086</v>
      </c>
      <c r="BM4" s="4">
        <v>3021</v>
      </c>
      <c r="BN4" s="4">
        <v>549</v>
      </c>
      <c r="BO4" s="4">
        <v>1245</v>
      </c>
      <c r="BP4" s="4">
        <v>380</v>
      </c>
      <c r="BQ4" s="4">
        <v>25</v>
      </c>
      <c r="BR4" s="4">
        <v>4255</v>
      </c>
      <c r="BS4" s="4">
        <v>1560</v>
      </c>
      <c r="BT4" s="4">
        <v>2668</v>
      </c>
      <c r="BU4" s="4">
        <v>1106</v>
      </c>
      <c r="BV4" s="4">
        <v>28</v>
      </c>
      <c r="BW4" s="4">
        <v>17798</v>
      </c>
      <c r="BX4" s="4">
        <v>10243</v>
      </c>
      <c r="BY4" s="4">
        <v>7313</v>
      </c>
      <c r="BZ4" s="4">
        <v>3663</v>
      </c>
      <c r="CA4" s="4">
        <v>242</v>
      </c>
      <c r="CB4" s="4">
        <v>972</v>
      </c>
      <c r="CC4" s="4">
        <v>17</v>
      </c>
      <c r="CD4" s="4">
        <v>795</v>
      </c>
      <c r="CE4" s="4">
        <v>6</v>
      </c>
      <c r="CF4" s="4">
        <v>29</v>
      </c>
      <c r="CG4" s="4">
        <v>507</v>
      </c>
      <c r="CH4" s="4">
        <v>1079</v>
      </c>
      <c r="CI4" s="4">
        <v>792</v>
      </c>
      <c r="CJ4" s="4">
        <v>287</v>
      </c>
      <c r="CK4" s="4">
        <v>582</v>
      </c>
      <c r="CL4" s="4">
        <v>311</v>
      </c>
      <c r="CM4" s="4">
        <v>211</v>
      </c>
      <c r="CN4" s="4">
        <v>289</v>
      </c>
      <c r="CO4" s="4">
        <v>439</v>
      </c>
      <c r="CP4" s="4">
        <v>31</v>
      </c>
      <c r="CQ4" s="4">
        <v>0.1</v>
      </c>
      <c r="CR4" s="4">
        <v>10</v>
      </c>
      <c r="CS4" s="4">
        <v>20690</v>
      </c>
      <c r="CT4" s="4">
        <v>206.9</v>
      </c>
      <c r="CU4" s="4">
        <v>9.8000000000000007</v>
      </c>
      <c r="CV4" s="4">
        <v>39.200000000000003</v>
      </c>
      <c r="CW4" s="4">
        <v>692</v>
      </c>
      <c r="CX4" s="4">
        <v>38</v>
      </c>
      <c r="CY4" s="4">
        <v>1127</v>
      </c>
      <c r="CZ4" s="4">
        <v>62</v>
      </c>
      <c r="DA4" s="4">
        <v>20.8</v>
      </c>
      <c r="DB4" s="4">
        <v>1193</v>
      </c>
      <c r="DC4" s="4">
        <v>65.599999999999994</v>
      </c>
      <c r="DD4" s="4">
        <v>2.2999999999999998</v>
      </c>
      <c r="DE4" s="4">
        <v>1439</v>
      </c>
      <c r="DF4" s="4">
        <v>38.200000000000003</v>
      </c>
      <c r="DG4" s="4">
        <v>30.2</v>
      </c>
      <c r="DH4" s="4">
        <v>20.9</v>
      </c>
      <c r="DI4" s="4">
        <v>30.5</v>
      </c>
      <c r="DJ4" s="4">
        <v>27.9</v>
      </c>
      <c r="DK4" s="43">
        <v>59.3</v>
      </c>
    </row>
    <row r="5" spans="1:115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1309</v>
      </c>
      <c r="I5" s="4">
        <v>1175</v>
      </c>
      <c r="J5" s="4">
        <v>3</v>
      </c>
      <c r="K5" s="4">
        <v>131</v>
      </c>
      <c r="L5" s="4">
        <v>290</v>
      </c>
      <c r="M5" s="4">
        <v>1013</v>
      </c>
      <c r="N5" s="4">
        <v>131</v>
      </c>
      <c r="O5" s="4">
        <v>302</v>
      </c>
      <c r="P5" s="4">
        <v>341</v>
      </c>
      <c r="Q5" s="4">
        <v>162</v>
      </c>
      <c r="R5" s="4">
        <v>238</v>
      </c>
      <c r="S5" s="4">
        <v>3786</v>
      </c>
      <c r="T5" s="4">
        <v>255</v>
      </c>
      <c r="U5" s="4">
        <v>1299</v>
      </c>
      <c r="V5" s="4">
        <v>913</v>
      </c>
      <c r="W5" s="4">
        <v>2454</v>
      </c>
      <c r="X5" s="4">
        <v>59</v>
      </c>
      <c r="Y5" s="4">
        <v>240</v>
      </c>
      <c r="Z5" s="4">
        <v>386</v>
      </c>
      <c r="AA5" s="4">
        <v>234</v>
      </c>
      <c r="AB5" s="4">
        <v>166</v>
      </c>
      <c r="AC5" s="4">
        <v>63</v>
      </c>
      <c r="AD5" s="4">
        <v>27</v>
      </c>
      <c r="AE5" s="4">
        <v>1156</v>
      </c>
      <c r="AF5" s="4">
        <v>45</v>
      </c>
      <c r="AG5" s="4">
        <v>300</v>
      </c>
      <c r="AH5" s="4">
        <v>271</v>
      </c>
      <c r="AI5" s="4">
        <v>326</v>
      </c>
      <c r="AJ5" s="4">
        <v>204</v>
      </c>
      <c r="AK5" s="4">
        <v>10</v>
      </c>
      <c r="AL5" s="4">
        <v>252</v>
      </c>
      <c r="AM5" s="4">
        <v>23</v>
      </c>
      <c r="AN5" s="4">
        <v>150</v>
      </c>
      <c r="AO5" s="4">
        <v>43</v>
      </c>
      <c r="AP5" s="4">
        <v>7</v>
      </c>
      <c r="AQ5" s="4">
        <v>27</v>
      </c>
      <c r="AR5" s="4">
        <v>1</v>
      </c>
      <c r="AS5" s="4">
        <v>897</v>
      </c>
      <c r="AT5" s="4">
        <v>21</v>
      </c>
      <c r="AU5" s="4">
        <v>149</v>
      </c>
      <c r="AV5" s="4">
        <v>228</v>
      </c>
      <c r="AW5" s="4">
        <v>316</v>
      </c>
      <c r="AX5" s="4">
        <v>174</v>
      </c>
      <c r="AY5" s="4">
        <v>9</v>
      </c>
      <c r="AZ5" s="4">
        <v>1175</v>
      </c>
      <c r="BA5" s="4">
        <v>110</v>
      </c>
      <c r="BB5" s="4">
        <v>328</v>
      </c>
      <c r="BC5" s="4">
        <v>254</v>
      </c>
      <c r="BD5" s="4">
        <v>484</v>
      </c>
      <c r="BE5" s="4">
        <v>2889</v>
      </c>
      <c r="BF5" s="4">
        <v>193</v>
      </c>
      <c r="BG5" s="4">
        <v>737</v>
      </c>
      <c r="BH5" s="4">
        <v>705</v>
      </c>
      <c r="BI5" s="4">
        <v>1254</v>
      </c>
      <c r="BJ5" s="4">
        <v>255</v>
      </c>
      <c r="BK5" s="4">
        <v>865</v>
      </c>
      <c r="BL5" s="4">
        <v>791</v>
      </c>
      <c r="BM5" s="4">
        <v>1875</v>
      </c>
      <c r="BN5" s="4">
        <v>162</v>
      </c>
      <c r="BO5" s="4">
        <v>1003</v>
      </c>
      <c r="BP5" s="4">
        <v>659</v>
      </c>
      <c r="BQ5" s="4">
        <v>10</v>
      </c>
      <c r="BR5" s="4">
        <v>2889</v>
      </c>
      <c r="BS5" s="4">
        <v>488</v>
      </c>
      <c r="BT5" s="4">
        <v>2371</v>
      </c>
      <c r="BU5" s="4">
        <v>1626</v>
      </c>
      <c r="BV5" s="4">
        <v>30</v>
      </c>
      <c r="BW5" s="4">
        <v>13292</v>
      </c>
      <c r="BX5" s="4">
        <v>3718</v>
      </c>
      <c r="BY5" s="4">
        <v>9390</v>
      </c>
      <c r="BZ5" s="4">
        <v>6898</v>
      </c>
      <c r="CA5" s="4">
        <v>184</v>
      </c>
      <c r="CB5" s="4">
        <v>709</v>
      </c>
      <c r="CC5" s="4">
        <v>19</v>
      </c>
      <c r="CD5" s="4">
        <v>422</v>
      </c>
      <c r="CE5" s="4">
        <v>0</v>
      </c>
      <c r="CF5" s="4">
        <v>25</v>
      </c>
      <c r="CG5" s="4">
        <v>255</v>
      </c>
      <c r="CH5" s="4">
        <v>615</v>
      </c>
      <c r="CI5" s="4">
        <v>519</v>
      </c>
      <c r="CJ5" s="4">
        <v>96</v>
      </c>
      <c r="CK5" s="4">
        <v>394</v>
      </c>
      <c r="CL5" s="4">
        <v>238</v>
      </c>
      <c r="CM5" s="4">
        <v>91</v>
      </c>
      <c r="CN5" s="4">
        <v>86</v>
      </c>
      <c r="CO5" s="4">
        <v>147</v>
      </c>
      <c r="CP5" s="4">
        <v>42</v>
      </c>
      <c r="CQ5" s="4">
        <v>0.4</v>
      </c>
      <c r="CR5" s="4">
        <v>40</v>
      </c>
      <c r="CS5" s="4">
        <v>3272.5</v>
      </c>
      <c r="CT5" s="4">
        <v>32.700000000000003</v>
      </c>
      <c r="CU5" s="4">
        <v>10</v>
      </c>
      <c r="CV5" s="4">
        <v>22.2</v>
      </c>
      <c r="CW5" s="4">
        <v>433</v>
      </c>
      <c r="CX5" s="4">
        <v>36.9</v>
      </c>
      <c r="CY5" s="4">
        <v>741</v>
      </c>
      <c r="CZ5" s="4">
        <v>63.1</v>
      </c>
      <c r="DA5" s="4">
        <v>9.4</v>
      </c>
      <c r="DB5" s="4">
        <v>691</v>
      </c>
      <c r="DC5" s="4">
        <v>58.8</v>
      </c>
      <c r="DD5" s="4">
        <v>2.5</v>
      </c>
      <c r="DE5" s="4">
        <v>516</v>
      </c>
      <c r="DF5" s="4">
        <v>31.4</v>
      </c>
      <c r="DG5" s="4">
        <v>13.8</v>
      </c>
      <c r="DH5" s="4">
        <v>56.1</v>
      </c>
      <c r="DI5" s="4">
        <v>65.7</v>
      </c>
      <c r="DJ5" s="4">
        <v>21.7</v>
      </c>
      <c r="DK5" s="43">
        <v>52.3</v>
      </c>
    </row>
    <row r="6" spans="1:115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652</v>
      </c>
      <c r="I6" s="4">
        <v>573</v>
      </c>
      <c r="J6" s="4">
        <v>4</v>
      </c>
      <c r="K6" s="4">
        <v>76</v>
      </c>
      <c r="L6" s="4">
        <v>129</v>
      </c>
      <c r="M6" s="4">
        <v>523</v>
      </c>
      <c r="N6" s="4">
        <v>5</v>
      </c>
      <c r="O6" s="4">
        <v>67</v>
      </c>
      <c r="P6" s="4">
        <v>182</v>
      </c>
      <c r="Q6" s="4">
        <v>161</v>
      </c>
      <c r="R6" s="4">
        <v>157</v>
      </c>
      <c r="S6" s="4">
        <v>2156</v>
      </c>
      <c r="T6" s="4">
        <v>124</v>
      </c>
      <c r="U6" s="4">
        <v>599</v>
      </c>
      <c r="V6" s="4">
        <v>448</v>
      </c>
      <c r="W6" s="4">
        <v>1556</v>
      </c>
      <c r="X6" s="4">
        <v>5</v>
      </c>
      <c r="Y6" s="4">
        <v>51</v>
      </c>
      <c r="Z6" s="4">
        <v>222</v>
      </c>
      <c r="AA6" s="4">
        <v>137</v>
      </c>
      <c r="AB6" s="4">
        <v>101</v>
      </c>
      <c r="AC6" s="4">
        <v>41</v>
      </c>
      <c r="AD6" s="4">
        <v>15</v>
      </c>
      <c r="AE6" s="4">
        <v>573</v>
      </c>
      <c r="AF6" s="4">
        <v>0</v>
      </c>
      <c r="AG6" s="4">
        <v>33</v>
      </c>
      <c r="AH6" s="4">
        <v>374</v>
      </c>
      <c r="AI6" s="4">
        <v>156</v>
      </c>
      <c r="AJ6" s="4">
        <v>9</v>
      </c>
      <c r="AK6" s="4">
        <v>0</v>
      </c>
      <c r="AL6" s="4">
        <v>124</v>
      </c>
      <c r="AM6" s="4">
        <v>0</v>
      </c>
      <c r="AN6" s="4">
        <v>23</v>
      </c>
      <c r="AO6" s="4">
        <v>52</v>
      </c>
      <c r="AP6" s="4">
        <v>44</v>
      </c>
      <c r="AQ6" s="4">
        <v>5</v>
      </c>
      <c r="AR6" s="4">
        <v>0</v>
      </c>
      <c r="AS6" s="4">
        <v>448</v>
      </c>
      <c r="AT6" s="4">
        <v>0</v>
      </c>
      <c r="AU6" s="4">
        <v>9</v>
      </c>
      <c r="AV6" s="4">
        <v>322</v>
      </c>
      <c r="AW6" s="4">
        <v>112</v>
      </c>
      <c r="AX6" s="4">
        <v>5</v>
      </c>
      <c r="AY6" s="4">
        <v>0</v>
      </c>
      <c r="AZ6" s="4">
        <v>573</v>
      </c>
      <c r="BA6" s="4">
        <v>31</v>
      </c>
      <c r="BB6" s="4">
        <v>87</v>
      </c>
      <c r="BC6" s="4">
        <v>146</v>
      </c>
      <c r="BD6" s="4">
        <v>309</v>
      </c>
      <c r="BE6" s="4">
        <v>2019</v>
      </c>
      <c r="BF6" s="4">
        <v>148</v>
      </c>
      <c r="BG6" s="4">
        <v>300</v>
      </c>
      <c r="BH6" s="4">
        <v>572</v>
      </c>
      <c r="BI6" s="4">
        <v>1000</v>
      </c>
      <c r="BJ6" s="4">
        <v>129</v>
      </c>
      <c r="BK6" s="4">
        <v>325</v>
      </c>
      <c r="BL6" s="4">
        <v>506</v>
      </c>
      <c r="BM6" s="4">
        <v>1195</v>
      </c>
      <c r="BN6" s="4">
        <v>24</v>
      </c>
      <c r="BO6" s="4">
        <v>539</v>
      </c>
      <c r="BP6" s="4">
        <v>500</v>
      </c>
      <c r="BQ6" s="4">
        <v>10</v>
      </c>
      <c r="BR6" s="4">
        <v>2019</v>
      </c>
      <c r="BS6" s="4">
        <v>72</v>
      </c>
      <c r="BT6" s="4">
        <v>1903</v>
      </c>
      <c r="BU6" s="4">
        <v>1804</v>
      </c>
      <c r="BV6" s="4">
        <v>44</v>
      </c>
      <c r="BW6" s="4">
        <v>7717</v>
      </c>
      <c r="BX6" s="4">
        <v>574</v>
      </c>
      <c r="BY6" s="4">
        <v>6967</v>
      </c>
      <c r="BZ6" s="4">
        <v>6654</v>
      </c>
      <c r="CA6" s="4">
        <v>176</v>
      </c>
      <c r="CB6" s="4">
        <v>527</v>
      </c>
      <c r="CC6" s="4">
        <v>0</v>
      </c>
      <c r="CD6" s="4">
        <v>32</v>
      </c>
      <c r="CE6" s="4">
        <v>0</v>
      </c>
      <c r="CF6" s="4">
        <v>14</v>
      </c>
      <c r="CG6" s="4">
        <v>136</v>
      </c>
      <c r="CH6" s="4">
        <v>351</v>
      </c>
      <c r="CI6" s="4">
        <v>279</v>
      </c>
      <c r="CJ6" s="4">
        <v>72</v>
      </c>
      <c r="CK6" s="4">
        <v>172</v>
      </c>
      <c r="CL6" s="4">
        <v>182</v>
      </c>
      <c r="CM6" s="4">
        <v>43</v>
      </c>
      <c r="CN6" s="4">
        <v>22</v>
      </c>
      <c r="CO6" s="4">
        <v>138</v>
      </c>
      <c r="CP6" s="4">
        <v>41</v>
      </c>
      <c r="CQ6" s="4">
        <v>0.1</v>
      </c>
      <c r="CR6" s="4">
        <v>10</v>
      </c>
      <c r="CS6" s="4">
        <v>6520</v>
      </c>
      <c r="CT6" s="4">
        <v>65.2</v>
      </c>
      <c r="CU6" s="4">
        <v>11.7</v>
      </c>
      <c r="CV6" s="4">
        <v>19.8</v>
      </c>
      <c r="CW6" s="4">
        <v>72</v>
      </c>
      <c r="CX6" s="4">
        <v>12.6</v>
      </c>
      <c r="CY6" s="4">
        <v>500</v>
      </c>
      <c r="CZ6" s="4">
        <v>87.3</v>
      </c>
      <c r="DA6" s="4">
        <v>5.4</v>
      </c>
      <c r="DB6" s="4">
        <v>264</v>
      </c>
      <c r="DC6" s="4">
        <v>46.1</v>
      </c>
      <c r="DD6" s="4">
        <v>3.5</v>
      </c>
      <c r="DE6" s="4">
        <v>73</v>
      </c>
      <c r="DF6" s="4">
        <v>32.9</v>
      </c>
      <c r="DG6" s="4">
        <v>4.2</v>
      </c>
      <c r="DH6" s="4">
        <v>87.3</v>
      </c>
      <c r="DI6" s="4">
        <v>92.8</v>
      </c>
      <c r="DJ6" s="4">
        <v>23.7</v>
      </c>
      <c r="DK6" s="43">
        <v>61.3</v>
      </c>
    </row>
    <row r="7" spans="1:115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652</v>
      </c>
      <c r="I7" s="4">
        <v>590</v>
      </c>
      <c r="J7" s="4">
        <v>0</v>
      </c>
      <c r="K7" s="4">
        <v>62</v>
      </c>
      <c r="L7" s="4">
        <v>275</v>
      </c>
      <c r="M7" s="4">
        <v>377</v>
      </c>
      <c r="N7" s="4">
        <v>45</v>
      </c>
      <c r="O7" s="4">
        <v>106</v>
      </c>
      <c r="P7" s="4">
        <v>170</v>
      </c>
      <c r="Q7" s="4">
        <v>107</v>
      </c>
      <c r="R7" s="4">
        <v>161</v>
      </c>
      <c r="S7" s="4">
        <v>2174</v>
      </c>
      <c r="T7" s="4">
        <v>252</v>
      </c>
      <c r="U7" s="4">
        <v>1284</v>
      </c>
      <c r="V7" s="4">
        <v>338</v>
      </c>
      <c r="W7" s="4">
        <v>890</v>
      </c>
      <c r="X7" s="4">
        <v>19</v>
      </c>
      <c r="Y7" s="4">
        <v>79</v>
      </c>
      <c r="Z7" s="4">
        <v>161</v>
      </c>
      <c r="AA7" s="4">
        <v>149</v>
      </c>
      <c r="AB7" s="4">
        <v>120</v>
      </c>
      <c r="AC7" s="4">
        <v>37</v>
      </c>
      <c r="AD7" s="4">
        <v>25</v>
      </c>
      <c r="AE7" s="4">
        <v>590</v>
      </c>
      <c r="AF7" s="4">
        <v>52</v>
      </c>
      <c r="AG7" s="4">
        <v>274</v>
      </c>
      <c r="AH7" s="4">
        <v>213</v>
      </c>
      <c r="AI7" s="4">
        <v>16</v>
      </c>
      <c r="AJ7" s="4">
        <v>17</v>
      </c>
      <c r="AK7" s="4">
        <v>17</v>
      </c>
      <c r="AL7" s="4">
        <v>252</v>
      </c>
      <c r="AM7" s="4">
        <v>25</v>
      </c>
      <c r="AN7" s="4">
        <v>158</v>
      </c>
      <c r="AO7" s="4">
        <v>39</v>
      </c>
      <c r="AP7" s="4">
        <v>7</v>
      </c>
      <c r="AQ7" s="4">
        <v>6</v>
      </c>
      <c r="AR7" s="4">
        <v>17</v>
      </c>
      <c r="AS7" s="4">
        <v>338</v>
      </c>
      <c r="AT7" s="4">
        <v>27</v>
      </c>
      <c r="AU7" s="4">
        <v>117</v>
      </c>
      <c r="AV7" s="4">
        <v>174</v>
      </c>
      <c r="AW7" s="4">
        <v>9</v>
      </c>
      <c r="AX7" s="4">
        <v>11</v>
      </c>
      <c r="AY7" s="4">
        <v>0</v>
      </c>
      <c r="AZ7" s="4">
        <v>590</v>
      </c>
      <c r="BA7" s="4">
        <v>64</v>
      </c>
      <c r="BB7" s="4">
        <v>97</v>
      </c>
      <c r="BC7" s="4">
        <v>147</v>
      </c>
      <c r="BD7" s="4">
        <v>281</v>
      </c>
      <c r="BE7" s="4">
        <v>1683</v>
      </c>
      <c r="BF7" s="4">
        <v>200</v>
      </c>
      <c r="BG7" s="4">
        <v>281</v>
      </c>
      <c r="BH7" s="4">
        <v>452</v>
      </c>
      <c r="BI7" s="4">
        <v>750</v>
      </c>
      <c r="BJ7" s="4">
        <v>242</v>
      </c>
      <c r="BK7" s="4">
        <v>316</v>
      </c>
      <c r="BL7" s="4">
        <v>463</v>
      </c>
      <c r="BM7" s="4">
        <v>1153</v>
      </c>
      <c r="BN7" s="4">
        <v>124</v>
      </c>
      <c r="BO7" s="4">
        <v>462</v>
      </c>
      <c r="BP7" s="4">
        <v>268</v>
      </c>
      <c r="BQ7" s="4">
        <v>3</v>
      </c>
      <c r="BR7" s="4">
        <v>1683</v>
      </c>
      <c r="BS7" s="4">
        <v>392</v>
      </c>
      <c r="BT7" s="4">
        <v>1281</v>
      </c>
      <c r="BU7" s="4">
        <v>742</v>
      </c>
      <c r="BV7" s="4">
        <v>10</v>
      </c>
      <c r="BW7" s="4">
        <v>8024</v>
      </c>
      <c r="BX7" s="4">
        <v>3054</v>
      </c>
      <c r="BY7" s="4">
        <v>4912</v>
      </c>
      <c r="BZ7" s="4">
        <v>3434</v>
      </c>
      <c r="CA7" s="4">
        <v>58</v>
      </c>
      <c r="CB7" s="4">
        <v>430</v>
      </c>
      <c r="CC7" s="4">
        <v>13</v>
      </c>
      <c r="CD7" s="4">
        <v>143</v>
      </c>
      <c r="CE7" s="4">
        <v>0</v>
      </c>
      <c r="CF7" s="4">
        <v>3</v>
      </c>
      <c r="CG7" s="4">
        <v>102</v>
      </c>
      <c r="CH7" s="4">
        <v>365</v>
      </c>
      <c r="CI7" s="4">
        <v>303</v>
      </c>
      <c r="CJ7" s="4">
        <v>62</v>
      </c>
      <c r="CK7" s="4">
        <v>210</v>
      </c>
      <c r="CL7" s="4">
        <v>100</v>
      </c>
      <c r="CM7" s="4">
        <v>60</v>
      </c>
      <c r="CN7" s="4">
        <v>68</v>
      </c>
      <c r="CO7" s="4">
        <v>101</v>
      </c>
      <c r="CP7" s="4">
        <v>12</v>
      </c>
      <c r="CQ7" s="4">
        <v>0.4</v>
      </c>
      <c r="CR7" s="4">
        <v>40</v>
      </c>
      <c r="CS7" s="4">
        <v>1630</v>
      </c>
      <c r="CT7" s="4">
        <v>16.3</v>
      </c>
      <c r="CU7" s="4">
        <v>9.5</v>
      </c>
      <c r="CV7" s="4">
        <v>42.2</v>
      </c>
      <c r="CW7" s="4">
        <v>151</v>
      </c>
      <c r="CX7" s="4">
        <v>25.6</v>
      </c>
      <c r="CY7" s="4">
        <v>438</v>
      </c>
      <c r="CZ7" s="4">
        <v>74.2</v>
      </c>
      <c r="DA7" s="4">
        <v>10.8</v>
      </c>
      <c r="DB7" s="4">
        <v>309</v>
      </c>
      <c r="DC7" s="4">
        <v>52.4</v>
      </c>
      <c r="DD7" s="4">
        <v>2.9</v>
      </c>
      <c r="DE7" s="4">
        <v>322</v>
      </c>
      <c r="DF7" s="4">
        <v>38.5</v>
      </c>
      <c r="DG7" s="4">
        <v>21</v>
      </c>
      <c r="DH7" s="4">
        <v>45.4</v>
      </c>
      <c r="DI7" s="4">
        <v>58</v>
      </c>
      <c r="DJ7" s="4">
        <v>17.3</v>
      </c>
      <c r="DK7" s="43">
        <v>61.9</v>
      </c>
    </row>
    <row r="8" spans="1:115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1052</v>
      </c>
      <c r="I8" s="4">
        <v>917</v>
      </c>
      <c r="J8" s="4">
        <v>9</v>
      </c>
      <c r="K8" s="4">
        <v>126</v>
      </c>
      <c r="L8" s="4">
        <v>738</v>
      </c>
      <c r="M8" s="4">
        <v>255</v>
      </c>
      <c r="N8" s="4">
        <v>83</v>
      </c>
      <c r="O8" s="4">
        <v>139</v>
      </c>
      <c r="P8" s="4">
        <v>113</v>
      </c>
      <c r="Q8" s="4">
        <v>204</v>
      </c>
      <c r="R8" s="4">
        <v>377</v>
      </c>
      <c r="S8" s="4">
        <v>3627</v>
      </c>
      <c r="T8" s="4">
        <v>640</v>
      </c>
      <c r="U8" s="4">
        <v>3045</v>
      </c>
      <c r="V8" s="4">
        <v>224</v>
      </c>
      <c r="W8" s="4">
        <v>500</v>
      </c>
      <c r="X8" s="4">
        <v>89</v>
      </c>
      <c r="Y8" s="4">
        <v>131</v>
      </c>
      <c r="Z8" s="4">
        <v>175</v>
      </c>
      <c r="AA8" s="4">
        <v>230</v>
      </c>
      <c r="AB8" s="4">
        <v>162</v>
      </c>
      <c r="AC8" s="4">
        <v>77</v>
      </c>
      <c r="AD8" s="4">
        <v>53</v>
      </c>
      <c r="AE8" s="4">
        <v>913</v>
      </c>
      <c r="AF8" s="4">
        <v>43</v>
      </c>
      <c r="AG8" s="4">
        <v>626</v>
      </c>
      <c r="AH8" s="4">
        <v>72</v>
      </c>
      <c r="AI8" s="4">
        <v>15</v>
      </c>
      <c r="AJ8" s="4">
        <v>10</v>
      </c>
      <c r="AK8" s="4">
        <v>147</v>
      </c>
      <c r="AL8" s="4">
        <v>636</v>
      </c>
      <c r="AM8" s="4">
        <v>39</v>
      </c>
      <c r="AN8" s="4">
        <v>511</v>
      </c>
      <c r="AO8" s="4">
        <v>56</v>
      </c>
      <c r="AP8" s="4">
        <v>11</v>
      </c>
      <c r="AQ8" s="4">
        <v>4</v>
      </c>
      <c r="AR8" s="4">
        <v>14</v>
      </c>
      <c r="AS8" s="4">
        <v>224</v>
      </c>
      <c r="AT8" s="4">
        <v>3</v>
      </c>
      <c r="AU8" s="4">
        <v>115</v>
      </c>
      <c r="AV8" s="4">
        <v>15</v>
      </c>
      <c r="AW8" s="4">
        <v>4</v>
      </c>
      <c r="AX8" s="4">
        <v>0</v>
      </c>
      <c r="AY8" s="4">
        <v>87</v>
      </c>
      <c r="AZ8" s="4">
        <v>917</v>
      </c>
      <c r="BA8" s="4">
        <v>100</v>
      </c>
      <c r="BB8" s="4">
        <v>161</v>
      </c>
      <c r="BC8" s="4">
        <v>231</v>
      </c>
      <c r="BD8" s="4">
        <v>426</v>
      </c>
      <c r="BE8" s="4">
        <v>2603</v>
      </c>
      <c r="BF8" s="4">
        <v>228</v>
      </c>
      <c r="BG8" s="4">
        <v>433</v>
      </c>
      <c r="BH8" s="4">
        <v>716</v>
      </c>
      <c r="BI8" s="4">
        <v>1225</v>
      </c>
      <c r="BJ8" s="4">
        <v>238</v>
      </c>
      <c r="BK8" s="4">
        <v>573</v>
      </c>
      <c r="BL8" s="4">
        <v>834</v>
      </c>
      <c r="BM8" s="4">
        <v>1981</v>
      </c>
      <c r="BN8" s="4">
        <v>431</v>
      </c>
      <c r="BO8" s="4">
        <v>476</v>
      </c>
      <c r="BP8" s="4">
        <v>162</v>
      </c>
      <c r="BQ8" s="4">
        <v>10</v>
      </c>
      <c r="BR8" s="4">
        <v>2603</v>
      </c>
      <c r="BS8" s="4">
        <v>1309</v>
      </c>
      <c r="BT8" s="4">
        <v>1269</v>
      </c>
      <c r="BU8" s="4">
        <v>440</v>
      </c>
      <c r="BV8" s="4">
        <v>25</v>
      </c>
      <c r="BW8" s="4">
        <v>13295</v>
      </c>
      <c r="BX8" s="4">
        <v>10168</v>
      </c>
      <c r="BY8" s="4">
        <v>3002</v>
      </c>
      <c r="BZ8" s="4">
        <v>1118</v>
      </c>
      <c r="CA8" s="4">
        <v>124</v>
      </c>
      <c r="CB8" s="4">
        <v>712</v>
      </c>
      <c r="CC8" s="4">
        <v>22</v>
      </c>
      <c r="CD8" s="4">
        <v>123</v>
      </c>
      <c r="CE8" s="4">
        <v>1</v>
      </c>
      <c r="CF8" s="4">
        <v>60</v>
      </c>
      <c r="CG8" s="4">
        <v>193</v>
      </c>
      <c r="CH8" s="4">
        <v>603</v>
      </c>
      <c r="CI8" s="4">
        <v>492</v>
      </c>
      <c r="CJ8" s="4">
        <v>111</v>
      </c>
      <c r="CK8" s="4">
        <v>264</v>
      </c>
      <c r="CL8" s="4">
        <v>164</v>
      </c>
      <c r="CM8" s="4">
        <v>158</v>
      </c>
      <c r="CN8" s="4">
        <v>115</v>
      </c>
      <c r="CO8" s="4">
        <v>203</v>
      </c>
      <c r="CP8" s="4">
        <v>35</v>
      </c>
      <c r="CQ8" s="4">
        <v>0.9</v>
      </c>
      <c r="CR8" s="4">
        <v>90</v>
      </c>
      <c r="CS8" s="4">
        <v>1168.9000000000001</v>
      </c>
      <c r="CT8" s="4">
        <v>11.7</v>
      </c>
      <c r="CU8" s="4">
        <v>12</v>
      </c>
      <c r="CV8" s="4">
        <v>70.2</v>
      </c>
      <c r="CW8" s="4">
        <v>222</v>
      </c>
      <c r="CX8" s="4">
        <v>24.2</v>
      </c>
      <c r="CY8" s="4">
        <v>694</v>
      </c>
      <c r="CZ8" s="4">
        <v>75.7</v>
      </c>
      <c r="DA8" s="4">
        <v>10.9</v>
      </c>
      <c r="DB8" s="4">
        <v>491</v>
      </c>
      <c r="DC8" s="4">
        <v>53.5</v>
      </c>
      <c r="DD8" s="4">
        <v>2.8</v>
      </c>
      <c r="DE8" s="4">
        <v>755</v>
      </c>
      <c r="DF8" s="4">
        <v>57.1</v>
      </c>
      <c r="DG8" s="4">
        <v>47</v>
      </c>
      <c r="DH8" s="4">
        <v>17.7</v>
      </c>
      <c r="DI8" s="4">
        <v>34</v>
      </c>
      <c r="DJ8" s="4">
        <v>21</v>
      </c>
      <c r="DK8" s="43">
        <v>65.8</v>
      </c>
    </row>
    <row r="9" spans="1:115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1037</v>
      </c>
      <c r="I9" s="4">
        <v>809</v>
      </c>
      <c r="J9" s="4">
        <v>4</v>
      </c>
      <c r="K9" s="4">
        <v>224</v>
      </c>
      <c r="L9" s="4">
        <v>506</v>
      </c>
      <c r="M9" s="4">
        <v>532</v>
      </c>
      <c r="N9" s="4">
        <v>33</v>
      </c>
      <c r="O9" s="4">
        <v>146</v>
      </c>
      <c r="P9" s="4">
        <v>210</v>
      </c>
      <c r="Q9" s="4">
        <v>138</v>
      </c>
      <c r="R9" s="4">
        <v>282</v>
      </c>
      <c r="S9" s="4">
        <v>3065</v>
      </c>
      <c r="T9" s="4">
        <v>441</v>
      </c>
      <c r="U9" s="4">
        <v>2124</v>
      </c>
      <c r="V9" s="4">
        <v>368</v>
      </c>
      <c r="W9" s="4">
        <v>941</v>
      </c>
      <c r="X9" s="4">
        <v>28</v>
      </c>
      <c r="Y9" s="4">
        <v>204</v>
      </c>
      <c r="Z9" s="4">
        <v>181</v>
      </c>
      <c r="AA9" s="4">
        <v>147</v>
      </c>
      <c r="AB9" s="4">
        <v>144</v>
      </c>
      <c r="AC9" s="4">
        <v>82</v>
      </c>
      <c r="AD9" s="4">
        <v>23</v>
      </c>
      <c r="AE9" s="4">
        <v>808</v>
      </c>
      <c r="AF9" s="4">
        <v>23</v>
      </c>
      <c r="AG9" s="4">
        <v>372</v>
      </c>
      <c r="AH9" s="4">
        <v>184</v>
      </c>
      <c r="AI9" s="4">
        <v>147</v>
      </c>
      <c r="AJ9" s="4">
        <v>26</v>
      </c>
      <c r="AK9" s="4">
        <v>56</v>
      </c>
      <c r="AL9" s="4">
        <v>440</v>
      </c>
      <c r="AM9" s="4">
        <v>21</v>
      </c>
      <c r="AN9" s="4">
        <v>328</v>
      </c>
      <c r="AO9" s="4">
        <v>30</v>
      </c>
      <c r="AP9" s="4">
        <v>14</v>
      </c>
      <c r="AQ9" s="4">
        <v>13</v>
      </c>
      <c r="AR9" s="4">
        <v>35</v>
      </c>
      <c r="AS9" s="4">
        <v>368</v>
      </c>
      <c r="AT9" s="4">
        <v>3</v>
      </c>
      <c r="AU9" s="4">
        <v>44</v>
      </c>
      <c r="AV9" s="4">
        <v>154</v>
      </c>
      <c r="AW9" s="4">
        <v>133</v>
      </c>
      <c r="AX9" s="4">
        <v>14</v>
      </c>
      <c r="AY9" s="4">
        <v>20</v>
      </c>
      <c r="AZ9" s="4">
        <v>809</v>
      </c>
      <c r="BA9" s="4">
        <v>56</v>
      </c>
      <c r="BB9" s="4">
        <v>127</v>
      </c>
      <c r="BC9" s="4">
        <v>196</v>
      </c>
      <c r="BD9" s="4">
        <v>429</v>
      </c>
      <c r="BE9" s="4">
        <v>2224</v>
      </c>
      <c r="BF9" s="4">
        <v>185</v>
      </c>
      <c r="BG9" s="4">
        <v>389</v>
      </c>
      <c r="BH9" s="4">
        <v>593</v>
      </c>
      <c r="BI9" s="4">
        <v>1057</v>
      </c>
      <c r="BJ9" s="4">
        <v>207</v>
      </c>
      <c r="BK9" s="4">
        <v>449</v>
      </c>
      <c r="BL9" s="4">
        <v>708</v>
      </c>
      <c r="BM9" s="4">
        <v>1702</v>
      </c>
      <c r="BN9" s="4">
        <v>335</v>
      </c>
      <c r="BO9" s="4">
        <v>471</v>
      </c>
      <c r="BP9" s="4">
        <v>369</v>
      </c>
      <c r="BQ9" s="4">
        <v>3</v>
      </c>
      <c r="BR9" s="4">
        <v>2224</v>
      </c>
      <c r="BS9" s="4">
        <v>910</v>
      </c>
      <c r="BT9" s="4">
        <v>1302</v>
      </c>
      <c r="BU9" s="4">
        <v>872</v>
      </c>
      <c r="BV9" s="4">
        <v>12</v>
      </c>
      <c r="BW9" s="4">
        <v>12293</v>
      </c>
      <c r="BX9" s="4">
        <v>7021</v>
      </c>
      <c r="BY9" s="4">
        <v>5266</v>
      </c>
      <c r="BZ9" s="4">
        <v>4631</v>
      </c>
      <c r="CA9" s="4">
        <v>6</v>
      </c>
      <c r="CB9" s="4">
        <v>656</v>
      </c>
      <c r="CC9" s="4">
        <v>3</v>
      </c>
      <c r="CD9" s="4">
        <v>136</v>
      </c>
      <c r="CE9" s="4">
        <v>3</v>
      </c>
      <c r="CF9" s="4">
        <v>11</v>
      </c>
      <c r="CG9" s="4">
        <v>177</v>
      </c>
      <c r="CH9" s="4">
        <v>598</v>
      </c>
      <c r="CI9" s="4">
        <v>483</v>
      </c>
      <c r="CJ9" s="4">
        <v>114</v>
      </c>
      <c r="CK9" s="4">
        <v>209</v>
      </c>
      <c r="CL9" s="4">
        <v>191</v>
      </c>
      <c r="CM9" s="4">
        <v>104</v>
      </c>
      <c r="CN9" s="4">
        <v>122</v>
      </c>
      <c r="CO9" s="4">
        <v>132</v>
      </c>
      <c r="CP9" s="4">
        <v>30</v>
      </c>
      <c r="CQ9" s="4">
        <v>0.4</v>
      </c>
      <c r="CR9" s="4">
        <v>40</v>
      </c>
      <c r="CS9" s="4">
        <v>2592.5</v>
      </c>
      <c r="CT9" s="4">
        <v>25.9</v>
      </c>
      <c r="CU9" s="4">
        <v>21.6</v>
      </c>
      <c r="CV9" s="4">
        <v>48.8</v>
      </c>
      <c r="CW9" s="4">
        <v>179</v>
      </c>
      <c r="CX9" s="4">
        <v>22.1</v>
      </c>
      <c r="CY9" s="4">
        <v>630</v>
      </c>
      <c r="CZ9" s="4">
        <v>77.900000000000006</v>
      </c>
      <c r="DA9" s="4">
        <v>6.9</v>
      </c>
      <c r="DB9" s="4">
        <v>380</v>
      </c>
      <c r="DC9" s="4">
        <v>47</v>
      </c>
      <c r="DD9" s="4">
        <v>2.7</v>
      </c>
      <c r="DE9" s="4">
        <v>440</v>
      </c>
      <c r="DF9" s="4">
        <v>76.099999999999994</v>
      </c>
      <c r="DG9" s="4">
        <v>41.4</v>
      </c>
      <c r="DH9" s="4">
        <v>45.6</v>
      </c>
      <c r="DI9" s="4">
        <v>78.3</v>
      </c>
      <c r="DJ9" s="4">
        <v>21.9</v>
      </c>
      <c r="DK9" s="43">
        <v>73.900000000000006</v>
      </c>
    </row>
    <row r="10" spans="1:115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1174</v>
      </c>
      <c r="I10" s="4">
        <v>1076</v>
      </c>
      <c r="J10" s="4">
        <v>0</v>
      </c>
      <c r="K10" s="4">
        <v>98</v>
      </c>
      <c r="L10" s="4">
        <v>675</v>
      </c>
      <c r="M10" s="4">
        <v>500</v>
      </c>
      <c r="N10" s="4">
        <v>64</v>
      </c>
      <c r="O10" s="4">
        <v>104</v>
      </c>
      <c r="P10" s="4">
        <v>265</v>
      </c>
      <c r="Q10" s="4">
        <v>190</v>
      </c>
      <c r="R10" s="4">
        <v>454</v>
      </c>
      <c r="S10" s="4">
        <v>4428</v>
      </c>
      <c r="T10" s="4">
        <v>599</v>
      </c>
      <c r="U10" s="4">
        <v>3019</v>
      </c>
      <c r="V10" s="4">
        <v>478</v>
      </c>
      <c r="W10" s="4">
        <v>1409</v>
      </c>
      <c r="X10" s="4">
        <v>57</v>
      </c>
      <c r="Y10" s="4">
        <v>104</v>
      </c>
      <c r="Z10" s="4">
        <v>282</v>
      </c>
      <c r="AA10" s="4">
        <v>223</v>
      </c>
      <c r="AB10" s="4">
        <v>299</v>
      </c>
      <c r="AC10" s="4">
        <v>80</v>
      </c>
      <c r="AD10" s="4">
        <v>32</v>
      </c>
      <c r="AE10" s="4">
        <v>1072</v>
      </c>
      <c r="AF10" s="4">
        <v>35</v>
      </c>
      <c r="AG10" s="4">
        <v>579</v>
      </c>
      <c r="AH10" s="4">
        <v>304</v>
      </c>
      <c r="AI10" s="4">
        <v>111</v>
      </c>
      <c r="AJ10" s="4">
        <v>19</v>
      </c>
      <c r="AK10" s="4">
        <v>23</v>
      </c>
      <c r="AL10" s="4">
        <v>594</v>
      </c>
      <c r="AM10" s="4">
        <v>35</v>
      </c>
      <c r="AN10" s="4">
        <v>413</v>
      </c>
      <c r="AO10" s="4">
        <v>86</v>
      </c>
      <c r="AP10" s="4">
        <v>24</v>
      </c>
      <c r="AQ10" s="4">
        <v>12</v>
      </c>
      <c r="AR10" s="4">
        <v>23</v>
      </c>
      <c r="AS10" s="4">
        <v>478</v>
      </c>
      <c r="AT10" s="4">
        <v>0</v>
      </c>
      <c r="AU10" s="4">
        <v>166</v>
      </c>
      <c r="AV10" s="4">
        <v>218</v>
      </c>
      <c r="AW10" s="4">
        <v>87</v>
      </c>
      <c r="AX10" s="4">
        <v>7</v>
      </c>
      <c r="AY10" s="4">
        <v>0</v>
      </c>
      <c r="AZ10" s="4">
        <v>1076</v>
      </c>
      <c r="BA10" s="4">
        <v>80</v>
      </c>
      <c r="BB10" s="4">
        <v>197</v>
      </c>
      <c r="BC10" s="4">
        <v>232</v>
      </c>
      <c r="BD10" s="4">
        <v>567</v>
      </c>
      <c r="BE10" s="4">
        <v>3518</v>
      </c>
      <c r="BF10" s="4">
        <v>272</v>
      </c>
      <c r="BG10" s="4">
        <v>604</v>
      </c>
      <c r="BH10" s="4">
        <v>896</v>
      </c>
      <c r="BI10" s="4">
        <v>1747</v>
      </c>
      <c r="BJ10" s="4">
        <v>309</v>
      </c>
      <c r="BK10" s="4">
        <v>664</v>
      </c>
      <c r="BL10" s="4">
        <v>934</v>
      </c>
      <c r="BM10" s="4">
        <v>2520</v>
      </c>
      <c r="BN10" s="4">
        <v>366</v>
      </c>
      <c r="BO10" s="4">
        <v>704</v>
      </c>
      <c r="BP10" s="4">
        <v>405</v>
      </c>
      <c r="BQ10" s="4">
        <v>7</v>
      </c>
      <c r="BR10" s="4">
        <v>3518</v>
      </c>
      <c r="BS10" s="4">
        <v>1216</v>
      </c>
      <c r="BT10" s="4">
        <v>2276</v>
      </c>
      <c r="BU10" s="4">
        <v>1172</v>
      </c>
      <c r="BV10" s="4">
        <v>26</v>
      </c>
      <c r="BW10" s="4">
        <v>15842</v>
      </c>
      <c r="BX10" s="4">
        <v>8212</v>
      </c>
      <c r="BY10" s="4">
        <v>7511</v>
      </c>
      <c r="BZ10" s="4">
        <v>4978</v>
      </c>
      <c r="CA10" s="4">
        <v>119</v>
      </c>
      <c r="CB10" s="4">
        <v>904</v>
      </c>
      <c r="CC10" s="4">
        <v>14</v>
      </c>
      <c r="CD10" s="4">
        <v>131</v>
      </c>
      <c r="CE10" s="4">
        <v>0</v>
      </c>
      <c r="CF10" s="4">
        <v>28</v>
      </c>
      <c r="CG10" s="4">
        <v>143</v>
      </c>
      <c r="CH10" s="4">
        <v>700</v>
      </c>
      <c r="CI10" s="4">
        <v>543</v>
      </c>
      <c r="CJ10" s="4">
        <v>157</v>
      </c>
      <c r="CK10" s="4">
        <v>267</v>
      </c>
      <c r="CL10" s="4">
        <v>281</v>
      </c>
      <c r="CM10" s="4">
        <v>140</v>
      </c>
      <c r="CN10" s="4">
        <v>182</v>
      </c>
      <c r="CO10" s="4">
        <v>173</v>
      </c>
      <c r="CP10" s="4">
        <v>52</v>
      </c>
      <c r="CQ10" s="4">
        <v>0.6</v>
      </c>
      <c r="CR10" s="4">
        <v>60</v>
      </c>
      <c r="CS10" s="4">
        <v>1956.7</v>
      </c>
      <c r="CT10" s="4">
        <v>19.600000000000001</v>
      </c>
      <c r="CU10" s="4">
        <v>8.3000000000000007</v>
      </c>
      <c r="CV10" s="4">
        <v>57.5</v>
      </c>
      <c r="CW10" s="4">
        <v>168</v>
      </c>
      <c r="CX10" s="4">
        <v>15.6</v>
      </c>
      <c r="CY10" s="4">
        <v>909</v>
      </c>
      <c r="CZ10" s="4">
        <v>84.5</v>
      </c>
      <c r="DA10" s="4">
        <v>7.4</v>
      </c>
      <c r="DB10" s="4">
        <v>509</v>
      </c>
      <c r="DC10" s="4">
        <v>47.3</v>
      </c>
      <c r="DD10" s="4">
        <v>3.3</v>
      </c>
      <c r="DE10" s="4">
        <v>671</v>
      </c>
      <c r="DF10" s="4">
        <v>54.5</v>
      </c>
      <c r="DG10" s="4">
        <v>34</v>
      </c>
      <c r="DH10" s="4">
        <v>37.6</v>
      </c>
      <c r="DI10" s="4">
        <v>57.5</v>
      </c>
      <c r="DJ10" s="4">
        <v>13.3</v>
      </c>
      <c r="DK10" s="43">
        <v>65.099999999999994</v>
      </c>
    </row>
    <row r="11" spans="1:115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903</v>
      </c>
      <c r="I11" s="4">
        <v>811</v>
      </c>
      <c r="J11" s="4">
        <v>0</v>
      </c>
      <c r="K11" s="4">
        <v>93</v>
      </c>
      <c r="L11" s="4">
        <v>494</v>
      </c>
      <c r="M11" s="4">
        <v>402</v>
      </c>
      <c r="N11" s="4">
        <v>64</v>
      </c>
      <c r="O11" s="4">
        <v>89</v>
      </c>
      <c r="P11" s="4">
        <v>215</v>
      </c>
      <c r="Q11" s="4">
        <v>179</v>
      </c>
      <c r="R11" s="4">
        <v>264</v>
      </c>
      <c r="S11" s="4">
        <v>3149</v>
      </c>
      <c r="T11" s="4">
        <v>420</v>
      </c>
      <c r="U11" s="4">
        <v>2082</v>
      </c>
      <c r="V11" s="4">
        <v>384</v>
      </c>
      <c r="W11" s="4">
        <v>1060</v>
      </c>
      <c r="X11" s="4">
        <v>44</v>
      </c>
      <c r="Y11" s="4">
        <v>120</v>
      </c>
      <c r="Z11" s="4">
        <v>183</v>
      </c>
      <c r="AA11" s="4">
        <v>189</v>
      </c>
      <c r="AB11" s="4">
        <v>163</v>
      </c>
      <c r="AC11" s="4">
        <v>68</v>
      </c>
      <c r="AD11" s="4">
        <v>43</v>
      </c>
      <c r="AE11" s="4">
        <v>811</v>
      </c>
      <c r="AF11" s="4">
        <v>86</v>
      </c>
      <c r="AG11" s="4">
        <v>339</v>
      </c>
      <c r="AH11" s="4">
        <v>183</v>
      </c>
      <c r="AI11" s="4">
        <v>71</v>
      </c>
      <c r="AJ11" s="4">
        <v>27</v>
      </c>
      <c r="AK11" s="4">
        <v>106</v>
      </c>
      <c r="AL11" s="4">
        <v>420</v>
      </c>
      <c r="AM11" s="4">
        <v>36</v>
      </c>
      <c r="AN11" s="4">
        <v>249</v>
      </c>
      <c r="AO11" s="4">
        <v>89</v>
      </c>
      <c r="AP11" s="4">
        <v>1</v>
      </c>
      <c r="AQ11" s="4">
        <v>4</v>
      </c>
      <c r="AR11" s="4">
        <v>41</v>
      </c>
      <c r="AS11" s="4">
        <v>384</v>
      </c>
      <c r="AT11" s="4">
        <v>43</v>
      </c>
      <c r="AU11" s="4">
        <v>90</v>
      </c>
      <c r="AV11" s="4">
        <v>94</v>
      </c>
      <c r="AW11" s="4">
        <v>70</v>
      </c>
      <c r="AX11" s="4">
        <v>23</v>
      </c>
      <c r="AY11" s="4">
        <v>65</v>
      </c>
      <c r="AZ11" s="4">
        <v>811</v>
      </c>
      <c r="BA11" s="4">
        <v>54</v>
      </c>
      <c r="BB11" s="4">
        <v>180</v>
      </c>
      <c r="BC11" s="4">
        <v>235</v>
      </c>
      <c r="BD11" s="4">
        <v>343</v>
      </c>
      <c r="BE11" s="4">
        <v>2462</v>
      </c>
      <c r="BF11" s="4">
        <v>110</v>
      </c>
      <c r="BG11" s="4">
        <v>519</v>
      </c>
      <c r="BH11" s="4">
        <v>706</v>
      </c>
      <c r="BI11" s="4">
        <v>1127</v>
      </c>
      <c r="BJ11" s="4">
        <v>152</v>
      </c>
      <c r="BK11" s="4">
        <v>666</v>
      </c>
      <c r="BL11" s="4">
        <v>816</v>
      </c>
      <c r="BM11" s="4">
        <v>1515</v>
      </c>
      <c r="BN11" s="4">
        <v>243</v>
      </c>
      <c r="BO11" s="4">
        <v>568</v>
      </c>
      <c r="BP11" s="4">
        <v>248</v>
      </c>
      <c r="BQ11" s="4">
        <v>0</v>
      </c>
      <c r="BR11" s="4">
        <v>2462</v>
      </c>
      <c r="BS11" s="4">
        <v>806</v>
      </c>
      <c r="BT11" s="4">
        <v>1656</v>
      </c>
      <c r="BU11" s="4">
        <v>753</v>
      </c>
      <c r="BV11" s="4">
        <v>0</v>
      </c>
      <c r="BW11" s="4">
        <v>9608</v>
      </c>
      <c r="BX11" s="4">
        <v>4293</v>
      </c>
      <c r="BY11" s="4">
        <v>5314</v>
      </c>
      <c r="BZ11" s="4">
        <v>3117</v>
      </c>
      <c r="CA11" s="4">
        <v>0</v>
      </c>
      <c r="CB11" s="4">
        <v>533</v>
      </c>
      <c r="CC11" s="4">
        <v>9</v>
      </c>
      <c r="CD11" s="4">
        <v>229</v>
      </c>
      <c r="CE11" s="4">
        <v>0</v>
      </c>
      <c r="CF11" s="4">
        <v>40</v>
      </c>
      <c r="CG11" s="4">
        <v>186</v>
      </c>
      <c r="CH11" s="4">
        <v>542</v>
      </c>
      <c r="CI11" s="4">
        <v>375</v>
      </c>
      <c r="CJ11" s="4">
        <v>167</v>
      </c>
      <c r="CK11" s="4">
        <v>225</v>
      </c>
      <c r="CL11" s="4">
        <v>229</v>
      </c>
      <c r="CM11" s="4">
        <v>121</v>
      </c>
      <c r="CN11" s="4">
        <v>115</v>
      </c>
      <c r="CO11" s="4">
        <v>165</v>
      </c>
      <c r="CP11" s="4">
        <v>26</v>
      </c>
      <c r="CQ11" s="4">
        <v>0.2</v>
      </c>
      <c r="CR11" s="4">
        <v>20</v>
      </c>
      <c r="CS11" s="4">
        <v>4515</v>
      </c>
      <c r="CT11" s="4">
        <v>45.2</v>
      </c>
      <c r="CU11" s="4">
        <v>10.3</v>
      </c>
      <c r="CV11" s="4">
        <v>54.7</v>
      </c>
      <c r="CW11" s="4">
        <v>153</v>
      </c>
      <c r="CX11" s="4">
        <v>18.899999999999999</v>
      </c>
      <c r="CY11" s="4">
        <v>658</v>
      </c>
      <c r="CZ11" s="4">
        <v>81.099999999999994</v>
      </c>
      <c r="DA11" s="4">
        <v>6.7</v>
      </c>
      <c r="DB11" s="4">
        <v>468</v>
      </c>
      <c r="DC11" s="4">
        <v>57.7</v>
      </c>
      <c r="DD11" s="4">
        <v>3</v>
      </c>
      <c r="DE11" s="4">
        <v>563</v>
      </c>
      <c r="DF11" s="4">
        <v>43.2</v>
      </c>
      <c r="DG11" s="4">
        <v>30</v>
      </c>
      <c r="DH11" s="4">
        <v>30.6</v>
      </c>
      <c r="DI11" s="4">
        <v>43.7</v>
      </c>
      <c r="DJ11" s="4">
        <v>22.9</v>
      </c>
      <c r="DK11" s="43">
        <v>66.8</v>
      </c>
    </row>
    <row r="12" spans="1:115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1086</v>
      </c>
      <c r="I12" s="4">
        <v>980</v>
      </c>
      <c r="J12" s="4">
        <v>6</v>
      </c>
      <c r="K12" s="4">
        <v>100</v>
      </c>
      <c r="L12" s="4">
        <v>432</v>
      </c>
      <c r="M12" s="4">
        <v>649</v>
      </c>
      <c r="N12" s="4">
        <v>18</v>
      </c>
      <c r="O12" s="4">
        <v>185</v>
      </c>
      <c r="P12" s="4">
        <v>274</v>
      </c>
      <c r="Q12" s="4">
        <v>245</v>
      </c>
      <c r="R12" s="4">
        <v>258</v>
      </c>
      <c r="S12" s="4">
        <v>3681</v>
      </c>
      <c r="T12" s="4">
        <v>388</v>
      </c>
      <c r="U12" s="4">
        <v>1903</v>
      </c>
      <c r="V12" s="4">
        <v>587</v>
      </c>
      <c r="W12" s="4">
        <v>1762</v>
      </c>
      <c r="X12" s="4">
        <v>15</v>
      </c>
      <c r="Y12" s="4">
        <v>121</v>
      </c>
      <c r="Z12" s="4">
        <v>310</v>
      </c>
      <c r="AA12" s="4">
        <v>243</v>
      </c>
      <c r="AB12" s="4">
        <v>158</v>
      </c>
      <c r="AC12" s="4">
        <v>76</v>
      </c>
      <c r="AD12" s="4">
        <v>56</v>
      </c>
      <c r="AE12" s="4">
        <v>979</v>
      </c>
      <c r="AF12" s="4">
        <v>32</v>
      </c>
      <c r="AG12" s="4">
        <v>312</v>
      </c>
      <c r="AH12" s="4">
        <v>116</v>
      </c>
      <c r="AI12" s="4">
        <v>410</v>
      </c>
      <c r="AJ12" s="4">
        <v>26</v>
      </c>
      <c r="AK12" s="4">
        <v>82</v>
      </c>
      <c r="AL12" s="4">
        <v>388</v>
      </c>
      <c r="AM12" s="4">
        <v>24</v>
      </c>
      <c r="AN12" s="4">
        <v>268</v>
      </c>
      <c r="AO12" s="4">
        <v>29</v>
      </c>
      <c r="AP12" s="4">
        <v>37</v>
      </c>
      <c r="AQ12" s="4">
        <v>17</v>
      </c>
      <c r="AR12" s="4">
        <v>14</v>
      </c>
      <c r="AS12" s="4">
        <v>586</v>
      </c>
      <c r="AT12" s="4">
        <v>9</v>
      </c>
      <c r="AU12" s="4">
        <v>39</v>
      </c>
      <c r="AV12" s="4">
        <v>87</v>
      </c>
      <c r="AW12" s="4">
        <v>374</v>
      </c>
      <c r="AX12" s="4">
        <v>9</v>
      </c>
      <c r="AY12" s="4">
        <v>69</v>
      </c>
      <c r="AZ12" s="4">
        <v>980</v>
      </c>
      <c r="BA12" s="4">
        <v>98</v>
      </c>
      <c r="BB12" s="4">
        <v>190</v>
      </c>
      <c r="BC12" s="4">
        <v>215</v>
      </c>
      <c r="BD12" s="4">
        <v>478</v>
      </c>
      <c r="BE12" s="4">
        <v>2711</v>
      </c>
      <c r="BF12" s="4">
        <v>207</v>
      </c>
      <c r="BG12" s="4">
        <v>605</v>
      </c>
      <c r="BH12" s="4">
        <v>628</v>
      </c>
      <c r="BI12" s="4">
        <v>1271</v>
      </c>
      <c r="BJ12" s="4">
        <v>296</v>
      </c>
      <c r="BK12" s="4">
        <v>677</v>
      </c>
      <c r="BL12" s="4">
        <v>739</v>
      </c>
      <c r="BM12" s="4">
        <v>1970</v>
      </c>
      <c r="BN12" s="4">
        <v>217</v>
      </c>
      <c r="BO12" s="4">
        <v>741</v>
      </c>
      <c r="BP12" s="4">
        <v>534</v>
      </c>
      <c r="BQ12" s="4">
        <v>23</v>
      </c>
      <c r="BR12" s="4">
        <v>2711</v>
      </c>
      <c r="BS12" s="4">
        <v>646</v>
      </c>
      <c r="BT12" s="4">
        <v>2010</v>
      </c>
      <c r="BU12" s="4">
        <v>1335</v>
      </c>
      <c r="BV12" s="4">
        <v>55</v>
      </c>
      <c r="BW12" s="4">
        <v>12991</v>
      </c>
      <c r="BX12" s="4">
        <v>4496</v>
      </c>
      <c r="BY12" s="4">
        <v>8017</v>
      </c>
      <c r="BZ12" s="4">
        <v>6332</v>
      </c>
      <c r="CA12" s="4">
        <v>478</v>
      </c>
      <c r="CB12" s="4">
        <v>830</v>
      </c>
      <c r="CC12" s="4">
        <v>18</v>
      </c>
      <c r="CD12" s="4">
        <v>113</v>
      </c>
      <c r="CE12" s="4">
        <v>3</v>
      </c>
      <c r="CF12" s="4">
        <v>17</v>
      </c>
      <c r="CG12" s="4">
        <v>226</v>
      </c>
      <c r="CH12" s="4">
        <v>589</v>
      </c>
      <c r="CI12" s="4">
        <v>454</v>
      </c>
      <c r="CJ12" s="4">
        <v>134</v>
      </c>
      <c r="CK12" s="4">
        <v>353</v>
      </c>
      <c r="CL12" s="4">
        <v>237</v>
      </c>
      <c r="CM12" s="4">
        <v>111</v>
      </c>
      <c r="CN12" s="4">
        <v>120</v>
      </c>
      <c r="CO12" s="4">
        <v>149</v>
      </c>
      <c r="CP12" s="4">
        <v>28</v>
      </c>
      <c r="CQ12" s="4">
        <v>0.3</v>
      </c>
      <c r="CR12" s="4">
        <v>30</v>
      </c>
      <c r="CS12" s="4">
        <v>3620</v>
      </c>
      <c r="CT12" s="4">
        <v>36.200000000000003</v>
      </c>
      <c r="CU12" s="4">
        <v>9.1999999999999993</v>
      </c>
      <c r="CV12" s="4">
        <v>39.799999999999997</v>
      </c>
      <c r="CW12" s="4">
        <v>203</v>
      </c>
      <c r="CX12" s="4">
        <v>20.7</v>
      </c>
      <c r="CY12" s="4">
        <v>777</v>
      </c>
      <c r="CZ12" s="4">
        <v>79.3</v>
      </c>
      <c r="DA12" s="4">
        <v>10</v>
      </c>
      <c r="DB12" s="4">
        <v>502</v>
      </c>
      <c r="DC12" s="4">
        <v>51.2</v>
      </c>
      <c r="DD12" s="4">
        <v>2.8</v>
      </c>
      <c r="DE12" s="4">
        <v>446</v>
      </c>
      <c r="DF12" s="4">
        <v>48.7</v>
      </c>
      <c r="DG12" s="4">
        <v>22.1</v>
      </c>
      <c r="DH12" s="4">
        <v>54.5</v>
      </c>
      <c r="DI12" s="4">
        <v>72.099999999999994</v>
      </c>
      <c r="DJ12" s="4">
        <v>23.1</v>
      </c>
      <c r="DK12" s="43">
        <v>60.1</v>
      </c>
    </row>
    <row r="13" spans="1:115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1012</v>
      </c>
      <c r="I13" s="4">
        <v>890</v>
      </c>
      <c r="J13" s="4">
        <v>8</v>
      </c>
      <c r="K13" s="4">
        <v>115</v>
      </c>
      <c r="L13" s="4">
        <v>441</v>
      </c>
      <c r="M13" s="4">
        <v>564</v>
      </c>
      <c r="N13" s="4">
        <v>88</v>
      </c>
      <c r="O13" s="4">
        <v>152</v>
      </c>
      <c r="P13" s="4">
        <v>178</v>
      </c>
      <c r="Q13" s="4">
        <v>156</v>
      </c>
      <c r="R13" s="4">
        <v>317</v>
      </c>
      <c r="S13" s="4">
        <v>3426</v>
      </c>
      <c r="T13" s="4">
        <v>381</v>
      </c>
      <c r="U13" s="4">
        <v>2013</v>
      </c>
      <c r="V13" s="4">
        <v>502</v>
      </c>
      <c r="W13" s="4">
        <v>1403</v>
      </c>
      <c r="X13" s="4">
        <v>63</v>
      </c>
      <c r="Y13" s="4">
        <v>81</v>
      </c>
      <c r="Z13" s="4">
        <v>253</v>
      </c>
      <c r="AA13" s="4">
        <v>225</v>
      </c>
      <c r="AB13" s="4">
        <v>143</v>
      </c>
      <c r="AC13" s="4">
        <v>75</v>
      </c>
      <c r="AD13" s="4">
        <v>50</v>
      </c>
      <c r="AE13" s="4">
        <v>889</v>
      </c>
      <c r="AF13" s="4">
        <v>56</v>
      </c>
      <c r="AG13" s="4">
        <v>459</v>
      </c>
      <c r="AH13" s="4">
        <v>128</v>
      </c>
      <c r="AI13" s="4">
        <v>215</v>
      </c>
      <c r="AJ13" s="4">
        <v>29</v>
      </c>
      <c r="AK13" s="4">
        <v>1</v>
      </c>
      <c r="AL13" s="4">
        <v>381</v>
      </c>
      <c r="AM13" s="4">
        <v>35</v>
      </c>
      <c r="AN13" s="4">
        <v>267</v>
      </c>
      <c r="AO13" s="4">
        <v>22</v>
      </c>
      <c r="AP13" s="4">
        <v>56</v>
      </c>
      <c r="AQ13" s="4">
        <v>0</v>
      </c>
      <c r="AR13" s="4">
        <v>0</v>
      </c>
      <c r="AS13" s="4">
        <v>501</v>
      </c>
      <c r="AT13" s="4">
        <v>19</v>
      </c>
      <c r="AU13" s="4">
        <v>192</v>
      </c>
      <c r="AV13" s="4">
        <v>106</v>
      </c>
      <c r="AW13" s="4">
        <v>159</v>
      </c>
      <c r="AX13" s="4">
        <v>24</v>
      </c>
      <c r="AY13" s="4">
        <v>1</v>
      </c>
      <c r="AZ13" s="4">
        <v>890</v>
      </c>
      <c r="BA13" s="4">
        <v>131</v>
      </c>
      <c r="BB13" s="4">
        <v>204</v>
      </c>
      <c r="BC13" s="4">
        <v>134</v>
      </c>
      <c r="BD13" s="4">
        <v>421</v>
      </c>
      <c r="BE13" s="4">
        <v>2178</v>
      </c>
      <c r="BF13" s="4">
        <v>298</v>
      </c>
      <c r="BG13" s="4">
        <v>529</v>
      </c>
      <c r="BH13" s="4">
        <v>358</v>
      </c>
      <c r="BI13" s="4">
        <v>993</v>
      </c>
      <c r="BJ13" s="4">
        <v>375</v>
      </c>
      <c r="BK13" s="4">
        <v>752</v>
      </c>
      <c r="BL13" s="4">
        <v>498</v>
      </c>
      <c r="BM13" s="4">
        <v>1800</v>
      </c>
      <c r="BN13" s="4">
        <v>229</v>
      </c>
      <c r="BO13" s="4">
        <v>646</v>
      </c>
      <c r="BP13" s="4">
        <v>323</v>
      </c>
      <c r="BQ13" s="4">
        <v>15</v>
      </c>
      <c r="BR13" s="4">
        <v>2178</v>
      </c>
      <c r="BS13" s="4">
        <v>606</v>
      </c>
      <c r="BT13" s="4">
        <v>1543</v>
      </c>
      <c r="BU13" s="4">
        <v>727</v>
      </c>
      <c r="BV13" s="4">
        <v>29</v>
      </c>
      <c r="BW13" s="4">
        <v>11781</v>
      </c>
      <c r="BX13" s="4">
        <v>5456</v>
      </c>
      <c r="BY13" s="4">
        <v>6139</v>
      </c>
      <c r="BZ13" s="4">
        <v>3997</v>
      </c>
      <c r="CA13" s="4">
        <v>186</v>
      </c>
      <c r="CB13" s="4">
        <v>677</v>
      </c>
      <c r="CC13" s="4">
        <v>7</v>
      </c>
      <c r="CD13" s="4">
        <v>161</v>
      </c>
      <c r="CE13" s="4">
        <v>14</v>
      </c>
      <c r="CF13" s="4">
        <v>30</v>
      </c>
      <c r="CG13" s="4">
        <v>164</v>
      </c>
      <c r="CH13" s="4">
        <v>415</v>
      </c>
      <c r="CI13" s="4">
        <v>332</v>
      </c>
      <c r="CJ13" s="4">
        <v>83</v>
      </c>
      <c r="CK13" s="4">
        <v>234</v>
      </c>
      <c r="CL13" s="4">
        <v>225</v>
      </c>
      <c r="CM13" s="4">
        <v>142</v>
      </c>
      <c r="CN13" s="4">
        <v>154</v>
      </c>
      <c r="CO13" s="4">
        <v>152</v>
      </c>
      <c r="CP13" s="4">
        <v>28</v>
      </c>
      <c r="CQ13" s="4">
        <v>0.2</v>
      </c>
      <c r="CR13" s="4">
        <v>20</v>
      </c>
      <c r="CS13" s="4">
        <v>5060</v>
      </c>
      <c r="CT13" s="4">
        <v>50.6</v>
      </c>
      <c r="CU13" s="4">
        <v>11.4</v>
      </c>
      <c r="CV13" s="4">
        <v>43.6</v>
      </c>
      <c r="CW13" s="4">
        <v>240</v>
      </c>
      <c r="CX13" s="4">
        <v>27</v>
      </c>
      <c r="CY13" s="4">
        <v>651</v>
      </c>
      <c r="CZ13" s="4">
        <v>73.099999999999994</v>
      </c>
      <c r="DA13" s="4">
        <v>14.7</v>
      </c>
      <c r="DB13" s="4">
        <v>469</v>
      </c>
      <c r="DC13" s="4">
        <v>52.7</v>
      </c>
      <c r="DD13" s="4">
        <v>2.4</v>
      </c>
      <c r="DE13" s="4">
        <v>567</v>
      </c>
      <c r="DF13" s="4">
        <v>40.4</v>
      </c>
      <c r="DG13" s="4">
        <v>25.7</v>
      </c>
      <c r="DH13" s="4">
        <v>36.299999999999997</v>
      </c>
      <c r="DI13" s="4">
        <v>50</v>
      </c>
      <c r="DJ13" s="4">
        <v>18.399999999999999</v>
      </c>
      <c r="DK13" s="43">
        <v>46.6</v>
      </c>
    </row>
    <row r="14" spans="1:115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791</v>
      </c>
      <c r="I14" s="4">
        <v>713</v>
      </c>
      <c r="J14" s="4">
        <v>3</v>
      </c>
      <c r="K14" s="4">
        <v>76</v>
      </c>
      <c r="L14" s="4">
        <v>234</v>
      </c>
      <c r="M14" s="4">
        <v>557</v>
      </c>
      <c r="N14" s="4">
        <v>29</v>
      </c>
      <c r="O14" s="4">
        <v>133</v>
      </c>
      <c r="P14" s="4">
        <v>212</v>
      </c>
      <c r="Q14" s="4">
        <v>165</v>
      </c>
      <c r="R14" s="4">
        <v>174</v>
      </c>
      <c r="S14" s="4">
        <v>2624</v>
      </c>
      <c r="T14" s="4">
        <v>220</v>
      </c>
      <c r="U14" s="4">
        <v>1112</v>
      </c>
      <c r="V14" s="4">
        <v>492</v>
      </c>
      <c r="W14" s="4">
        <v>1512</v>
      </c>
      <c r="X14" s="4">
        <v>23</v>
      </c>
      <c r="Y14" s="4">
        <v>103</v>
      </c>
      <c r="Z14" s="4">
        <v>211</v>
      </c>
      <c r="AA14" s="4">
        <v>211</v>
      </c>
      <c r="AB14" s="4">
        <v>84</v>
      </c>
      <c r="AC14" s="4">
        <v>68</v>
      </c>
      <c r="AD14" s="4">
        <v>13</v>
      </c>
      <c r="AE14" s="4">
        <v>713</v>
      </c>
      <c r="AF14" s="4">
        <v>84</v>
      </c>
      <c r="AG14" s="4">
        <v>132</v>
      </c>
      <c r="AH14" s="4">
        <v>61</v>
      </c>
      <c r="AI14" s="4">
        <v>417</v>
      </c>
      <c r="AJ14" s="4">
        <v>18</v>
      </c>
      <c r="AK14" s="4">
        <v>0</v>
      </c>
      <c r="AL14" s="4">
        <v>220</v>
      </c>
      <c r="AM14" s="4">
        <v>71</v>
      </c>
      <c r="AN14" s="4">
        <v>106</v>
      </c>
      <c r="AO14" s="4">
        <v>19</v>
      </c>
      <c r="AP14" s="4">
        <v>23</v>
      </c>
      <c r="AQ14" s="4">
        <v>0</v>
      </c>
      <c r="AR14" s="4">
        <v>0</v>
      </c>
      <c r="AS14" s="4">
        <v>492</v>
      </c>
      <c r="AT14" s="4">
        <v>13</v>
      </c>
      <c r="AU14" s="4">
        <v>26</v>
      </c>
      <c r="AV14" s="4">
        <v>42</v>
      </c>
      <c r="AW14" s="4">
        <v>394</v>
      </c>
      <c r="AX14" s="4">
        <v>18</v>
      </c>
      <c r="AY14" s="4">
        <v>0</v>
      </c>
      <c r="AZ14" s="4">
        <v>713</v>
      </c>
      <c r="BA14" s="4">
        <v>70</v>
      </c>
      <c r="BB14" s="4">
        <v>104</v>
      </c>
      <c r="BC14" s="4">
        <v>150</v>
      </c>
      <c r="BD14" s="4">
        <v>388</v>
      </c>
      <c r="BE14" s="4">
        <v>1973</v>
      </c>
      <c r="BF14" s="4">
        <v>172</v>
      </c>
      <c r="BG14" s="4">
        <v>318</v>
      </c>
      <c r="BH14" s="4">
        <v>439</v>
      </c>
      <c r="BI14" s="4">
        <v>1044</v>
      </c>
      <c r="BJ14" s="4">
        <v>241</v>
      </c>
      <c r="BK14" s="4">
        <v>420</v>
      </c>
      <c r="BL14" s="4">
        <v>498</v>
      </c>
      <c r="BM14" s="4">
        <v>1466</v>
      </c>
      <c r="BN14" s="4">
        <v>145</v>
      </c>
      <c r="BO14" s="4">
        <v>564</v>
      </c>
      <c r="BP14" s="4">
        <v>451</v>
      </c>
      <c r="BQ14" s="4">
        <v>3</v>
      </c>
      <c r="BR14" s="4">
        <v>1973</v>
      </c>
      <c r="BS14" s="4">
        <v>394</v>
      </c>
      <c r="BT14" s="4">
        <v>1562</v>
      </c>
      <c r="BU14" s="4">
        <v>1222</v>
      </c>
      <c r="BV14" s="4">
        <v>17</v>
      </c>
      <c r="BW14" s="4">
        <v>10209</v>
      </c>
      <c r="BX14" s="4">
        <v>3231</v>
      </c>
      <c r="BY14" s="4">
        <v>6921</v>
      </c>
      <c r="BZ14" s="4">
        <v>5998</v>
      </c>
      <c r="CA14" s="4">
        <v>58</v>
      </c>
      <c r="CB14" s="4">
        <v>568</v>
      </c>
      <c r="CC14" s="4">
        <v>8</v>
      </c>
      <c r="CD14" s="4">
        <v>116</v>
      </c>
      <c r="CE14" s="4">
        <v>7</v>
      </c>
      <c r="CF14" s="4">
        <v>14</v>
      </c>
      <c r="CG14" s="4">
        <v>85</v>
      </c>
      <c r="CH14" s="4">
        <v>322</v>
      </c>
      <c r="CI14" s="4">
        <v>283</v>
      </c>
      <c r="CJ14" s="4">
        <v>39</v>
      </c>
      <c r="CK14" s="4">
        <v>182</v>
      </c>
      <c r="CL14" s="4">
        <v>124</v>
      </c>
      <c r="CM14" s="4">
        <v>77</v>
      </c>
      <c r="CN14" s="4">
        <v>72</v>
      </c>
      <c r="CO14" s="4">
        <v>115</v>
      </c>
      <c r="CP14" s="4">
        <v>25</v>
      </c>
      <c r="CQ14" s="4">
        <v>0.3</v>
      </c>
      <c r="CR14" s="4">
        <v>30</v>
      </c>
      <c r="CS14" s="4">
        <v>2636.7</v>
      </c>
      <c r="CT14" s="4">
        <v>26.4</v>
      </c>
      <c r="CU14" s="4">
        <v>9.6</v>
      </c>
      <c r="CV14" s="4">
        <v>29.6</v>
      </c>
      <c r="CW14" s="4">
        <v>162</v>
      </c>
      <c r="CX14" s="4">
        <v>22.7</v>
      </c>
      <c r="CY14" s="4">
        <v>551</v>
      </c>
      <c r="CZ14" s="4">
        <v>77.3</v>
      </c>
      <c r="DA14" s="4">
        <v>9.8000000000000007</v>
      </c>
      <c r="DB14" s="4">
        <v>325</v>
      </c>
      <c r="DC14" s="4">
        <v>45.6</v>
      </c>
      <c r="DD14" s="4">
        <v>2.8</v>
      </c>
      <c r="DE14" s="4">
        <v>262</v>
      </c>
      <c r="DF14" s="4">
        <v>55.3</v>
      </c>
      <c r="DG14" s="4">
        <v>20.3</v>
      </c>
      <c r="DH14" s="4">
        <v>63.3</v>
      </c>
      <c r="DI14" s="4">
        <v>80</v>
      </c>
      <c r="DJ14" s="4">
        <v>11.9</v>
      </c>
      <c r="DK14" s="43">
        <v>45.2</v>
      </c>
    </row>
    <row r="15" spans="1:115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1103</v>
      </c>
      <c r="I15" s="4">
        <v>993</v>
      </c>
      <c r="J15" s="4">
        <v>12</v>
      </c>
      <c r="K15" s="4">
        <v>98</v>
      </c>
      <c r="L15" s="4">
        <v>392</v>
      </c>
      <c r="M15" s="4">
        <v>707</v>
      </c>
      <c r="N15" s="4">
        <v>16</v>
      </c>
      <c r="O15" s="4">
        <v>174</v>
      </c>
      <c r="P15" s="4">
        <v>283</v>
      </c>
      <c r="Q15" s="4">
        <v>228</v>
      </c>
      <c r="R15" s="4">
        <v>291</v>
      </c>
      <c r="S15" s="4">
        <v>3838</v>
      </c>
      <c r="T15" s="4">
        <v>353</v>
      </c>
      <c r="U15" s="4">
        <v>1780</v>
      </c>
      <c r="V15" s="4">
        <v>636</v>
      </c>
      <c r="W15" s="4">
        <v>2045</v>
      </c>
      <c r="X15" s="4">
        <v>4</v>
      </c>
      <c r="Y15" s="4">
        <v>100</v>
      </c>
      <c r="Z15" s="4">
        <v>320</v>
      </c>
      <c r="AA15" s="4">
        <v>245</v>
      </c>
      <c r="AB15" s="4">
        <v>182</v>
      </c>
      <c r="AC15" s="4">
        <v>100</v>
      </c>
      <c r="AD15" s="4">
        <v>42</v>
      </c>
      <c r="AE15" s="4">
        <v>989</v>
      </c>
      <c r="AF15" s="4">
        <v>115</v>
      </c>
      <c r="AG15" s="4">
        <v>273</v>
      </c>
      <c r="AH15" s="4">
        <v>128</v>
      </c>
      <c r="AI15" s="4">
        <v>376</v>
      </c>
      <c r="AJ15" s="4">
        <v>42</v>
      </c>
      <c r="AK15" s="4">
        <v>56</v>
      </c>
      <c r="AL15" s="4">
        <v>350</v>
      </c>
      <c r="AM15" s="4">
        <v>81</v>
      </c>
      <c r="AN15" s="4">
        <v>195</v>
      </c>
      <c r="AO15" s="4">
        <v>31</v>
      </c>
      <c r="AP15" s="4">
        <v>11</v>
      </c>
      <c r="AQ15" s="4">
        <v>16</v>
      </c>
      <c r="AR15" s="4">
        <v>16</v>
      </c>
      <c r="AS15" s="4">
        <v>636</v>
      </c>
      <c r="AT15" s="4">
        <v>34</v>
      </c>
      <c r="AU15" s="4">
        <v>75</v>
      </c>
      <c r="AV15" s="4">
        <v>96</v>
      </c>
      <c r="AW15" s="4">
        <v>365</v>
      </c>
      <c r="AX15" s="4">
        <v>26</v>
      </c>
      <c r="AY15" s="4">
        <v>40</v>
      </c>
      <c r="AZ15" s="4">
        <v>993</v>
      </c>
      <c r="BA15" s="4">
        <v>121</v>
      </c>
      <c r="BB15" s="4">
        <v>179</v>
      </c>
      <c r="BC15" s="4">
        <v>219</v>
      </c>
      <c r="BD15" s="4">
        <v>474</v>
      </c>
      <c r="BE15" s="4">
        <v>2533</v>
      </c>
      <c r="BF15" s="4">
        <v>316</v>
      </c>
      <c r="BG15" s="4">
        <v>468</v>
      </c>
      <c r="BH15" s="4">
        <v>699</v>
      </c>
      <c r="BI15" s="4">
        <v>1050</v>
      </c>
      <c r="BJ15" s="4">
        <v>419</v>
      </c>
      <c r="BK15" s="4">
        <v>646</v>
      </c>
      <c r="BL15" s="4">
        <v>785</v>
      </c>
      <c r="BM15" s="4">
        <v>1988</v>
      </c>
      <c r="BN15" s="4">
        <v>245</v>
      </c>
      <c r="BO15" s="4">
        <v>733</v>
      </c>
      <c r="BP15" s="4">
        <v>513</v>
      </c>
      <c r="BQ15" s="4">
        <v>15</v>
      </c>
      <c r="BR15" s="4">
        <v>2533</v>
      </c>
      <c r="BS15" s="4">
        <v>646</v>
      </c>
      <c r="BT15" s="4">
        <v>1839</v>
      </c>
      <c r="BU15" s="4">
        <v>1225</v>
      </c>
      <c r="BV15" s="4">
        <v>48</v>
      </c>
      <c r="BW15" s="4">
        <v>13856</v>
      </c>
      <c r="BX15" s="4">
        <v>4541</v>
      </c>
      <c r="BY15" s="4">
        <v>9083</v>
      </c>
      <c r="BZ15" s="4">
        <v>6964</v>
      </c>
      <c r="CA15" s="4">
        <v>232</v>
      </c>
      <c r="CB15" s="4">
        <v>746</v>
      </c>
      <c r="CC15" s="4">
        <v>35</v>
      </c>
      <c r="CD15" s="4">
        <v>171</v>
      </c>
      <c r="CE15" s="4">
        <v>15</v>
      </c>
      <c r="CF15" s="4">
        <v>25</v>
      </c>
      <c r="CG15" s="4">
        <v>158</v>
      </c>
      <c r="CH15" s="4">
        <v>501</v>
      </c>
      <c r="CI15" s="4">
        <v>399</v>
      </c>
      <c r="CJ15" s="4">
        <v>103</v>
      </c>
      <c r="CK15" s="4">
        <v>329</v>
      </c>
      <c r="CL15" s="4">
        <v>245</v>
      </c>
      <c r="CM15" s="4">
        <v>135</v>
      </c>
      <c r="CN15" s="4">
        <v>155</v>
      </c>
      <c r="CO15" s="4">
        <v>86</v>
      </c>
      <c r="CP15" s="4">
        <v>24</v>
      </c>
      <c r="CQ15" s="4">
        <v>0.5</v>
      </c>
      <c r="CR15" s="4">
        <v>50</v>
      </c>
      <c r="CS15" s="4">
        <v>2206</v>
      </c>
      <c r="CT15" s="4">
        <v>22.1</v>
      </c>
      <c r="CU15" s="4">
        <v>8.9</v>
      </c>
      <c r="CV15" s="4">
        <v>35.5</v>
      </c>
      <c r="CW15" s="4">
        <v>190</v>
      </c>
      <c r="CX15" s="4">
        <v>19.100000000000001</v>
      </c>
      <c r="CY15" s="4">
        <v>802</v>
      </c>
      <c r="CZ15" s="4">
        <v>80.8</v>
      </c>
      <c r="DA15" s="4">
        <v>12.2</v>
      </c>
      <c r="DB15" s="4">
        <v>519</v>
      </c>
      <c r="DC15" s="4">
        <v>52.3</v>
      </c>
      <c r="DD15" s="4">
        <v>2.6</v>
      </c>
      <c r="DE15" s="4">
        <v>480</v>
      </c>
      <c r="DF15" s="4">
        <v>51</v>
      </c>
      <c r="DG15" s="4">
        <v>24.7</v>
      </c>
      <c r="DH15" s="4">
        <v>51.7</v>
      </c>
      <c r="DI15" s="4">
        <v>70</v>
      </c>
      <c r="DJ15" s="4">
        <v>15.9</v>
      </c>
      <c r="DK15" s="43">
        <v>50.5</v>
      </c>
    </row>
    <row r="16" spans="1:115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860</v>
      </c>
      <c r="I16" s="4">
        <v>793</v>
      </c>
      <c r="J16" s="4">
        <v>11</v>
      </c>
      <c r="K16" s="4">
        <v>56</v>
      </c>
      <c r="L16" s="4">
        <v>618</v>
      </c>
      <c r="M16" s="4">
        <v>238</v>
      </c>
      <c r="N16" s="4">
        <v>56</v>
      </c>
      <c r="O16" s="4">
        <v>116</v>
      </c>
      <c r="P16" s="4">
        <v>85</v>
      </c>
      <c r="Q16" s="4">
        <v>110</v>
      </c>
      <c r="R16" s="4">
        <v>427</v>
      </c>
      <c r="S16" s="4">
        <v>3652</v>
      </c>
      <c r="T16" s="4">
        <v>577</v>
      </c>
      <c r="U16" s="4">
        <v>3130</v>
      </c>
      <c r="V16" s="4">
        <v>212</v>
      </c>
      <c r="W16" s="4">
        <v>518</v>
      </c>
      <c r="X16" s="4">
        <v>40</v>
      </c>
      <c r="Y16" s="4">
        <v>82</v>
      </c>
      <c r="Z16" s="4">
        <v>142</v>
      </c>
      <c r="AA16" s="4">
        <v>149</v>
      </c>
      <c r="AB16" s="4">
        <v>154</v>
      </c>
      <c r="AC16" s="4">
        <v>103</v>
      </c>
      <c r="AD16" s="4">
        <v>122</v>
      </c>
      <c r="AE16" s="4">
        <v>788</v>
      </c>
      <c r="AF16" s="4">
        <v>233</v>
      </c>
      <c r="AG16" s="4">
        <v>425</v>
      </c>
      <c r="AH16" s="4">
        <v>49</v>
      </c>
      <c r="AI16" s="4">
        <v>34</v>
      </c>
      <c r="AJ16" s="4">
        <v>34</v>
      </c>
      <c r="AK16" s="4">
        <v>13</v>
      </c>
      <c r="AL16" s="4">
        <v>573</v>
      </c>
      <c r="AM16" s="4">
        <v>163</v>
      </c>
      <c r="AN16" s="4">
        <v>331</v>
      </c>
      <c r="AO16" s="4">
        <v>38</v>
      </c>
      <c r="AP16" s="4">
        <v>23</v>
      </c>
      <c r="AQ16" s="4">
        <v>11</v>
      </c>
      <c r="AR16" s="4">
        <v>7</v>
      </c>
      <c r="AS16" s="4">
        <v>212</v>
      </c>
      <c r="AT16" s="4">
        <v>69</v>
      </c>
      <c r="AU16" s="4">
        <v>95</v>
      </c>
      <c r="AV16" s="4">
        <v>8</v>
      </c>
      <c r="AW16" s="4">
        <v>11</v>
      </c>
      <c r="AX16" s="4">
        <v>23</v>
      </c>
      <c r="AY16" s="4">
        <v>6</v>
      </c>
      <c r="AZ16" s="4">
        <v>793</v>
      </c>
      <c r="BA16" s="4">
        <v>139</v>
      </c>
      <c r="BB16" s="4">
        <v>135</v>
      </c>
      <c r="BC16" s="4">
        <v>83</v>
      </c>
      <c r="BD16" s="4">
        <v>435</v>
      </c>
      <c r="BE16" s="4">
        <v>1995</v>
      </c>
      <c r="BF16" s="4">
        <v>297</v>
      </c>
      <c r="BG16" s="4">
        <v>275</v>
      </c>
      <c r="BH16" s="4">
        <v>237</v>
      </c>
      <c r="BI16" s="4">
        <v>1186</v>
      </c>
      <c r="BJ16" s="4">
        <v>493</v>
      </c>
      <c r="BK16" s="4">
        <v>437</v>
      </c>
      <c r="BL16" s="4">
        <v>375</v>
      </c>
      <c r="BM16" s="4">
        <v>2346</v>
      </c>
      <c r="BN16" s="4">
        <v>430</v>
      </c>
      <c r="BO16" s="4">
        <v>352</v>
      </c>
      <c r="BP16" s="4">
        <v>49</v>
      </c>
      <c r="BQ16" s="4">
        <v>11</v>
      </c>
      <c r="BR16" s="4">
        <v>1995</v>
      </c>
      <c r="BS16" s="4">
        <v>1227</v>
      </c>
      <c r="BT16" s="4">
        <v>731</v>
      </c>
      <c r="BU16" s="4">
        <v>113</v>
      </c>
      <c r="BV16" s="4">
        <v>37</v>
      </c>
      <c r="BW16" s="4">
        <v>13367</v>
      </c>
      <c r="BX16" s="4">
        <v>10236</v>
      </c>
      <c r="BY16" s="4">
        <v>2904</v>
      </c>
      <c r="BZ16" s="4">
        <v>1109</v>
      </c>
      <c r="CA16" s="4">
        <v>227</v>
      </c>
      <c r="CB16" s="4">
        <v>471</v>
      </c>
      <c r="CC16" s="4">
        <v>26</v>
      </c>
      <c r="CD16" s="4">
        <v>265</v>
      </c>
      <c r="CE16" s="4">
        <v>0</v>
      </c>
      <c r="CF16" s="4">
        <v>30</v>
      </c>
      <c r="CG16" s="4">
        <v>117</v>
      </c>
      <c r="CH16" s="4">
        <v>465</v>
      </c>
      <c r="CI16" s="4">
        <v>356</v>
      </c>
      <c r="CJ16" s="4">
        <v>109</v>
      </c>
      <c r="CK16" s="4">
        <v>119</v>
      </c>
      <c r="CL16" s="4">
        <v>125</v>
      </c>
      <c r="CM16" s="4">
        <v>174</v>
      </c>
      <c r="CN16" s="4">
        <v>266</v>
      </c>
      <c r="CO16" s="4">
        <v>65</v>
      </c>
      <c r="CP16" s="4">
        <v>11</v>
      </c>
      <c r="CQ16" s="4">
        <v>0.2</v>
      </c>
      <c r="CR16" s="4">
        <v>20</v>
      </c>
      <c r="CS16" s="4">
        <v>4300</v>
      </c>
      <c r="CT16" s="4">
        <v>43</v>
      </c>
      <c r="CU16" s="4">
        <v>6.5</v>
      </c>
      <c r="CV16" s="4">
        <v>71.900000000000006</v>
      </c>
      <c r="CW16" s="4">
        <v>172</v>
      </c>
      <c r="CX16" s="4">
        <v>21.7</v>
      </c>
      <c r="CY16" s="4">
        <v>622</v>
      </c>
      <c r="CZ16" s="4">
        <v>78.400000000000006</v>
      </c>
      <c r="DA16" s="4">
        <v>17.5</v>
      </c>
      <c r="DB16" s="4">
        <v>358</v>
      </c>
      <c r="DC16" s="4">
        <v>45.1</v>
      </c>
      <c r="DD16" s="4">
        <v>2.5</v>
      </c>
      <c r="DE16" s="4">
        <v>744</v>
      </c>
      <c r="DF16" s="4">
        <v>57.8</v>
      </c>
      <c r="DG16" s="4">
        <v>54.2</v>
      </c>
      <c r="DH16" s="4">
        <v>6.2</v>
      </c>
      <c r="DI16" s="4">
        <v>13.9</v>
      </c>
      <c r="DJ16" s="4">
        <v>14.8</v>
      </c>
      <c r="DK16" s="43">
        <v>58.6</v>
      </c>
    </row>
    <row r="17" spans="1:115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1423</v>
      </c>
      <c r="I17" s="4">
        <v>1253</v>
      </c>
      <c r="J17" s="4">
        <v>24</v>
      </c>
      <c r="K17" s="4">
        <v>146</v>
      </c>
      <c r="L17" s="4">
        <v>451</v>
      </c>
      <c r="M17" s="4">
        <v>969</v>
      </c>
      <c r="N17" s="4">
        <v>153</v>
      </c>
      <c r="O17" s="4">
        <v>341</v>
      </c>
      <c r="P17" s="4">
        <v>224</v>
      </c>
      <c r="Q17" s="4">
        <v>181</v>
      </c>
      <c r="R17" s="4">
        <v>355</v>
      </c>
      <c r="S17" s="4">
        <v>4409</v>
      </c>
      <c r="T17" s="4">
        <v>404</v>
      </c>
      <c r="U17" s="4">
        <v>2267</v>
      </c>
      <c r="V17" s="4">
        <v>845</v>
      </c>
      <c r="W17" s="4">
        <v>2136</v>
      </c>
      <c r="X17" s="4">
        <v>66</v>
      </c>
      <c r="Y17" s="4">
        <v>284</v>
      </c>
      <c r="Z17" s="4">
        <v>267</v>
      </c>
      <c r="AA17" s="4">
        <v>224</v>
      </c>
      <c r="AB17" s="4">
        <v>199</v>
      </c>
      <c r="AC17" s="4">
        <v>69</v>
      </c>
      <c r="AD17" s="4">
        <v>144</v>
      </c>
      <c r="AE17" s="4">
        <v>1250</v>
      </c>
      <c r="AF17" s="4">
        <v>293</v>
      </c>
      <c r="AG17" s="4">
        <v>437</v>
      </c>
      <c r="AH17" s="4">
        <v>109</v>
      </c>
      <c r="AI17" s="4">
        <v>215</v>
      </c>
      <c r="AJ17" s="4">
        <v>62</v>
      </c>
      <c r="AK17" s="4">
        <v>134</v>
      </c>
      <c r="AL17" s="4">
        <v>400</v>
      </c>
      <c r="AM17" s="4">
        <v>110</v>
      </c>
      <c r="AN17" s="4">
        <v>198</v>
      </c>
      <c r="AO17" s="4">
        <v>26</v>
      </c>
      <c r="AP17" s="4">
        <v>33</v>
      </c>
      <c r="AQ17" s="4">
        <v>20</v>
      </c>
      <c r="AR17" s="4">
        <v>13</v>
      </c>
      <c r="AS17" s="4">
        <v>845</v>
      </c>
      <c r="AT17" s="4">
        <v>182</v>
      </c>
      <c r="AU17" s="4">
        <v>238</v>
      </c>
      <c r="AV17" s="4">
        <v>80</v>
      </c>
      <c r="AW17" s="4">
        <v>182</v>
      </c>
      <c r="AX17" s="4">
        <v>43</v>
      </c>
      <c r="AY17" s="4">
        <v>121</v>
      </c>
      <c r="AZ17" s="4">
        <v>1253</v>
      </c>
      <c r="BA17" s="4">
        <v>249</v>
      </c>
      <c r="BB17" s="4">
        <v>334</v>
      </c>
      <c r="BC17" s="4">
        <v>279</v>
      </c>
      <c r="BD17" s="4">
        <v>391</v>
      </c>
      <c r="BE17" s="4">
        <v>3019</v>
      </c>
      <c r="BF17" s="4">
        <v>512</v>
      </c>
      <c r="BG17" s="4">
        <v>766</v>
      </c>
      <c r="BH17" s="4">
        <v>790</v>
      </c>
      <c r="BI17" s="4">
        <v>951</v>
      </c>
      <c r="BJ17" s="4">
        <v>641</v>
      </c>
      <c r="BK17" s="4">
        <v>1064</v>
      </c>
      <c r="BL17" s="4">
        <v>960</v>
      </c>
      <c r="BM17" s="4">
        <v>1744</v>
      </c>
      <c r="BN17" s="4">
        <v>304</v>
      </c>
      <c r="BO17" s="4">
        <v>935</v>
      </c>
      <c r="BP17" s="4">
        <v>319</v>
      </c>
      <c r="BQ17" s="4">
        <v>15</v>
      </c>
      <c r="BR17" s="4">
        <v>3019</v>
      </c>
      <c r="BS17" s="4">
        <v>777</v>
      </c>
      <c r="BT17" s="4">
        <v>2194</v>
      </c>
      <c r="BU17" s="4">
        <v>935</v>
      </c>
      <c r="BV17" s="4">
        <v>48</v>
      </c>
      <c r="BW17" s="4">
        <v>11653</v>
      </c>
      <c r="BX17" s="4">
        <v>4837</v>
      </c>
      <c r="BY17" s="4">
        <v>6478</v>
      </c>
      <c r="BZ17" s="4">
        <v>2899</v>
      </c>
      <c r="CA17" s="4">
        <v>338</v>
      </c>
      <c r="CB17" s="4">
        <v>742</v>
      </c>
      <c r="CC17" s="4">
        <v>7</v>
      </c>
      <c r="CD17" s="4">
        <v>485</v>
      </c>
      <c r="CE17" s="4">
        <v>6</v>
      </c>
      <c r="CF17" s="4">
        <v>13</v>
      </c>
      <c r="CG17" s="4">
        <v>337</v>
      </c>
      <c r="CH17" s="4">
        <v>733</v>
      </c>
      <c r="CI17" s="4">
        <v>589</v>
      </c>
      <c r="CJ17" s="4">
        <v>144</v>
      </c>
      <c r="CK17" s="4">
        <v>455</v>
      </c>
      <c r="CL17" s="4">
        <v>277</v>
      </c>
      <c r="CM17" s="4">
        <v>108</v>
      </c>
      <c r="CN17" s="4">
        <v>179</v>
      </c>
      <c r="CO17" s="4">
        <v>209</v>
      </c>
      <c r="CP17" s="4">
        <v>42</v>
      </c>
      <c r="CQ17" s="4">
        <v>0.2</v>
      </c>
      <c r="CR17" s="4">
        <v>20</v>
      </c>
      <c r="CS17" s="4">
        <v>7115</v>
      </c>
      <c r="CT17" s="4">
        <v>71.2</v>
      </c>
      <c r="CU17" s="4">
        <v>10.3</v>
      </c>
      <c r="CV17" s="4">
        <v>31.7</v>
      </c>
      <c r="CW17" s="4">
        <v>494</v>
      </c>
      <c r="CX17" s="4">
        <v>39.4</v>
      </c>
      <c r="CY17" s="4">
        <v>760</v>
      </c>
      <c r="CZ17" s="4">
        <v>60.7</v>
      </c>
      <c r="DA17" s="4">
        <v>19.899999999999999</v>
      </c>
      <c r="DB17" s="4">
        <v>862</v>
      </c>
      <c r="DC17" s="4">
        <v>68.8</v>
      </c>
      <c r="DD17" s="4">
        <v>2.4</v>
      </c>
      <c r="DE17" s="4">
        <v>934</v>
      </c>
      <c r="DF17" s="4">
        <v>32.5</v>
      </c>
      <c r="DG17" s="4">
        <v>24.3</v>
      </c>
      <c r="DH17" s="4">
        <v>25.5</v>
      </c>
      <c r="DI17" s="4">
        <v>34.1</v>
      </c>
      <c r="DJ17" s="4">
        <v>26.9</v>
      </c>
      <c r="DK17" s="43">
        <v>58.5</v>
      </c>
    </row>
    <row r="18" spans="1:115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2175</v>
      </c>
      <c r="I18" s="4">
        <v>1937</v>
      </c>
      <c r="J18" s="4">
        <v>42</v>
      </c>
      <c r="K18" s="4">
        <v>196</v>
      </c>
      <c r="L18" s="4">
        <v>203</v>
      </c>
      <c r="M18" s="4">
        <v>1953</v>
      </c>
      <c r="N18" s="4">
        <v>455</v>
      </c>
      <c r="O18" s="4">
        <v>654</v>
      </c>
      <c r="P18" s="4">
        <v>431</v>
      </c>
      <c r="Q18" s="4">
        <v>213</v>
      </c>
      <c r="R18" s="4">
        <v>184</v>
      </c>
      <c r="S18" s="4">
        <v>4995</v>
      </c>
      <c r="T18" s="4">
        <v>186</v>
      </c>
      <c r="U18" s="4">
        <v>968</v>
      </c>
      <c r="V18" s="4">
        <v>1736</v>
      </c>
      <c r="W18" s="4">
        <v>3997</v>
      </c>
      <c r="X18" s="4">
        <v>320</v>
      </c>
      <c r="Y18" s="4">
        <v>552</v>
      </c>
      <c r="Z18" s="4">
        <v>383</v>
      </c>
      <c r="AA18" s="4">
        <v>418</v>
      </c>
      <c r="AB18" s="4">
        <v>168</v>
      </c>
      <c r="AC18" s="4">
        <v>35</v>
      </c>
      <c r="AD18" s="4">
        <v>61</v>
      </c>
      <c r="AE18" s="4">
        <v>1758</v>
      </c>
      <c r="AF18" s="4">
        <v>180</v>
      </c>
      <c r="AG18" s="4">
        <v>443</v>
      </c>
      <c r="AH18" s="4">
        <v>228</v>
      </c>
      <c r="AI18" s="4">
        <v>90</v>
      </c>
      <c r="AJ18" s="4">
        <v>268</v>
      </c>
      <c r="AK18" s="4">
        <v>549</v>
      </c>
      <c r="AL18" s="4">
        <v>184</v>
      </c>
      <c r="AM18" s="4">
        <v>39</v>
      </c>
      <c r="AN18" s="4">
        <v>106</v>
      </c>
      <c r="AO18" s="4">
        <v>24</v>
      </c>
      <c r="AP18" s="4">
        <v>5</v>
      </c>
      <c r="AQ18" s="4">
        <v>0</v>
      </c>
      <c r="AR18" s="4">
        <v>11</v>
      </c>
      <c r="AS18" s="4">
        <v>1558</v>
      </c>
      <c r="AT18" s="4">
        <v>138</v>
      </c>
      <c r="AU18" s="4">
        <v>336</v>
      </c>
      <c r="AV18" s="4">
        <v>204</v>
      </c>
      <c r="AW18" s="4">
        <v>85</v>
      </c>
      <c r="AX18" s="4">
        <v>259</v>
      </c>
      <c r="AY18" s="4">
        <v>537</v>
      </c>
      <c r="AZ18" s="4">
        <v>1937</v>
      </c>
      <c r="BA18" s="4">
        <v>421</v>
      </c>
      <c r="BB18" s="4">
        <v>858</v>
      </c>
      <c r="BC18" s="4">
        <v>373</v>
      </c>
      <c r="BD18" s="4">
        <v>285</v>
      </c>
      <c r="BE18" s="4">
        <v>3526</v>
      </c>
      <c r="BF18" s="4">
        <v>635</v>
      </c>
      <c r="BG18" s="4">
        <v>1382</v>
      </c>
      <c r="BH18" s="4">
        <v>864</v>
      </c>
      <c r="BI18" s="4">
        <v>644</v>
      </c>
      <c r="BJ18" s="4">
        <v>900</v>
      </c>
      <c r="BK18" s="4">
        <v>1950</v>
      </c>
      <c r="BL18" s="4">
        <v>1024</v>
      </c>
      <c r="BM18" s="4">
        <v>1121</v>
      </c>
      <c r="BN18" s="4">
        <v>217</v>
      </c>
      <c r="BO18" s="4">
        <v>1692</v>
      </c>
      <c r="BP18" s="4">
        <v>570</v>
      </c>
      <c r="BQ18" s="4">
        <v>28</v>
      </c>
      <c r="BR18" s="4">
        <v>3526</v>
      </c>
      <c r="BS18" s="4">
        <v>464</v>
      </c>
      <c r="BT18" s="4">
        <v>2986</v>
      </c>
      <c r="BU18" s="4">
        <v>1282</v>
      </c>
      <c r="BV18" s="4">
        <v>75</v>
      </c>
      <c r="BW18" s="4">
        <v>11417</v>
      </c>
      <c r="BX18" s="4">
        <v>3310</v>
      </c>
      <c r="BY18" s="4">
        <v>7856</v>
      </c>
      <c r="BZ18" s="4">
        <v>3297</v>
      </c>
      <c r="CA18" s="4">
        <v>250</v>
      </c>
      <c r="CB18" s="4">
        <v>778</v>
      </c>
      <c r="CC18" s="4">
        <v>15</v>
      </c>
      <c r="CD18" s="4">
        <v>1094</v>
      </c>
      <c r="CE18" s="4">
        <v>4</v>
      </c>
      <c r="CF18" s="4">
        <v>46</v>
      </c>
      <c r="CG18" s="4">
        <v>654</v>
      </c>
      <c r="CH18" s="4">
        <v>871</v>
      </c>
      <c r="CI18" s="4">
        <v>741</v>
      </c>
      <c r="CJ18" s="4">
        <v>130</v>
      </c>
      <c r="CK18" s="4">
        <v>730</v>
      </c>
      <c r="CL18" s="4">
        <v>376</v>
      </c>
      <c r="CM18" s="4">
        <v>85</v>
      </c>
      <c r="CN18" s="4">
        <v>122</v>
      </c>
      <c r="CO18" s="4">
        <v>544</v>
      </c>
      <c r="CP18" s="4">
        <v>57</v>
      </c>
      <c r="CQ18" s="4">
        <v>0.5</v>
      </c>
      <c r="CR18" s="4">
        <v>50</v>
      </c>
      <c r="CS18" s="4">
        <v>4350</v>
      </c>
      <c r="CT18" s="4">
        <v>43.5</v>
      </c>
      <c r="CU18" s="4">
        <v>9</v>
      </c>
      <c r="CV18" s="4">
        <v>9.3000000000000007</v>
      </c>
      <c r="CW18" s="4">
        <v>1109</v>
      </c>
      <c r="CX18" s="4">
        <v>57.3</v>
      </c>
      <c r="CY18" s="4">
        <v>828</v>
      </c>
      <c r="CZ18" s="4">
        <v>42.7</v>
      </c>
      <c r="DA18" s="4">
        <v>21.7</v>
      </c>
      <c r="DB18" s="4">
        <v>1652</v>
      </c>
      <c r="DC18" s="4">
        <v>85.3</v>
      </c>
      <c r="DD18" s="4">
        <v>1.8</v>
      </c>
      <c r="DE18" s="4">
        <v>1367</v>
      </c>
      <c r="DF18" s="4">
        <v>15.9</v>
      </c>
      <c r="DG18" s="4">
        <v>11.2</v>
      </c>
      <c r="DH18" s="4">
        <v>29.4</v>
      </c>
      <c r="DI18" s="4">
        <v>33.700000000000003</v>
      </c>
      <c r="DJ18" s="4">
        <v>33.799999999999997</v>
      </c>
      <c r="DK18" s="43">
        <v>45</v>
      </c>
    </row>
    <row r="19" spans="1:115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1714</v>
      </c>
      <c r="I19" s="4">
        <v>1419</v>
      </c>
      <c r="J19" s="4">
        <v>43</v>
      </c>
      <c r="K19" s="4">
        <v>252</v>
      </c>
      <c r="L19" s="4">
        <v>109</v>
      </c>
      <c r="M19" s="4">
        <v>1541</v>
      </c>
      <c r="N19" s="4">
        <v>192</v>
      </c>
      <c r="O19" s="4">
        <v>519</v>
      </c>
      <c r="P19" s="4">
        <v>432</v>
      </c>
      <c r="Q19" s="4">
        <v>174</v>
      </c>
      <c r="R19" s="4">
        <v>102</v>
      </c>
      <c r="S19" s="4">
        <v>3876</v>
      </c>
      <c r="T19" s="4">
        <v>87</v>
      </c>
      <c r="U19" s="4">
        <v>483</v>
      </c>
      <c r="V19" s="4">
        <v>1269</v>
      </c>
      <c r="W19" s="4">
        <v>3318</v>
      </c>
      <c r="X19" s="4">
        <v>184</v>
      </c>
      <c r="Y19" s="4">
        <v>291</v>
      </c>
      <c r="Z19" s="4">
        <v>427</v>
      </c>
      <c r="AA19" s="4">
        <v>338</v>
      </c>
      <c r="AB19" s="4">
        <v>104</v>
      </c>
      <c r="AC19" s="4">
        <v>47</v>
      </c>
      <c r="AD19" s="4">
        <v>28</v>
      </c>
      <c r="AE19" s="4">
        <v>1416</v>
      </c>
      <c r="AF19" s="4">
        <v>155</v>
      </c>
      <c r="AG19" s="4">
        <v>291</v>
      </c>
      <c r="AH19" s="4">
        <v>271</v>
      </c>
      <c r="AI19" s="4">
        <v>365</v>
      </c>
      <c r="AJ19" s="4">
        <v>171</v>
      </c>
      <c r="AK19" s="4">
        <v>164</v>
      </c>
      <c r="AL19" s="4">
        <v>87</v>
      </c>
      <c r="AM19" s="4">
        <v>23</v>
      </c>
      <c r="AN19" s="4">
        <v>43</v>
      </c>
      <c r="AO19" s="4">
        <v>10</v>
      </c>
      <c r="AP19" s="4">
        <v>6</v>
      </c>
      <c r="AQ19" s="4">
        <v>3</v>
      </c>
      <c r="AR19" s="4">
        <v>1</v>
      </c>
      <c r="AS19" s="4">
        <v>1266</v>
      </c>
      <c r="AT19" s="4">
        <v>132</v>
      </c>
      <c r="AU19" s="4">
        <v>247</v>
      </c>
      <c r="AV19" s="4">
        <v>260</v>
      </c>
      <c r="AW19" s="4">
        <v>359</v>
      </c>
      <c r="AX19" s="4">
        <v>168</v>
      </c>
      <c r="AY19" s="4">
        <v>100</v>
      </c>
      <c r="AZ19" s="4">
        <v>1419</v>
      </c>
      <c r="BA19" s="4">
        <v>237</v>
      </c>
      <c r="BB19" s="4">
        <v>397</v>
      </c>
      <c r="BC19" s="4">
        <v>269</v>
      </c>
      <c r="BD19" s="4">
        <v>516</v>
      </c>
      <c r="BE19" s="4">
        <v>2785</v>
      </c>
      <c r="BF19" s="4">
        <v>356</v>
      </c>
      <c r="BG19" s="4">
        <v>810</v>
      </c>
      <c r="BH19" s="4">
        <v>628</v>
      </c>
      <c r="BI19" s="4">
        <v>991</v>
      </c>
      <c r="BJ19" s="4">
        <v>595</v>
      </c>
      <c r="BK19" s="4">
        <v>992</v>
      </c>
      <c r="BL19" s="4">
        <v>753</v>
      </c>
      <c r="BM19" s="4">
        <v>1536</v>
      </c>
      <c r="BN19" s="4">
        <v>183</v>
      </c>
      <c r="BO19" s="4">
        <v>1230</v>
      </c>
      <c r="BP19" s="4">
        <v>699</v>
      </c>
      <c r="BQ19" s="4">
        <v>6</v>
      </c>
      <c r="BR19" s="4">
        <v>2785</v>
      </c>
      <c r="BS19" s="4">
        <v>413</v>
      </c>
      <c r="BT19" s="4">
        <v>2356</v>
      </c>
      <c r="BU19" s="4">
        <v>1394</v>
      </c>
      <c r="BV19" s="4">
        <v>16</v>
      </c>
      <c r="BW19" s="4">
        <v>13131</v>
      </c>
      <c r="BX19" s="4">
        <v>2488</v>
      </c>
      <c r="BY19" s="4">
        <v>10510</v>
      </c>
      <c r="BZ19" s="4">
        <v>7559</v>
      </c>
      <c r="CA19" s="4">
        <v>132</v>
      </c>
      <c r="CB19" s="4">
        <v>819</v>
      </c>
      <c r="CC19" s="4">
        <v>26</v>
      </c>
      <c r="CD19" s="4">
        <v>559</v>
      </c>
      <c r="CE19" s="4">
        <v>1</v>
      </c>
      <c r="CF19" s="4">
        <v>14</v>
      </c>
      <c r="CG19" s="4">
        <v>241</v>
      </c>
      <c r="CH19" s="4">
        <v>709</v>
      </c>
      <c r="CI19" s="4">
        <v>573</v>
      </c>
      <c r="CJ19" s="4">
        <v>136</v>
      </c>
      <c r="CK19" s="4">
        <v>710</v>
      </c>
      <c r="CL19" s="4">
        <v>292</v>
      </c>
      <c r="CM19" s="4">
        <v>50</v>
      </c>
      <c r="CN19" s="4">
        <v>52</v>
      </c>
      <c r="CO19" s="4">
        <v>360</v>
      </c>
      <c r="CP19" s="4">
        <v>43</v>
      </c>
      <c r="CQ19" s="4">
        <v>0.3</v>
      </c>
      <c r="CR19" s="4">
        <v>30</v>
      </c>
      <c r="CS19" s="4">
        <v>5713.3</v>
      </c>
      <c r="CT19" s="4">
        <v>57.1</v>
      </c>
      <c r="CU19" s="4">
        <v>14.7</v>
      </c>
      <c r="CV19" s="4">
        <v>6.4</v>
      </c>
      <c r="CW19" s="4">
        <v>711</v>
      </c>
      <c r="CX19" s="4">
        <v>50.1</v>
      </c>
      <c r="CY19" s="4">
        <v>708</v>
      </c>
      <c r="CZ19" s="4">
        <v>49.9</v>
      </c>
      <c r="DA19" s="4">
        <v>16.7</v>
      </c>
      <c r="DB19" s="4">
        <v>903</v>
      </c>
      <c r="DC19" s="4">
        <v>63.6</v>
      </c>
      <c r="DD19" s="4">
        <v>2</v>
      </c>
      <c r="DE19" s="4">
        <v>720</v>
      </c>
      <c r="DF19" s="4">
        <v>25.4</v>
      </c>
      <c r="DG19" s="4">
        <v>12.9</v>
      </c>
      <c r="DH19" s="4">
        <v>49.3</v>
      </c>
      <c r="DI19" s="4">
        <v>56.8</v>
      </c>
      <c r="DJ19" s="4">
        <v>17</v>
      </c>
      <c r="DK19" s="43">
        <v>50</v>
      </c>
    </row>
    <row r="20" spans="1:115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1846</v>
      </c>
      <c r="I20" s="4">
        <v>1718</v>
      </c>
      <c r="J20" s="4">
        <v>6</v>
      </c>
      <c r="K20" s="4">
        <v>123</v>
      </c>
      <c r="L20" s="4">
        <v>36</v>
      </c>
      <c r="M20" s="4">
        <v>1787</v>
      </c>
      <c r="N20" s="4">
        <v>244</v>
      </c>
      <c r="O20" s="4">
        <v>416</v>
      </c>
      <c r="P20" s="4">
        <v>563</v>
      </c>
      <c r="Q20" s="4">
        <v>320</v>
      </c>
      <c r="R20" s="4">
        <v>174</v>
      </c>
      <c r="S20" s="4">
        <v>4977</v>
      </c>
      <c r="T20" s="4">
        <v>32</v>
      </c>
      <c r="U20" s="4">
        <v>165</v>
      </c>
      <c r="V20" s="4">
        <v>1662</v>
      </c>
      <c r="W20" s="4">
        <v>4783</v>
      </c>
      <c r="X20" s="4">
        <v>156</v>
      </c>
      <c r="Y20" s="4">
        <v>238</v>
      </c>
      <c r="Z20" s="4">
        <v>517</v>
      </c>
      <c r="AA20" s="4">
        <v>497</v>
      </c>
      <c r="AB20" s="4">
        <v>211</v>
      </c>
      <c r="AC20" s="4">
        <v>85</v>
      </c>
      <c r="AD20" s="4">
        <v>12</v>
      </c>
      <c r="AE20" s="4">
        <v>1705</v>
      </c>
      <c r="AF20" s="4">
        <v>8</v>
      </c>
      <c r="AG20" s="4">
        <v>112</v>
      </c>
      <c r="AH20" s="4">
        <v>503</v>
      </c>
      <c r="AI20" s="4">
        <v>739</v>
      </c>
      <c r="AJ20" s="4">
        <v>46</v>
      </c>
      <c r="AK20" s="4">
        <v>297</v>
      </c>
      <c r="AL20" s="4">
        <v>32</v>
      </c>
      <c r="AM20" s="4">
        <v>0</v>
      </c>
      <c r="AN20" s="4">
        <v>7</v>
      </c>
      <c r="AO20" s="4">
        <v>3</v>
      </c>
      <c r="AP20" s="4">
        <v>7</v>
      </c>
      <c r="AQ20" s="4">
        <v>0</v>
      </c>
      <c r="AR20" s="4">
        <v>15</v>
      </c>
      <c r="AS20" s="4">
        <v>1650</v>
      </c>
      <c r="AT20" s="4">
        <v>8</v>
      </c>
      <c r="AU20" s="4">
        <v>105</v>
      </c>
      <c r="AV20" s="4">
        <v>499</v>
      </c>
      <c r="AW20" s="4">
        <v>730</v>
      </c>
      <c r="AX20" s="4">
        <v>46</v>
      </c>
      <c r="AY20" s="4">
        <v>261</v>
      </c>
      <c r="AZ20" s="4">
        <v>1718</v>
      </c>
      <c r="BA20" s="4">
        <v>347</v>
      </c>
      <c r="BB20" s="4">
        <v>505</v>
      </c>
      <c r="BC20" s="4">
        <v>345</v>
      </c>
      <c r="BD20" s="4">
        <v>521</v>
      </c>
      <c r="BE20" s="4">
        <v>3649</v>
      </c>
      <c r="BF20" s="4">
        <v>642</v>
      </c>
      <c r="BG20" s="4">
        <v>1079</v>
      </c>
      <c r="BH20" s="4">
        <v>903</v>
      </c>
      <c r="BI20" s="4">
        <v>1025</v>
      </c>
      <c r="BJ20" s="4">
        <v>892</v>
      </c>
      <c r="BK20" s="4">
        <v>1356</v>
      </c>
      <c r="BL20" s="4">
        <v>1022</v>
      </c>
      <c r="BM20" s="4">
        <v>1707</v>
      </c>
      <c r="BN20" s="4">
        <v>174</v>
      </c>
      <c r="BO20" s="4">
        <v>1483</v>
      </c>
      <c r="BP20" s="4">
        <v>1100</v>
      </c>
      <c r="BQ20" s="4">
        <v>60</v>
      </c>
      <c r="BR20" s="4">
        <v>3649</v>
      </c>
      <c r="BS20" s="4">
        <v>302</v>
      </c>
      <c r="BT20" s="4">
        <v>3281</v>
      </c>
      <c r="BU20" s="4">
        <v>2658</v>
      </c>
      <c r="BV20" s="4">
        <v>66</v>
      </c>
      <c r="BW20" s="4">
        <v>14643</v>
      </c>
      <c r="BX20" s="4">
        <v>2171</v>
      </c>
      <c r="BY20" s="4">
        <v>12279</v>
      </c>
      <c r="BZ20" s="4">
        <v>10868</v>
      </c>
      <c r="CA20" s="4">
        <v>193</v>
      </c>
      <c r="CB20" s="4">
        <v>1415</v>
      </c>
      <c r="CC20" s="4">
        <v>48</v>
      </c>
      <c r="CD20" s="4">
        <v>250</v>
      </c>
      <c r="CE20" s="4">
        <v>2</v>
      </c>
      <c r="CF20" s="4">
        <v>3</v>
      </c>
      <c r="CG20" s="4">
        <v>311</v>
      </c>
      <c r="CH20" s="4">
        <v>924</v>
      </c>
      <c r="CI20" s="4">
        <v>747</v>
      </c>
      <c r="CJ20" s="4">
        <v>177</v>
      </c>
      <c r="CK20" s="4">
        <v>601</v>
      </c>
      <c r="CL20" s="4">
        <v>363</v>
      </c>
      <c r="CM20" s="4">
        <v>117</v>
      </c>
      <c r="CN20" s="4">
        <v>56</v>
      </c>
      <c r="CO20" s="4">
        <v>231</v>
      </c>
      <c r="CP20" s="4">
        <v>49</v>
      </c>
      <c r="CQ20" s="4">
        <v>0.3</v>
      </c>
      <c r="CR20" s="4">
        <v>30</v>
      </c>
      <c r="CS20" s="4">
        <v>6153.3</v>
      </c>
      <c r="CT20" s="4">
        <v>61.5</v>
      </c>
      <c r="CU20" s="4">
        <v>6.7</v>
      </c>
      <c r="CV20" s="4">
        <v>2</v>
      </c>
      <c r="CW20" s="4">
        <v>660</v>
      </c>
      <c r="CX20" s="4">
        <v>38.4</v>
      </c>
      <c r="CY20" s="4">
        <v>1057</v>
      </c>
      <c r="CZ20" s="4">
        <v>61.5</v>
      </c>
      <c r="DA20" s="4">
        <v>20.2</v>
      </c>
      <c r="DB20" s="4">
        <v>1197</v>
      </c>
      <c r="DC20" s="4">
        <v>69.7</v>
      </c>
      <c r="DD20" s="4">
        <v>2.1</v>
      </c>
      <c r="DE20" s="4">
        <v>618</v>
      </c>
      <c r="DF20" s="4">
        <v>28.2</v>
      </c>
      <c r="DG20" s="4">
        <v>10.1</v>
      </c>
      <c r="DH20" s="4">
        <v>64</v>
      </c>
      <c r="DI20" s="4">
        <v>74.2</v>
      </c>
      <c r="DJ20" s="4">
        <v>18.100000000000001</v>
      </c>
      <c r="DK20" s="43">
        <v>53.8</v>
      </c>
    </row>
    <row r="21" spans="1:115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2187</v>
      </c>
      <c r="I21" s="4">
        <v>1954</v>
      </c>
      <c r="J21" s="4">
        <v>14</v>
      </c>
      <c r="K21" s="4">
        <v>220</v>
      </c>
      <c r="L21" s="4">
        <v>503</v>
      </c>
      <c r="M21" s="4">
        <v>1666</v>
      </c>
      <c r="N21" s="4">
        <v>109</v>
      </c>
      <c r="O21" s="4">
        <v>371</v>
      </c>
      <c r="P21" s="4">
        <v>399</v>
      </c>
      <c r="Q21" s="4">
        <v>465</v>
      </c>
      <c r="R21" s="4">
        <v>610</v>
      </c>
      <c r="S21" s="4">
        <v>8012</v>
      </c>
      <c r="T21" s="4">
        <v>464</v>
      </c>
      <c r="U21" s="4">
        <v>3121</v>
      </c>
      <c r="V21" s="4">
        <v>1475</v>
      </c>
      <c r="W21" s="4">
        <v>4869</v>
      </c>
      <c r="X21" s="4">
        <v>142</v>
      </c>
      <c r="Y21" s="4">
        <v>115</v>
      </c>
      <c r="Z21" s="4">
        <v>310</v>
      </c>
      <c r="AA21" s="4">
        <v>428</v>
      </c>
      <c r="AB21" s="4">
        <v>415</v>
      </c>
      <c r="AC21" s="4">
        <v>186</v>
      </c>
      <c r="AD21" s="4">
        <v>358</v>
      </c>
      <c r="AE21" s="4">
        <v>1942</v>
      </c>
      <c r="AF21" s="4">
        <v>237</v>
      </c>
      <c r="AG21" s="4">
        <v>358</v>
      </c>
      <c r="AH21" s="4">
        <v>738</v>
      </c>
      <c r="AI21" s="4">
        <v>439</v>
      </c>
      <c r="AJ21" s="4">
        <v>55</v>
      </c>
      <c r="AK21" s="4">
        <v>115</v>
      </c>
      <c r="AL21" s="4">
        <v>464</v>
      </c>
      <c r="AM21" s="4">
        <v>156</v>
      </c>
      <c r="AN21" s="4">
        <v>176</v>
      </c>
      <c r="AO21" s="4">
        <v>61</v>
      </c>
      <c r="AP21" s="4">
        <v>35</v>
      </c>
      <c r="AQ21" s="4">
        <v>10</v>
      </c>
      <c r="AR21" s="4">
        <v>26</v>
      </c>
      <c r="AS21" s="4">
        <v>1463</v>
      </c>
      <c r="AT21" s="4">
        <v>76</v>
      </c>
      <c r="AU21" s="4">
        <v>182</v>
      </c>
      <c r="AV21" s="4">
        <v>674</v>
      </c>
      <c r="AW21" s="4">
        <v>401</v>
      </c>
      <c r="AX21" s="4">
        <v>45</v>
      </c>
      <c r="AY21" s="4">
        <v>86</v>
      </c>
      <c r="AZ21" s="4">
        <v>1954</v>
      </c>
      <c r="BA21" s="4">
        <v>352</v>
      </c>
      <c r="BB21" s="4">
        <v>486</v>
      </c>
      <c r="BC21" s="4">
        <v>344</v>
      </c>
      <c r="BD21" s="4">
        <v>773</v>
      </c>
      <c r="BE21" s="4">
        <v>3562</v>
      </c>
      <c r="BF21" s="4">
        <v>581</v>
      </c>
      <c r="BG21" s="4">
        <v>888</v>
      </c>
      <c r="BH21" s="4">
        <v>675</v>
      </c>
      <c r="BI21" s="4">
        <v>1419</v>
      </c>
      <c r="BJ21" s="4">
        <v>1128</v>
      </c>
      <c r="BK21" s="4">
        <v>1733</v>
      </c>
      <c r="BL21" s="4">
        <v>1426</v>
      </c>
      <c r="BM21" s="4">
        <v>3726</v>
      </c>
      <c r="BN21" s="4">
        <v>1180</v>
      </c>
      <c r="BO21" s="4">
        <v>721</v>
      </c>
      <c r="BP21" s="4">
        <v>29</v>
      </c>
      <c r="BQ21" s="4">
        <v>54</v>
      </c>
      <c r="BR21" s="4">
        <v>3562</v>
      </c>
      <c r="BS21" s="4">
        <v>2275</v>
      </c>
      <c r="BT21" s="4">
        <v>1189</v>
      </c>
      <c r="BU21" s="4">
        <v>66</v>
      </c>
      <c r="BV21" s="4">
        <v>99</v>
      </c>
      <c r="BW21" s="4">
        <v>21403</v>
      </c>
      <c r="BX21" s="4">
        <v>17509</v>
      </c>
      <c r="BY21" s="4">
        <v>3337</v>
      </c>
      <c r="BZ21" s="4">
        <v>350</v>
      </c>
      <c r="CA21" s="4">
        <v>556</v>
      </c>
      <c r="CB21" s="4">
        <v>1350</v>
      </c>
      <c r="CC21" s="4">
        <v>55</v>
      </c>
      <c r="CD21" s="4">
        <v>484</v>
      </c>
      <c r="CE21" s="4">
        <v>6</v>
      </c>
      <c r="CF21" s="4">
        <v>58</v>
      </c>
      <c r="CG21" s="4">
        <v>1266</v>
      </c>
      <c r="CH21" s="4">
        <v>1447</v>
      </c>
      <c r="CI21" s="4">
        <v>1078</v>
      </c>
      <c r="CJ21" s="4">
        <v>369</v>
      </c>
      <c r="CK21" s="4">
        <v>442</v>
      </c>
      <c r="CL21" s="4">
        <v>424</v>
      </c>
      <c r="CM21" s="4">
        <v>445</v>
      </c>
      <c r="CN21" s="4">
        <v>497</v>
      </c>
      <c r="CO21" s="4">
        <v>126</v>
      </c>
      <c r="CP21" s="4">
        <v>0</v>
      </c>
      <c r="CQ21" s="4">
        <v>0.9</v>
      </c>
      <c r="CR21" s="4">
        <v>90</v>
      </c>
      <c r="CS21" s="4">
        <v>2430</v>
      </c>
      <c r="CT21" s="4">
        <v>24.3</v>
      </c>
      <c r="CU21" s="4">
        <v>10.1</v>
      </c>
      <c r="CV21" s="4">
        <v>23</v>
      </c>
      <c r="CW21" s="4">
        <v>480</v>
      </c>
      <c r="CX21" s="4">
        <v>24.6</v>
      </c>
      <c r="CY21" s="4">
        <v>1474</v>
      </c>
      <c r="CZ21" s="4">
        <v>75.400000000000006</v>
      </c>
      <c r="DA21" s="4">
        <v>18</v>
      </c>
      <c r="DB21" s="4">
        <v>1181</v>
      </c>
      <c r="DC21" s="4">
        <v>60.4</v>
      </c>
      <c r="DD21" s="4">
        <v>1.8</v>
      </c>
      <c r="DE21" s="4">
        <v>1925</v>
      </c>
      <c r="DF21" s="4">
        <v>61.3</v>
      </c>
      <c r="DG21" s="4">
        <v>60.4</v>
      </c>
      <c r="DH21" s="4">
        <v>1.5</v>
      </c>
      <c r="DI21" s="4">
        <v>4</v>
      </c>
      <c r="DJ21" s="4">
        <v>64.8</v>
      </c>
      <c r="DK21" s="43">
        <v>74.099999999999994</v>
      </c>
    </row>
    <row r="22" spans="1:115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1288</v>
      </c>
      <c r="I22" s="4">
        <v>1196</v>
      </c>
      <c r="J22" s="4">
        <v>0</v>
      </c>
      <c r="K22" s="4">
        <v>92</v>
      </c>
      <c r="L22" s="4">
        <v>416</v>
      </c>
      <c r="M22" s="4">
        <v>853</v>
      </c>
      <c r="N22" s="4">
        <v>87</v>
      </c>
      <c r="O22" s="4">
        <v>181</v>
      </c>
      <c r="P22" s="4">
        <v>294</v>
      </c>
      <c r="Q22" s="4">
        <v>183</v>
      </c>
      <c r="R22" s="4">
        <v>450</v>
      </c>
      <c r="S22" s="4">
        <v>4777</v>
      </c>
      <c r="T22" s="4">
        <v>405</v>
      </c>
      <c r="U22" s="4">
        <v>2347</v>
      </c>
      <c r="V22" s="4">
        <v>788</v>
      </c>
      <c r="W22" s="4">
        <v>2427</v>
      </c>
      <c r="X22" s="4">
        <v>44</v>
      </c>
      <c r="Y22" s="4">
        <v>107</v>
      </c>
      <c r="Z22" s="4">
        <v>229</v>
      </c>
      <c r="AA22" s="4">
        <v>222</v>
      </c>
      <c r="AB22" s="4">
        <v>205</v>
      </c>
      <c r="AC22" s="4">
        <v>186</v>
      </c>
      <c r="AD22" s="4">
        <v>204</v>
      </c>
      <c r="AE22" s="4">
        <v>1182</v>
      </c>
      <c r="AF22" s="4">
        <v>46</v>
      </c>
      <c r="AG22" s="4">
        <v>155</v>
      </c>
      <c r="AH22" s="4">
        <v>308</v>
      </c>
      <c r="AI22" s="4">
        <v>475</v>
      </c>
      <c r="AJ22" s="4">
        <v>103</v>
      </c>
      <c r="AK22" s="4">
        <v>96</v>
      </c>
      <c r="AL22" s="4">
        <v>405</v>
      </c>
      <c r="AM22" s="4">
        <v>29</v>
      </c>
      <c r="AN22" s="4">
        <v>98</v>
      </c>
      <c r="AO22" s="4">
        <v>92</v>
      </c>
      <c r="AP22" s="4">
        <v>156</v>
      </c>
      <c r="AQ22" s="4">
        <v>27</v>
      </c>
      <c r="AR22" s="4">
        <v>4</v>
      </c>
      <c r="AS22" s="4">
        <v>774</v>
      </c>
      <c r="AT22" s="4">
        <v>17</v>
      </c>
      <c r="AU22" s="4">
        <v>57</v>
      </c>
      <c r="AV22" s="4">
        <v>216</v>
      </c>
      <c r="AW22" s="4">
        <v>316</v>
      </c>
      <c r="AX22" s="4">
        <v>75</v>
      </c>
      <c r="AY22" s="4">
        <v>92</v>
      </c>
      <c r="AZ22" s="4">
        <v>1196</v>
      </c>
      <c r="BA22" s="4">
        <v>105</v>
      </c>
      <c r="BB22" s="4">
        <v>344</v>
      </c>
      <c r="BC22" s="4">
        <v>206</v>
      </c>
      <c r="BD22" s="4">
        <v>540</v>
      </c>
      <c r="BE22" s="4">
        <v>2183</v>
      </c>
      <c r="BF22" s="4">
        <v>182</v>
      </c>
      <c r="BG22" s="4">
        <v>646</v>
      </c>
      <c r="BH22" s="4">
        <v>374</v>
      </c>
      <c r="BI22" s="4">
        <v>980</v>
      </c>
      <c r="BJ22" s="4">
        <v>325</v>
      </c>
      <c r="BK22" s="4">
        <v>1204</v>
      </c>
      <c r="BL22" s="4">
        <v>753</v>
      </c>
      <c r="BM22" s="4">
        <v>2495</v>
      </c>
      <c r="BN22" s="4">
        <v>701</v>
      </c>
      <c r="BO22" s="4">
        <v>467</v>
      </c>
      <c r="BP22" s="4">
        <v>81</v>
      </c>
      <c r="BQ22" s="4">
        <v>28</v>
      </c>
      <c r="BR22" s="4">
        <v>2183</v>
      </c>
      <c r="BS22" s="4">
        <v>1402</v>
      </c>
      <c r="BT22" s="4">
        <v>732</v>
      </c>
      <c r="BU22" s="4">
        <v>192</v>
      </c>
      <c r="BV22" s="4">
        <v>49</v>
      </c>
      <c r="BW22" s="4">
        <v>16052</v>
      </c>
      <c r="BX22" s="4">
        <v>13003</v>
      </c>
      <c r="BY22" s="4">
        <v>2747</v>
      </c>
      <c r="BZ22" s="4">
        <v>444</v>
      </c>
      <c r="CA22" s="4">
        <v>302</v>
      </c>
      <c r="CB22" s="4">
        <v>701</v>
      </c>
      <c r="CC22" s="4">
        <v>22</v>
      </c>
      <c r="CD22" s="4">
        <v>456</v>
      </c>
      <c r="CE22" s="4">
        <v>6</v>
      </c>
      <c r="CF22" s="4">
        <v>10</v>
      </c>
      <c r="CG22" s="4">
        <v>860</v>
      </c>
      <c r="CH22" s="4">
        <v>918</v>
      </c>
      <c r="CI22" s="4">
        <v>627</v>
      </c>
      <c r="CJ22" s="4">
        <v>290</v>
      </c>
      <c r="CK22" s="4">
        <v>252</v>
      </c>
      <c r="CL22" s="4">
        <v>311</v>
      </c>
      <c r="CM22" s="4">
        <v>218</v>
      </c>
      <c r="CN22" s="4">
        <v>358</v>
      </c>
      <c r="CO22" s="4">
        <v>145</v>
      </c>
      <c r="CP22" s="4">
        <v>4</v>
      </c>
      <c r="CQ22" s="4">
        <v>0.6</v>
      </c>
      <c r="CR22" s="4">
        <v>60</v>
      </c>
      <c r="CS22" s="4">
        <v>2146.6999999999998</v>
      </c>
      <c r="CT22" s="4">
        <v>21.5</v>
      </c>
      <c r="CU22" s="4">
        <v>7.1</v>
      </c>
      <c r="CV22" s="4">
        <v>32.299999999999997</v>
      </c>
      <c r="CW22" s="4">
        <v>268</v>
      </c>
      <c r="CX22" s="4">
        <v>22.4</v>
      </c>
      <c r="CY22" s="4">
        <v>927</v>
      </c>
      <c r="CZ22" s="4">
        <v>77.5</v>
      </c>
      <c r="DA22" s="4">
        <v>8.8000000000000007</v>
      </c>
      <c r="DB22" s="4">
        <v>656</v>
      </c>
      <c r="DC22" s="4">
        <v>54.8</v>
      </c>
      <c r="DD22" s="4">
        <v>1.8</v>
      </c>
      <c r="DE22" s="4">
        <v>1115</v>
      </c>
      <c r="DF22" s="4">
        <v>62.9</v>
      </c>
      <c r="DG22" s="4">
        <v>58.6</v>
      </c>
      <c r="DH22" s="4">
        <v>6.8</v>
      </c>
      <c r="DI22" s="4">
        <v>17.3</v>
      </c>
      <c r="DJ22" s="4">
        <v>71.900000000000006</v>
      </c>
      <c r="DK22" s="43">
        <v>76.8</v>
      </c>
    </row>
    <row r="23" spans="1:115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2012</v>
      </c>
      <c r="I23" s="4">
        <v>1905</v>
      </c>
      <c r="J23" s="4">
        <v>25</v>
      </c>
      <c r="K23" s="4">
        <v>83</v>
      </c>
      <c r="L23" s="4">
        <v>1050</v>
      </c>
      <c r="M23" s="4">
        <v>938</v>
      </c>
      <c r="N23" s="4">
        <v>113</v>
      </c>
      <c r="O23" s="4">
        <v>262</v>
      </c>
      <c r="P23" s="4">
        <v>423</v>
      </c>
      <c r="Q23" s="4">
        <v>365</v>
      </c>
      <c r="R23" s="4">
        <v>742</v>
      </c>
      <c r="S23" s="4">
        <v>7623</v>
      </c>
      <c r="T23" s="4">
        <v>1011</v>
      </c>
      <c r="U23" s="4">
        <v>5150</v>
      </c>
      <c r="V23" s="4">
        <v>876</v>
      </c>
      <c r="W23" s="4">
        <v>2451</v>
      </c>
      <c r="X23" s="4">
        <v>231</v>
      </c>
      <c r="Y23" s="4">
        <v>78</v>
      </c>
      <c r="Z23" s="4">
        <v>340</v>
      </c>
      <c r="AA23" s="4">
        <v>406</v>
      </c>
      <c r="AB23" s="4">
        <v>479</v>
      </c>
      <c r="AC23" s="4">
        <v>227</v>
      </c>
      <c r="AD23" s="4">
        <v>142</v>
      </c>
      <c r="AE23" s="4">
        <v>1863</v>
      </c>
      <c r="AF23" s="4">
        <v>57</v>
      </c>
      <c r="AG23" s="4">
        <v>501</v>
      </c>
      <c r="AH23" s="4">
        <v>398</v>
      </c>
      <c r="AI23" s="4">
        <v>170</v>
      </c>
      <c r="AJ23" s="4">
        <v>73</v>
      </c>
      <c r="AK23" s="4">
        <v>664</v>
      </c>
      <c r="AL23" s="4">
        <v>1010</v>
      </c>
      <c r="AM23" s="4">
        <v>51</v>
      </c>
      <c r="AN23" s="4">
        <v>447</v>
      </c>
      <c r="AO23" s="4">
        <v>335</v>
      </c>
      <c r="AP23" s="4">
        <v>151</v>
      </c>
      <c r="AQ23" s="4">
        <v>3</v>
      </c>
      <c r="AR23" s="4">
        <v>22</v>
      </c>
      <c r="AS23" s="4">
        <v>835</v>
      </c>
      <c r="AT23" s="4">
        <v>4</v>
      </c>
      <c r="AU23" s="4">
        <v>54</v>
      </c>
      <c r="AV23" s="4">
        <v>63</v>
      </c>
      <c r="AW23" s="4">
        <v>17</v>
      </c>
      <c r="AX23" s="4">
        <v>62</v>
      </c>
      <c r="AY23" s="4">
        <v>636</v>
      </c>
      <c r="AZ23" s="4">
        <v>1905</v>
      </c>
      <c r="BA23" s="4">
        <v>371</v>
      </c>
      <c r="BB23" s="4">
        <v>454</v>
      </c>
      <c r="BC23" s="4">
        <v>439</v>
      </c>
      <c r="BD23" s="4">
        <v>641</v>
      </c>
      <c r="BE23" s="4">
        <v>4341</v>
      </c>
      <c r="BF23" s="4">
        <v>608</v>
      </c>
      <c r="BG23" s="4">
        <v>1010</v>
      </c>
      <c r="BH23" s="4">
        <v>1158</v>
      </c>
      <c r="BI23" s="4">
        <v>1564</v>
      </c>
      <c r="BJ23" s="4">
        <v>1094</v>
      </c>
      <c r="BK23" s="4">
        <v>1545</v>
      </c>
      <c r="BL23" s="4">
        <v>1811</v>
      </c>
      <c r="BM23" s="4">
        <v>3173</v>
      </c>
      <c r="BN23" s="4">
        <v>810</v>
      </c>
      <c r="BO23" s="4">
        <v>1077</v>
      </c>
      <c r="BP23" s="4">
        <v>444</v>
      </c>
      <c r="BQ23" s="4">
        <v>18</v>
      </c>
      <c r="BR23" s="4">
        <v>4341</v>
      </c>
      <c r="BS23" s="4">
        <v>2059</v>
      </c>
      <c r="BT23" s="4">
        <v>2247</v>
      </c>
      <c r="BU23" s="4">
        <v>1062</v>
      </c>
      <c r="BV23" s="4">
        <v>34</v>
      </c>
      <c r="BW23" s="4">
        <v>21489</v>
      </c>
      <c r="BX23" s="4">
        <v>15122</v>
      </c>
      <c r="BY23" s="4">
        <v>6131</v>
      </c>
      <c r="BZ23" s="4">
        <v>3847</v>
      </c>
      <c r="CA23" s="4">
        <v>237</v>
      </c>
      <c r="CB23" s="4">
        <v>1481</v>
      </c>
      <c r="CC23" s="4">
        <v>17</v>
      </c>
      <c r="CD23" s="4">
        <v>368</v>
      </c>
      <c r="CE23" s="4">
        <v>1</v>
      </c>
      <c r="CF23" s="4">
        <v>37</v>
      </c>
      <c r="CG23" s="4">
        <v>987</v>
      </c>
      <c r="CH23" s="4">
        <v>1413</v>
      </c>
      <c r="CI23" s="4">
        <v>934</v>
      </c>
      <c r="CJ23" s="4">
        <v>479</v>
      </c>
      <c r="CK23" s="4">
        <v>510</v>
      </c>
      <c r="CL23" s="4">
        <v>526</v>
      </c>
      <c r="CM23" s="4">
        <v>332</v>
      </c>
      <c r="CN23" s="4">
        <v>486</v>
      </c>
      <c r="CO23" s="4">
        <v>217</v>
      </c>
      <c r="CP23" s="4">
        <v>9</v>
      </c>
      <c r="CQ23" s="4">
        <v>0.5</v>
      </c>
      <c r="CR23" s="4">
        <v>50</v>
      </c>
      <c r="CS23" s="4">
        <v>4024</v>
      </c>
      <c r="CT23" s="4">
        <v>40.200000000000003</v>
      </c>
      <c r="CU23" s="4">
        <v>4.0999999999999996</v>
      </c>
      <c r="CV23" s="4">
        <v>52.2</v>
      </c>
      <c r="CW23" s="4">
        <v>375</v>
      </c>
      <c r="CX23" s="4">
        <v>19.7</v>
      </c>
      <c r="CY23" s="4">
        <v>1530</v>
      </c>
      <c r="CZ23" s="4">
        <v>80.3</v>
      </c>
      <c r="DA23" s="4">
        <v>19.5</v>
      </c>
      <c r="DB23" s="4">
        <v>1264</v>
      </c>
      <c r="DC23" s="4">
        <v>66.400000000000006</v>
      </c>
      <c r="DD23" s="4">
        <v>2.2999999999999998</v>
      </c>
      <c r="DE23" s="4">
        <v>1461</v>
      </c>
      <c r="DF23" s="4">
        <v>55.4</v>
      </c>
      <c r="DG23" s="4">
        <v>42.5</v>
      </c>
      <c r="DH23" s="4">
        <v>23.3</v>
      </c>
      <c r="DI23" s="4">
        <v>41.2</v>
      </c>
      <c r="DJ23" s="4">
        <v>51.8</v>
      </c>
      <c r="DK23" s="43">
        <v>74.2</v>
      </c>
    </row>
    <row r="24" spans="1:115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1003</v>
      </c>
      <c r="I24" s="4">
        <v>859</v>
      </c>
      <c r="J24" s="4">
        <v>6</v>
      </c>
      <c r="K24" s="4">
        <v>138</v>
      </c>
      <c r="L24" s="4">
        <v>760</v>
      </c>
      <c r="M24" s="4">
        <v>242</v>
      </c>
      <c r="N24" s="4">
        <v>63</v>
      </c>
      <c r="O24" s="4">
        <v>73</v>
      </c>
      <c r="P24" s="4">
        <v>122</v>
      </c>
      <c r="Q24" s="4">
        <v>194</v>
      </c>
      <c r="R24" s="4">
        <v>407</v>
      </c>
      <c r="S24" s="4">
        <v>3690</v>
      </c>
      <c r="T24" s="4">
        <v>691</v>
      </c>
      <c r="U24" s="4">
        <v>3271</v>
      </c>
      <c r="V24" s="4">
        <v>167</v>
      </c>
      <c r="W24" s="4">
        <v>418</v>
      </c>
      <c r="X24" s="4">
        <v>65</v>
      </c>
      <c r="Y24" s="4">
        <v>49</v>
      </c>
      <c r="Z24" s="4">
        <v>107</v>
      </c>
      <c r="AA24" s="4">
        <v>203</v>
      </c>
      <c r="AB24" s="4">
        <v>270</v>
      </c>
      <c r="AC24" s="4">
        <v>105</v>
      </c>
      <c r="AD24" s="4">
        <v>59</v>
      </c>
      <c r="AE24" s="4">
        <v>855</v>
      </c>
      <c r="AF24" s="4">
        <v>65</v>
      </c>
      <c r="AG24" s="4">
        <v>610</v>
      </c>
      <c r="AH24" s="4">
        <v>84</v>
      </c>
      <c r="AI24" s="4">
        <v>36</v>
      </c>
      <c r="AJ24" s="4">
        <v>22</v>
      </c>
      <c r="AK24" s="4">
        <v>38</v>
      </c>
      <c r="AL24" s="4">
        <v>691</v>
      </c>
      <c r="AM24" s="4">
        <v>64</v>
      </c>
      <c r="AN24" s="4">
        <v>518</v>
      </c>
      <c r="AO24" s="4">
        <v>66</v>
      </c>
      <c r="AP24" s="4">
        <v>30</v>
      </c>
      <c r="AQ24" s="4">
        <v>13</v>
      </c>
      <c r="AR24" s="4">
        <v>1</v>
      </c>
      <c r="AS24" s="4">
        <v>164</v>
      </c>
      <c r="AT24" s="4">
        <v>0</v>
      </c>
      <c r="AU24" s="4">
        <v>92</v>
      </c>
      <c r="AV24" s="4">
        <v>18</v>
      </c>
      <c r="AW24" s="4">
        <v>7</v>
      </c>
      <c r="AX24" s="4">
        <v>9</v>
      </c>
      <c r="AY24" s="4">
        <v>37</v>
      </c>
      <c r="AZ24" s="4">
        <v>859</v>
      </c>
      <c r="BA24" s="4">
        <v>157</v>
      </c>
      <c r="BB24" s="4">
        <v>147</v>
      </c>
      <c r="BC24" s="4">
        <v>128</v>
      </c>
      <c r="BD24" s="4">
        <v>426</v>
      </c>
      <c r="BE24" s="4">
        <v>2461</v>
      </c>
      <c r="BF24" s="4">
        <v>376</v>
      </c>
      <c r="BG24" s="4">
        <v>422</v>
      </c>
      <c r="BH24" s="4">
        <v>430</v>
      </c>
      <c r="BI24" s="4">
        <v>1233</v>
      </c>
      <c r="BJ24" s="4">
        <v>520</v>
      </c>
      <c r="BK24" s="4">
        <v>546</v>
      </c>
      <c r="BL24" s="4">
        <v>567</v>
      </c>
      <c r="BM24" s="4">
        <v>2057</v>
      </c>
      <c r="BN24" s="4">
        <v>396</v>
      </c>
      <c r="BO24" s="4">
        <v>453</v>
      </c>
      <c r="BP24" s="4">
        <v>74</v>
      </c>
      <c r="BQ24" s="4">
        <v>10</v>
      </c>
      <c r="BR24" s="4">
        <v>2461</v>
      </c>
      <c r="BS24" s="4">
        <v>1166</v>
      </c>
      <c r="BT24" s="4">
        <v>1271</v>
      </c>
      <c r="BU24" s="4">
        <v>217</v>
      </c>
      <c r="BV24" s="4">
        <v>23</v>
      </c>
      <c r="BW24" s="4">
        <v>11957</v>
      </c>
      <c r="BX24" s="4">
        <v>8451</v>
      </c>
      <c r="BY24" s="4">
        <v>3215</v>
      </c>
      <c r="BZ24" s="4">
        <v>735</v>
      </c>
      <c r="CA24" s="4">
        <v>291</v>
      </c>
      <c r="CB24" s="4">
        <v>542</v>
      </c>
      <c r="CC24" s="4">
        <v>17</v>
      </c>
      <c r="CD24" s="4">
        <v>267</v>
      </c>
      <c r="CE24" s="4">
        <v>6</v>
      </c>
      <c r="CF24" s="4">
        <v>26</v>
      </c>
      <c r="CG24" s="4">
        <v>125</v>
      </c>
      <c r="CH24" s="4">
        <v>545</v>
      </c>
      <c r="CI24" s="4">
        <v>389</v>
      </c>
      <c r="CJ24" s="4">
        <v>155</v>
      </c>
      <c r="CK24" s="4">
        <v>179</v>
      </c>
      <c r="CL24" s="4">
        <v>231</v>
      </c>
      <c r="CM24" s="4">
        <v>166</v>
      </c>
      <c r="CN24" s="4">
        <v>160</v>
      </c>
      <c r="CO24" s="4">
        <v>130</v>
      </c>
      <c r="CP24" s="4">
        <v>16</v>
      </c>
      <c r="CQ24" s="4">
        <v>0.2</v>
      </c>
      <c r="CR24" s="4">
        <v>20</v>
      </c>
      <c r="CS24" s="4">
        <v>5015</v>
      </c>
      <c r="CT24" s="4">
        <v>50.2</v>
      </c>
      <c r="CU24" s="4">
        <v>13.8</v>
      </c>
      <c r="CV24" s="4">
        <v>75.8</v>
      </c>
      <c r="CW24" s="4">
        <v>136</v>
      </c>
      <c r="CX24" s="4">
        <v>15.8</v>
      </c>
      <c r="CY24" s="4">
        <v>723</v>
      </c>
      <c r="CZ24" s="4">
        <v>84.2</v>
      </c>
      <c r="DA24" s="4">
        <v>18.3</v>
      </c>
      <c r="DB24" s="4">
        <v>433</v>
      </c>
      <c r="DC24" s="4">
        <v>50.4</v>
      </c>
      <c r="DD24" s="4">
        <v>2.9</v>
      </c>
      <c r="DE24" s="4">
        <v>785</v>
      </c>
      <c r="DF24" s="4">
        <v>50.4</v>
      </c>
      <c r="DG24" s="4">
        <v>46.1</v>
      </c>
      <c r="DH24" s="4">
        <v>8.6</v>
      </c>
      <c r="DI24" s="4">
        <v>16.3</v>
      </c>
      <c r="DJ24" s="4">
        <v>14.6</v>
      </c>
      <c r="DK24" s="43">
        <v>63.4</v>
      </c>
    </row>
    <row r="25" spans="1:115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867</v>
      </c>
      <c r="I25" s="4">
        <v>790</v>
      </c>
      <c r="J25" s="4">
        <v>4</v>
      </c>
      <c r="K25" s="4">
        <v>72</v>
      </c>
      <c r="L25" s="4">
        <v>750</v>
      </c>
      <c r="M25" s="4">
        <v>117</v>
      </c>
      <c r="N25" s="4">
        <v>21</v>
      </c>
      <c r="O25" s="4">
        <v>73</v>
      </c>
      <c r="P25" s="4">
        <v>115</v>
      </c>
      <c r="Q25" s="4">
        <v>225</v>
      </c>
      <c r="R25" s="4">
        <v>357</v>
      </c>
      <c r="S25" s="4">
        <v>3470</v>
      </c>
      <c r="T25" s="4">
        <v>709</v>
      </c>
      <c r="U25" s="4">
        <v>3297</v>
      </c>
      <c r="V25" s="4">
        <v>81</v>
      </c>
      <c r="W25" s="4">
        <v>173</v>
      </c>
      <c r="X25" s="4">
        <v>23</v>
      </c>
      <c r="Y25" s="4">
        <v>38</v>
      </c>
      <c r="Z25" s="4">
        <v>111</v>
      </c>
      <c r="AA25" s="4">
        <v>250</v>
      </c>
      <c r="AB25" s="4">
        <v>244</v>
      </c>
      <c r="AC25" s="4">
        <v>82</v>
      </c>
      <c r="AD25" s="4">
        <v>42</v>
      </c>
      <c r="AE25" s="4">
        <v>790</v>
      </c>
      <c r="AF25" s="4">
        <v>76</v>
      </c>
      <c r="AG25" s="4">
        <v>558</v>
      </c>
      <c r="AH25" s="4">
        <v>49</v>
      </c>
      <c r="AI25" s="4">
        <v>55</v>
      </c>
      <c r="AJ25" s="4">
        <v>11</v>
      </c>
      <c r="AK25" s="4">
        <v>41</v>
      </c>
      <c r="AL25" s="4">
        <v>709</v>
      </c>
      <c r="AM25" s="4">
        <v>64</v>
      </c>
      <c r="AN25" s="4">
        <v>532</v>
      </c>
      <c r="AO25" s="4">
        <v>48</v>
      </c>
      <c r="AP25" s="4">
        <v>48</v>
      </c>
      <c r="AQ25" s="4">
        <v>8</v>
      </c>
      <c r="AR25" s="4">
        <v>8</v>
      </c>
      <c r="AS25" s="4">
        <v>81</v>
      </c>
      <c r="AT25" s="4">
        <v>11</v>
      </c>
      <c r="AU25" s="4">
        <v>25</v>
      </c>
      <c r="AV25" s="4">
        <v>1</v>
      </c>
      <c r="AW25" s="4">
        <v>7</v>
      </c>
      <c r="AX25" s="4">
        <v>4</v>
      </c>
      <c r="AY25" s="4">
        <v>33</v>
      </c>
      <c r="AZ25" s="4">
        <v>790</v>
      </c>
      <c r="BA25" s="4">
        <v>105</v>
      </c>
      <c r="BB25" s="4">
        <v>162</v>
      </c>
      <c r="BC25" s="4">
        <v>149</v>
      </c>
      <c r="BD25" s="4">
        <v>375</v>
      </c>
      <c r="BE25" s="4">
        <v>2274</v>
      </c>
      <c r="BF25" s="4">
        <v>316</v>
      </c>
      <c r="BG25" s="4">
        <v>531</v>
      </c>
      <c r="BH25" s="4">
        <v>499</v>
      </c>
      <c r="BI25" s="4">
        <v>928</v>
      </c>
      <c r="BJ25" s="4">
        <v>368</v>
      </c>
      <c r="BK25" s="4">
        <v>632</v>
      </c>
      <c r="BL25" s="4">
        <v>657</v>
      </c>
      <c r="BM25" s="4">
        <v>1813</v>
      </c>
      <c r="BN25" s="4">
        <v>442</v>
      </c>
      <c r="BO25" s="4">
        <v>345</v>
      </c>
      <c r="BP25" s="4">
        <v>59</v>
      </c>
      <c r="BQ25" s="4">
        <v>3</v>
      </c>
      <c r="BR25" s="4">
        <v>2274</v>
      </c>
      <c r="BS25" s="4">
        <v>1149</v>
      </c>
      <c r="BT25" s="4">
        <v>1121</v>
      </c>
      <c r="BU25" s="4">
        <v>185</v>
      </c>
      <c r="BV25" s="4">
        <v>3</v>
      </c>
      <c r="BW25" s="4">
        <v>10890</v>
      </c>
      <c r="BX25" s="4">
        <v>8456</v>
      </c>
      <c r="BY25" s="4">
        <v>2417</v>
      </c>
      <c r="BZ25" s="4">
        <v>537</v>
      </c>
      <c r="CA25" s="4">
        <v>17</v>
      </c>
      <c r="CB25" s="4">
        <v>556</v>
      </c>
      <c r="CC25" s="4">
        <v>10</v>
      </c>
      <c r="CD25" s="4">
        <v>178</v>
      </c>
      <c r="CE25" s="4">
        <v>9</v>
      </c>
      <c r="CF25" s="4">
        <v>37</v>
      </c>
      <c r="CG25" s="4">
        <v>128</v>
      </c>
      <c r="CH25" s="4">
        <v>533</v>
      </c>
      <c r="CI25" s="4">
        <v>384</v>
      </c>
      <c r="CJ25" s="4">
        <v>149</v>
      </c>
      <c r="CK25" s="4">
        <v>149</v>
      </c>
      <c r="CL25" s="4">
        <v>207</v>
      </c>
      <c r="CM25" s="4">
        <v>191</v>
      </c>
      <c r="CN25" s="4">
        <v>168</v>
      </c>
      <c r="CO25" s="4">
        <v>40</v>
      </c>
      <c r="CP25" s="4">
        <v>10</v>
      </c>
      <c r="CQ25" s="4">
        <v>0.2</v>
      </c>
      <c r="CR25" s="4">
        <v>20</v>
      </c>
      <c r="CS25" s="4">
        <v>4335</v>
      </c>
      <c r="CT25" s="4">
        <v>43.4</v>
      </c>
      <c r="CU25" s="4">
        <v>8.3000000000000007</v>
      </c>
      <c r="CV25" s="4">
        <v>86.5</v>
      </c>
      <c r="CW25" s="4">
        <v>94</v>
      </c>
      <c r="CX25" s="4">
        <v>11.9</v>
      </c>
      <c r="CY25" s="4">
        <v>697</v>
      </c>
      <c r="CZ25" s="4">
        <v>88.2</v>
      </c>
      <c r="DA25" s="4">
        <v>13.3</v>
      </c>
      <c r="DB25" s="4">
        <v>415</v>
      </c>
      <c r="DC25" s="4">
        <v>52.5</v>
      </c>
      <c r="DD25" s="4">
        <v>2.9</v>
      </c>
      <c r="DE25" s="4">
        <v>731</v>
      </c>
      <c r="DF25" s="4">
        <v>60.5</v>
      </c>
      <c r="DG25" s="4">
        <v>55.9</v>
      </c>
      <c r="DH25" s="4">
        <v>7.5</v>
      </c>
      <c r="DI25" s="4">
        <v>17.100000000000001</v>
      </c>
      <c r="DJ25" s="4">
        <v>16.2</v>
      </c>
      <c r="DK25" s="43">
        <v>67.5</v>
      </c>
    </row>
    <row r="26" spans="1:115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1425</v>
      </c>
      <c r="I26" s="4">
        <v>1316</v>
      </c>
      <c r="J26" s="4">
        <v>6</v>
      </c>
      <c r="K26" s="4">
        <v>103</v>
      </c>
      <c r="L26" s="4">
        <v>579</v>
      </c>
      <c r="M26" s="4">
        <v>846</v>
      </c>
      <c r="N26" s="4">
        <v>13</v>
      </c>
      <c r="O26" s="4">
        <v>130</v>
      </c>
      <c r="P26" s="4">
        <v>459</v>
      </c>
      <c r="Q26" s="4">
        <v>247</v>
      </c>
      <c r="R26" s="4">
        <v>467</v>
      </c>
      <c r="S26" s="4">
        <v>5460</v>
      </c>
      <c r="T26" s="4">
        <v>532</v>
      </c>
      <c r="U26" s="4">
        <v>2904</v>
      </c>
      <c r="V26" s="4">
        <v>783</v>
      </c>
      <c r="W26" s="4">
        <v>2549</v>
      </c>
      <c r="X26" s="4">
        <v>10</v>
      </c>
      <c r="Y26" s="4">
        <v>99</v>
      </c>
      <c r="Z26" s="4">
        <v>343</v>
      </c>
      <c r="AA26" s="4">
        <v>279</v>
      </c>
      <c r="AB26" s="4">
        <v>219</v>
      </c>
      <c r="AC26" s="4">
        <v>181</v>
      </c>
      <c r="AD26" s="4">
        <v>185</v>
      </c>
      <c r="AE26" s="4">
        <v>1313</v>
      </c>
      <c r="AF26" s="4">
        <v>69</v>
      </c>
      <c r="AG26" s="4">
        <v>402</v>
      </c>
      <c r="AH26" s="4">
        <v>473</v>
      </c>
      <c r="AI26" s="4">
        <v>98</v>
      </c>
      <c r="AJ26" s="4">
        <v>50</v>
      </c>
      <c r="AK26" s="4">
        <v>220</v>
      </c>
      <c r="AL26" s="4">
        <v>529</v>
      </c>
      <c r="AM26" s="4">
        <v>57</v>
      </c>
      <c r="AN26" s="4">
        <v>302</v>
      </c>
      <c r="AO26" s="4">
        <v>85</v>
      </c>
      <c r="AP26" s="4">
        <v>33</v>
      </c>
      <c r="AQ26" s="4">
        <v>15</v>
      </c>
      <c r="AR26" s="4">
        <v>37</v>
      </c>
      <c r="AS26" s="4">
        <v>783</v>
      </c>
      <c r="AT26" s="4">
        <v>12</v>
      </c>
      <c r="AU26" s="4">
        <v>100</v>
      </c>
      <c r="AV26" s="4">
        <v>388</v>
      </c>
      <c r="AW26" s="4">
        <v>65</v>
      </c>
      <c r="AX26" s="4">
        <v>35</v>
      </c>
      <c r="AY26" s="4">
        <v>183</v>
      </c>
      <c r="AZ26" s="4">
        <v>1316</v>
      </c>
      <c r="BA26" s="4">
        <v>151</v>
      </c>
      <c r="BB26" s="4">
        <v>309</v>
      </c>
      <c r="BC26" s="4">
        <v>279</v>
      </c>
      <c r="BD26" s="4">
        <v>577</v>
      </c>
      <c r="BE26" s="4">
        <v>3195</v>
      </c>
      <c r="BF26" s="4">
        <v>335</v>
      </c>
      <c r="BG26" s="4">
        <v>714</v>
      </c>
      <c r="BH26" s="4">
        <v>727</v>
      </c>
      <c r="BI26" s="4">
        <v>1418</v>
      </c>
      <c r="BJ26" s="4">
        <v>585</v>
      </c>
      <c r="BK26" s="4">
        <v>1208</v>
      </c>
      <c r="BL26" s="4">
        <v>1087</v>
      </c>
      <c r="BM26" s="4">
        <v>2580</v>
      </c>
      <c r="BN26" s="4">
        <v>547</v>
      </c>
      <c r="BO26" s="4">
        <v>741</v>
      </c>
      <c r="BP26" s="4">
        <v>480</v>
      </c>
      <c r="BQ26" s="4">
        <v>29</v>
      </c>
      <c r="BR26" s="4">
        <v>3195</v>
      </c>
      <c r="BS26" s="4">
        <v>1499</v>
      </c>
      <c r="BT26" s="4">
        <v>1641</v>
      </c>
      <c r="BU26" s="4">
        <v>1042</v>
      </c>
      <c r="BV26" s="4">
        <v>55</v>
      </c>
      <c r="BW26" s="4">
        <v>15879</v>
      </c>
      <c r="BX26" s="4">
        <v>8400</v>
      </c>
      <c r="BY26" s="4">
        <v>7369</v>
      </c>
      <c r="BZ26" s="4">
        <v>5653</v>
      </c>
      <c r="CA26" s="4">
        <v>110</v>
      </c>
      <c r="CB26" s="4">
        <v>1016</v>
      </c>
      <c r="CC26" s="4">
        <v>12</v>
      </c>
      <c r="CD26" s="4">
        <v>252</v>
      </c>
      <c r="CE26" s="4">
        <v>3</v>
      </c>
      <c r="CF26" s="4">
        <v>33</v>
      </c>
      <c r="CG26" s="4">
        <v>696</v>
      </c>
      <c r="CH26" s="4">
        <v>1013</v>
      </c>
      <c r="CI26" s="4">
        <v>725</v>
      </c>
      <c r="CJ26" s="4">
        <v>289</v>
      </c>
      <c r="CK26" s="4">
        <v>304</v>
      </c>
      <c r="CL26" s="4">
        <v>419</v>
      </c>
      <c r="CM26" s="4">
        <v>253</v>
      </c>
      <c r="CN26" s="4">
        <v>311</v>
      </c>
      <c r="CO26" s="4">
        <v>111</v>
      </c>
      <c r="CP26" s="4">
        <v>9</v>
      </c>
      <c r="CQ26" s="4">
        <v>0.4</v>
      </c>
      <c r="CR26" s="4">
        <v>40</v>
      </c>
      <c r="CS26" s="4">
        <v>3562.5</v>
      </c>
      <c r="CT26" s="4">
        <v>35.6</v>
      </c>
      <c r="CU26" s="4">
        <v>7.2</v>
      </c>
      <c r="CV26" s="4">
        <v>40.6</v>
      </c>
      <c r="CW26" s="4">
        <v>143</v>
      </c>
      <c r="CX26" s="4">
        <v>10.9</v>
      </c>
      <c r="CY26" s="4">
        <v>1173</v>
      </c>
      <c r="CZ26" s="4">
        <v>89.1</v>
      </c>
      <c r="DA26" s="4">
        <v>11.5</v>
      </c>
      <c r="DB26" s="4">
        <v>739</v>
      </c>
      <c r="DC26" s="4">
        <v>56.2</v>
      </c>
      <c r="DD26" s="4">
        <v>2.4</v>
      </c>
      <c r="DE26" s="4">
        <v>836</v>
      </c>
      <c r="DF26" s="4">
        <v>65.400000000000006</v>
      </c>
      <c r="DG26" s="4">
        <v>41.6</v>
      </c>
      <c r="DH26" s="4">
        <v>36.5</v>
      </c>
      <c r="DI26" s="4">
        <v>64.8</v>
      </c>
      <c r="DJ26" s="4">
        <v>52.9</v>
      </c>
      <c r="DK26" s="43">
        <v>77</v>
      </c>
    </row>
    <row r="27" spans="1:115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871</v>
      </c>
      <c r="I27" s="4">
        <v>789</v>
      </c>
      <c r="J27" s="4">
        <v>4</v>
      </c>
      <c r="K27" s="4">
        <v>78</v>
      </c>
      <c r="L27" s="4">
        <v>639</v>
      </c>
      <c r="M27" s="4">
        <v>232</v>
      </c>
      <c r="N27" s="4">
        <v>12</v>
      </c>
      <c r="O27" s="4">
        <v>87</v>
      </c>
      <c r="P27" s="4">
        <v>117</v>
      </c>
      <c r="Q27" s="4">
        <v>216</v>
      </c>
      <c r="R27" s="4">
        <v>357</v>
      </c>
      <c r="S27" s="4">
        <v>3440</v>
      </c>
      <c r="T27" s="4">
        <v>601</v>
      </c>
      <c r="U27" s="4">
        <v>2902</v>
      </c>
      <c r="V27" s="4">
        <v>187</v>
      </c>
      <c r="W27" s="4">
        <v>538</v>
      </c>
      <c r="X27" s="4">
        <v>6</v>
      </c>
      <c r="Y27" s="4">
        <v>55</v>
      </c>
      <c r="Z27" s="4">
        <v>142</v>
      </c>
      <c r="AA27" s="4">
        <v>223</v>
      </c>
      <c r="AB27" s="4">
        <v>238</v>
      </c>
      <c r="AC27" s="4">
        <v>72</v>
      </c>
      <c r="AD27" s="4">
        <v>52</v>
      </c>
      <c r="AE27" s="4">
        <v>789</v>
      </c>
      <c r="AF27" s="4">
        <v>56</v>
      </c>
      <c r="AG27" s="4">
        <v>502</v>
      </c>
      <c r="AH27" s="4">
        <v>74</v>
      </c>
      <c r="AI27" s="4">
        <v>47</v>
      </c>
      <c r="AJ27" s="4">
        <v>15</v>
      </c>
      <c r="AK27" s="4">
        <v>94</v>
      </c>
      <c r="AL27" s="4">
        <v>601</v>
      </c>
      <c r="AM27" s="4">
        <v>40</v>
      </c>
      <c r="AN27" s="4">
        <v>408</v>
      </c>
      <c r="AO27" s="4">
        <v>56</v>
      </c>
      <c r="AP27" s="4">
        <v>10</v>
      </c>
      <c r="AQ27" s="4">
        <v>13</v>
      </c>
      <c r="AR27" s="4">
        <v>74</v>
      </c>
      <c r="AS27" s="4">
        <v>187</v>
      </c>
      <c r="AT27" s="4">
        <v>16</v>
      </c>
      <c r="AU27" s="4">
        <v>94</v>
      </c>
      <c r="AV27" s="4">
        <v>18</v>
      </c>
      <c r="AW27" s="4">
        <v>37</v>
      </c>
      <c r="AX27" s="4">
        <v>2</v>
      </c>
      <c r="AY27" s="4">
        <v>20</v>
      </c>
      <c r="AZ27" s="4">
        <v>789</v>
      </c>
      <c r="BA27" s="4">
        <v>93</v>
      </c>
      <c r="BB27" s="4">
        <v>151</v>
      </c>
      <c r="BC27" s="4">
        <v>181</v>
      </c>
      <c r="BD27" s="4">
        <v>364</v>
      </c>
      <c r="BE27" s="4">
        <v>2342</v>
      </c>
      <c r="BF27" s="4">
        <v>262</v>
      </c>
      <c r="BG27" s="4">
        <v>456</v>
      </c>
      <c r="BH27" s="4">
        <v>630</v>
      </c>
      <c r="BI27" s="4">
        <v>995</v>
      </c>
      <c r="BJ27" s="4">
        <v>358</v>
      </c>
      <c r="BK27" s="4">
        <v>568</v>
      </c>
      <c r="BL27" s="4">
        <v>762</v>
      </c>
      <c r="BM27" s="4">
        <v>1752</v>
      </c>
      <c r="BN27" s="4">
        <v>318</v>
      </c>
      <c r="BO27" s="4">
        <v>461</v>
      </c>
      <c r="BP27" s="4">
        <v>174</v>
      </c>
      <c r="BQ27" s="4">
        <v>10</v>
      </c>
      <c r="BR27" s="4">
        <v>2342</v>
      </c>
      <c r="BS27" s="4">
        <v>874</v>
      </c>
      <c r="BT27" s="4">
        <v>1441</v>
      </c>
      <c r="BU27" s="4">
        <v>544</v>
      </c>
      <c r="BV27" s="4">
        <v>26</v>
      </c>
      <c r="BW27" s="4">
        <v>10041</v>
      </c>
      <c r="BX27" s="4">
        <v>6381</v>
      </c>
      <c r="BY27" s="4">
        <v>3397</v>
      </c>
      <c r="BZ27" s="4">
        <v>1590</v>
      </c>
      <c r="CA27" s="4">
        <v>264</v>
      </c>
      <c r="CB27" s="4">
        <v>553</v>
      </c>
      <c r="CC27" s="4">
        <v>10</v>
      </c>
      <c r="CD27" s="4">
        <v>208</v>
      </c>
      <c r="CE27" s="4">
        <v>0</v>
      </c>
      <c r="CF27" s="4">
        <v>18</v>
      </c>
      <c r="CG27" s="4">
        <v>168</v>
      </c>
      <c r="CH27" s="4">
        <v>477</v>
      </c>
      <c r="CI27" s="4">
        <v>361</v>
      </c>
      <c r="CJ27" s="4">
        <v>116</v>
      </c>
      <c r="CK27" s="4">
        <v>178</v>
      </c>
      <c r="CL27" s="4">
        <v>214</v>
      </c>
      <c r="CM27" s="4">
        <v>131</v>
      </c>
      <c r="CN27" s="4">
        <v>163</v>
      </c>
      <c r="CO27" s="4">
        <v>58</v>
      </c>
      <c r="CP27" s="4">
        <v>22</v>
      </c>
      <c r="CQ27" s="4">
        <v>0.2</v>
      </c>
      <c r="CR27" s="4">
        <v>20</v>
      </c>
      <c r="CS27" s="4">
        <v>4355</v>
      </c>
      <c r="CT27" s="4">
        <v>43.6</v>
      </c>
      <c r="CU27" s="4">
        <v>9</v>
      </c>
      <c r="CV27" s="4">
        <v>73.400000000000006</v>
      </c>
      <c r="CW27" s="4">
        <v>99</v>
      </c>
      <c r="CX27" s="4">
        <v>12.5</v>
      </c>
      <c r="CY27" s="4">
        <v>690</v>
      </c>
      <c r="CZ27" s="4">
        <v>87.5</v>
      </c>
      <c r="DA27" s="4">
        <v>11.8</v>
      </c>
      <c r="DB27" s="4">
        <v>425</v>
      </c>
      <c r="DC27" s="4">
        <v>53.9</v>
      </c>
      <c r="DD27" s="4">
        <v>3</v>
      </c>
      <c r="DE27" s="4">
        <v>615</v>
      </c>
      <c r="DF27" s="4">
        <v>51.7</v>
      </c>
      <c r="DG27" s="4">
        <v>40.299999999999997</v>
      </c>
      <c r="DH27" s="4">
        <v>22.1</v>
      </c>
      <c r="DI27" s="4">
        <v>37.700000000000003</v>
      </c>
      <c r="DJ27" s="4">
        <v>21.3</v>
      </c>
      <c r="DK27" s="43">
        <v>60.5</v>
      </c>
    </row>
    <row r="28" spans="1:115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807</v>
      </c>
      <c r="I28" s="4">
        <v>736</v>
      </c>
      <c r="J28" s="4">
        <v>0</v>
      </c>
      <c r="K28" s="4">
        <v>71</v>
      </c>
      <c r="L28" s="4">
        <v>529</v>
      </c>
      <c r="M28" s="4">
        <v>278</v>
      </c>
      <c r="N28" s="4">
        <v>14</v>
      </c>
      <c r="O28" s="4">
        <v>23</v>
      </c>
      <c r="P28" s="4">
        <v>205</v>
      </c>
      <c r="Q28" s="4">
        <v>185</v>
      </c>
      <c r="R28" s="4">
        <v>308</v>
      </c>
      <c r="S28" s="4">
        <v>3154</v>
      </c>
      <c r="T28" s="4">
        <v>487</v>
      </c>
      <c r="U28" s="4">
        <v>2363</v>
      </c>
      <c r="V28" s="4">
        <v>249</v>
      </c>
      <c r="W28" s="4">
        <v>792</v>
      </c>
      <c r="X28" s="4">
        <v>14</v>
      </c>
      <c r="Y28" s="4">
        <v>37</v>
      </c>
      <c r="Z28" s="4">
        <v>142</v>
      </c>
      <c r="AA28" s="4">
        <v>245</v>
      </c>
      <c r="AB28" s="4">
        <v>196</v>
      </c>
      <c r="AC28" s="4">
        <v>79</v>
      </c>
      <c r="AD28" s="4">
        <v>23</v>
      </c>
      <c r="AE28" s="4">
        <v>735</v>
      </c>
      <c r="AF28" s="4">
        <v>66</v>
      </c>
      <c r="AG28" s="4">
        <v>364</v>
      </c>
      <c r="AH28" s="4">
        <v>170</v>
      </c>
      <c r="AI28" s="4">
        <v>62</v>
      </c>
      <c r="AJ28" s="4">
        <v>64</v>
      </c>
      <c r="AK28" s="4">
        <v>9</v>
      </c>
      <c r="AL28" s="4">
        <v>486</v>
      </c>
      <c r="AM28" s="4">
        <v>62</v>
      </c>
      <c r="AN28" s="4">
        <v>310</v>
      </c>
      <c r="AO28" s="4">
        <v>49</v>
      </c>
      <c r="AP28" s="4">
        <v>31</v>
      </c>
      <c r="AQ28" s="4">
        <v>28</v>
      </c>
      <c r="AR28" s="4">
        <v>6</v>
      </c>
      <c r="AS28" s="4">
        <v>249</v>
      </c>
      <c r="AT28" s="4">
        <v>4</v>
      </c>
      <c r="AU28" s="4">
        <v>54</v>
      </c>
      <c r="AV28" s="4">
        <v>120</v>
      </c>
      <c r="AW28" s="4">
        <v>31</v>
      </c>
      <c r="AX28" s="4">
        <v>35</v>
      </c>
      <c r="AY28" s="4">
        <v>4</v>
      </c>
      <c r="AZ28" s="4">
        <v>736</v>
      </c>
      <c r="BA28" s="4">
        <v>66</v>
      </c>
      <c r="BB28" s="4">
        <v>140</v>
      </c>
      <c r="BC28" s="4">
        <v>133</v>
      </c>
      <c r="BD28" s="4">
        <v>397</v>
      </c>
      <c r="BE28" s="4">
        <v>2163</v>
      </c>
      <c r="BF28" s="4">
        <v>208</v>
      </c>
      <c r="BG28" s="4">
        <v>413</v>
      </c>
      <c r="BH28" s="4">
        <v>427</v>
      </c>
      <c r="BI28" s="4">
        <v>1114</v>
      </c>
      <c r="BJ28" s="4">
        <v>277</v>
      </c>
      <c r="BK28" s="4">
        <v>558</v>
      </c>
      <c r="BL28" s="4">
        <v>536</v>
      </c>
      <c r="BM28" s="4">
        <v>1782</v>
      </c>
      <c r="BN28" s="4">
        <v>339</v>
      </c>
      <c r="BO28" s="4">
        <v>376</v>
      </c>
      <c r="BP28" s="4">
        <v>145</v>
      </c>
      <c r="BQ28" s="4">
        <v>21</v>
      </c>
      <c r="BR28" s="4">
        <v>2163</v>
      </c>
      <c r="BS28" s="4">
        <v>909</v>
      </c>
      <c r="BT28" s="4">
        <v>1172</v>
      </c>
      <c r="BU28" s="4">
        <v>393</v>
      </c>
      <c r="BV28" s="4">
        <v>82</v>
      </c>
      <c r="BW28" s="4">
        <v>10915</v>
      </c>
      <c r="BX28" s="4">
        <v>7185</v>
      </c>
      <c r="BY28" s="4">
        <v>3585</v>
      </c>
      <c r="BZ28" s="4">
        <v>2211</v>
      </c>
      <c r="CA28" s="4">
        <v>144</v>
      </c>
      <c r="CB28" s="4">
        <v>523</v>
      </c>
      <c r="CC28" s="4">
        <v>0</v>
      </c>
      <c r="CD28" s="4">
        <v>160</v>
      </c>
      <c r="CE28" s="4">
        <v>7</v>
      </c>
      <c r="CF28" s="4">
        <v>46</v>
      </c>
      <c r="CG28" s="4">
        <v>126</v>
      </c>
      <c r="CH28" s="4">
        <v>508</v>
      </c>
      <c r="CI28" s="4">
        <v>376</v>
      </c>
      <c r="CJ28" s="4">
        <v>132</v>
      </c>
      <c r="CK28" s="4">
        <v>160</v>
      </c>
      <c r="CL28" s="4">
        <v>266</v>
      </c>
      <c r="CM28" s="4">
        <v>154</v>
      </c>
      <c r="CN28" s="4">
        <v>125</v>
      </c>
      <c r="CO28" s="4">
        <v>104</v>
      </c>
      <c r="CP28" s="4">
        <v>10</v>
      </c>
      <c r="CQ28" s="4">
        <v>0.1</v>
      </c>
      <c r="CR28" s="4">
        <v>10</v>
      </c>
      <c r="CS28" s="4">
        <v>8070</v>
      </c>
      <c r="CT28" s="4">
        <v>80.7</v>
      </c>
      <c r="CU28" s="4">
        <v>8.8000000000000007</v>
      </c>
      <c r="CV28" s="4">
        <v>65.599999999999994</v>
      </c>
      <c r="CW28" s="4">
        <v>37</v>
      </c>
      <c r="CX28" s="4">
        <v>5</v>
      </c>
      <c r="CY28" s="4">
        <v>698</v>
      </c>
      <c r="CZ28" s="4">
        <v>94.8</v>
      </c>
      <c r="DA28" s="4">
        <v>9</v>
      </c>
      <c r="DB28" s="4">
        <v>339</v>
      </c>
      <c r="DC28" s="4">
        <v>46.1</v>
      </c>
      <c r="DD28" s="4">
        <v>2.9</v>
      </c>
      <c r="DE28" s="4">
        <v>591</v>
      </c>
      <c r="DF28" s="4">
        <v>57.4</v>
      </c>
      <c r="DG28" s="4">
        <v>46.1</v>
      </c>
      <c r="DH28" s="4">
        <v>19.7</v>
      </c>
      <c r="DI28" s="4">
        <v>38.6</v>
      </c>
      <c r="DJ28" s="4">
        <v>17.100000000000001</v>
      </c>
      <c r="DK28" s="43">
        <v>69</v>
      </c>
    </row>
    <row r="29" spans="1:115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1346</v>
      </c>
      <c r="I29" s="4">
        <v>1171</v>
      </c>
      <c r="J29" s="4">
        <v>3</v>
      </c>
      <c r="K29" s="4">
        <v>172</v>
      </c>
      <c r="L29" s="4">
        <v>584</v>
      </c>
      <c r="M29" s="4">
        <v>763</v>
      </c>
      <c r="N29" s="4">
        <v>54</v>
      </c>
      <c r="O29" s="4">
        <v>329</v>
      </c>
      <c r="P29" s="4">
        <v>264</v>
      </c>
      <c r="Q29" s="4">
        <v>155</v>
      </c>
      <c r="R29" s="4">
        <v>369</v>
      </c>
      <c r="S29" s="4">
        <v>4363</v>
      </c>
      <c r="T29" s="4">
        <v>516</v>
      </c>
      <c r="U29" s="4">
        <v>2719</v>
      </c>
      <c r="V29" s="4">
        <v>655</v>
      </c>
      <c r="W29" s="4">
        <v>1644</v>
      </c>
      <c r="X29" s="4">
        <v>48</v>
      </c>
      <c r="Y29" s="4">
        <v>131</v>
      </c>
      <c r="Z29" s="4">
        <v>305</v>
      </c>
      <c r="AA29" s="4">
        <v>314</v>
      </c>
      <c r="AB29" s="4">
        <v>211</v>
      </c>
      <c r="AC29" s="4">
        <v>70</v>
      </c>
      <c r="AD29" s="4">
        <v>92</v>
      </c>
      <c r="AE29" s="4">
        <v>1168</v>
      </c>
      <c r="AF29" s="4">
        <v>71</v>
      </c>
      <c r="AG29" s="4">
        <v>523</v>
      </c>
      <c r="AH29" s="4">
        <v>237</v>
      </c>
      <c r="AI29" s="4">
        <v>193</v>
      </c>
      <c r="AJ29" s="4">
        <v>19</v>
      </c>
      <c r="AK29" s="4">
        <v>124</v>
      </c>
      <c r="AL29" s="4">
        <v>513</v>
      </c>
      <c r="AM29" s="4">
        <v>54</v>
      </c>
      <c r="AN29" s="4">
        <v>404</v>
      </c>
      <c r="AO29" s="4">
        <v>34</v>
      </c>
      <c r="AP29" s="4">
        <v>13</v>
      </c>
      <c r="AQ29" s="4">
        <v>2</v>
      </c>
      <c r="AR29" s="4">
        <v>5</v>
      </c>
      <c r="AS29" s="4">
        <v>655</v>
      </c>
      <c r="AT29" s="4">
        <v>18</v>
      </c>
      <c r="AU29" s="4">
        <v>118</v>
      </c>
      <c r="AV29" s="4">
        <v>203</v>
      </c>
      <c r="AW29" s="4">
        <v>179</v>
      </c>
      <c r="AX29" s="4">
        <v>17</v>
      </c>
      <c r="AY29" s="4">
        <v>119</v>
      </c>
      <c r="AZ29" s="4">
        <v>1171</v>
      </c>
      <c r="BA29" s="4">
        <v>165</v>
      </c>
      <c r="BB29" s="4">
        <v>268</v>
      </c>
      <c r="BC29" s="4">
        <v>294</v>
      </c>
      <c r="BD29" s="4">
        <v>445</v>
      </c>
      <c r="BE29" s="4">
        <v>2820</v>
      </c>
      <c r="BF29" s="4">
        <v>398</v>
      </c>
      <c r="BG29" s="4">
        <v>692</v>
      </c>
      <c r="BH29" s="4">
        <v>707</v>
      </c>
      <c r="BI29" s="4">
        <v>1023</v>
      </c>
      <c r="BJ29" s="4">
        <v>572</v>
      </c>
      <c r="BK29" s="4">
        <v>872</v>
      </c>
      <c r="BL29" s="4">
        <v>993</v>
      </c>
      <c r="BM29" s="4">
        <v>1926</v>
      </c>
      <c r="BN29" s="4">
        <v>330</v>
      </c>
      <c r="BO29" s="4">
        <v>831</v>
      </c>
      <c r="BP29" s="4">
        <v>437</v>
      </c>
      <c r="BQ29" s="4">
        <v>9</v>
      </c>
      <c r="BR29" s="4">
        <v>2820</v>
      </c>
      <c r="BS29" s="4">
        <v>889</v>
      </c>
      <c r="BT29" s="4">
        <v>1912</v>
      </c>
      <c r="BU29" s="4">
        <v>814</v>
      </c>
      <c r="BV29" s="4">
        <v>19</v>
      </c>
      <c r="BW29" s="4">
        <v>13549</v>
      </c>
      <c r="BX29" s="4">
        <v>7084</v>
      </c>
      <c r="BY29" s="4">
        <v>6258</v>
      </c>
      <c r="BZ29" s="4">
        <v>4281</v>
      </c>
      <c r="CA29" s="4">
        <v>207</v>
      </c>
      <c r="CB29" s="4">
        <v>643</v>
      </c>
      <c r="CC29" s="4">
        <v>23</v>
      </c>
      <c r="CD29" s="4">
        <v>452</v>
      </c>
      <c r="CE29" s="4">
        <v>8</v>
      </c>
      <c r="CF29" s="4">
        <v>45</v>
      </c>
      <c r="CG29" s="4">
        <v>217</v>
      </c>
      <c r="CH29" s="4">
        <v>621</v>
      </c>
      <c r="CI29" s="4">
        <v>473</v>
      </c>
      <c r="CJ29" s="4">
        <v>148</v>
      </c>
      <c r="CK29" s="4">
        <v>424</v>
      </c>
      <c r="CL29" s="4">
        <v>257</v>
      </c>
      <c r="CM29" s="4">
        <v>143</v>
      </c>
      <c r="CN29" s="4">
        <v>182</v>
      </c>
      <c r="CO29" s="4">
        <v>171</v>
      </c>
      <c r="CP29" s="4">
        <v>10</v>
      </c>
      <c r="CQ29" s="4">
        <v>0.2</v>
      </c>
      <c r="CR29" s="4">
        <v>20</v>
      </c>
      <c r="CS29" s="4">
        <v>6730</v>
      </c>
      <c r="CT29" s="4">
        <v>67.3</v>
      </c>
      <c r="CU29" s="4">
        <v>12.8</v>
      </c>
      <c r="CV29" s="4">
        <v>43.4</v>
      </c>
      <c r="CW29" s="4">
        <v>383</v>
      </c>
      <c r="CX29" s="4">
        <v>32.700000000000003</v>
      </c>
      <c r="CY29" s="4">
        <v>788</v>
      </c>
      <c r="CZ29" s="4">
        <v>67.3</v>
      </c>
      <c r="DA29" s="4">
        <v>14.1</v>
      </c>
      <c r="DB29" s="4">
        <v>726</v>
      </c>
      <c r="DC29" s="4">
        <v>62</v>
      </c>
      <c r="DD29" s="4">
        <v>2.4</v>
      </c>
      <c r="DE29" s="4">
        <v>734</v>
      </c>
      <c r="DF29" s="4">
        <v>45</v>
      </c>
      <c r="DG29" s="4">
        <v>28.2</v>
      </c>
      <c r="DH29" s="4">
        <v>37.299999999999997</v>
      </c>
      <c r="DI29" s="4">
        <v>52.6</v>
      </c>
      <c r="DJ29" s="4">
        <v>18.5</v>
      </c>
      <c r="DK29" s="43">
        <v>53</v>
      </c>
    </row>
    <row r="30" spans="1:115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813</v>
      </c>
      <c r="I30" s="4">
        <v>721</v>
      </c>
      <c r="J30" s="4">
        <v>4</v>
      </c>
      <c r="K30" s="4">
        <v>89</v>
      </c>
      <c r="L30" s="4">
        <v>622</v>
      </c>
      <c r="M30" s="4">
        <v>191</v>
      </c>
      <c r="N30" s="4">
        <v>23</v>
      </c>
      <c r="O30" s="4">
        <v>99</v>
      </c>
      <c r="P30" s="4">
        <v>126</v>
      </c>
      <c r="Q30" s="4">
        <v>157</v>
      </c>
      <c r="R30" s="4">
        <v>316</v>
      </c>
      <c r="S30" s="4">
        <v>3007</v>
      </c>
      <c r="T30" s="4">
        <v>542</v>
      </c>
      <c r="U30" s="4">
        <v>2526</v>
      </c>
      <c r="V30" s="4">
        <v>179</v>
      </c>
      <c r="W30" s="4">
        <v>481</v>
      </c>
      <c r="X30" s="4">
        <v>10</v>
      </c>
      <c r="Y30" s="4">
        <v>71</v>
      </c>
      <c r="Z30" s="4">
        <v>127</v>
      </c>
      <c r="AA30" s="4">
        <v>194</v>
      </c>
      <c r="AB30" s="4">
        <v>221</v>
      </c>
      <c r="AC30" s="4">
        <v>85</v>
      </c>
      <c r="AD30" s="4">
        <v>11</v>
      </c>
      <c r="AE30" s="4">
        <v>721</v>
      </c>
      <c r="AF30" s="4">
        <v>26</v>
      </c>
      <c r="AG30" s="4">
        <v>463</v>
      </c>
      <c r="AH30" s="4">
        <v>90</v>
      </c>
      <c r="AI30" s="4">
        <v>66</v>
      </c>
      <c r="AJ30" s="4">
        <v>24</v>
      </c>
      <c r="AK30" s="4">
        <v>51</v>
      </c>
      <c r="AL30" s="4">
        <v>542</v>
      </c>
      <c r="AM30" s="4">
        <v>20</v>
      </c>
      <c r="AN30" s="4">
        <v>408</v>
      </c>
      <c r="AO30" s="4">
        <v>35</v>
      </c>
      <c r="AP30" s="4">
        <v>56</v>
      </c>
      <c r="AQ30" s="4">
        <v>14</v>
      </c>
      <c r="AR30" s="4">
        <v>10</v>
      </c>
      <c r="AS30" s="4">
        <v>179</v>
      </c>
      <c r="AT30" s="4">
        <v>6</v>
      </c>
      <c r="AU30" s="4">
        <v>56</v>
      </c>
      <c r="AV30" s="4">
        <v>55</v>
      </c>
      <c r="AW30" s="4">
        <v>10</v>
      </c>
      <c r="AX30" s="4">
        <v>10</v>
      </c>
      <c r="AY30" s="4">
        <v>41</v>
      </c>
      <c r="AZ30" s="4">
        <v>721</v>
      </c>
      <c r="BA30" s="4">
        <v>94</v>
      </c>
      <c r="BB30" s="4">
        <v>123</v>
      </c>
      <c r="BC30" s="4">
        <v>144</v>
      </c>
      <c r="BD30" s="4">
        <v>360</v>
      </c>
      <c r="BE30" s="4">
        <v>2270</v>
      </c>
      <c r="BF30" s="4">
        <v>301</v>
      </c>
      <c r="BG30" s="4">
        <v>347</v>
      </c>
      <c r="BH30" s="4">
        <v>509</v>
      </c>
      <c r="BI30" s="4">
        <v>1113</v>
      </c>
      <c r="BJ30" s="4">
        <v>392</v>
      </c>
      <c r="BK30" s="4">
        <v>416</v>
      </c>
      <c r="BL30" s="4">
        <v>604</v>
      </c>
      <c r="BM30" s="4">
        <v>1595</v>
      </c>
      <c r="BN30" s="4">
        <v>272</v>
      </c>
      <c r="BO30" s="4">
        <v>442</v>
      </c>
      <c r="BP30" s="4">
        <v>174</v>
      </c>
      <c r="BQ30" s="4">
        <v>7</v>
      </c>
      <c r="BR30" s="4">
        <v>2270</v>
      </c>
      <c r="BS30" s="4">
        <v>903</v>
      </c>
      <c r="BT30" s="4">
        <v>1343</v>
      </c>
      <c r="BU30" s="4">
        <v>371</v>
      </c>
      <c r="BV30" s="4">
        <v>24</v>
      </c>
      <c r="BW30" s="4">
        <v>9606</v>
      </c>
      <c r="BX30" s="4">
        <v>5325</v>
      </c>
      <c r="BY30" s="4">
        <v>4251</v>
      </c>
      <c r="BZ30" s="4">
        <v>1982</v>
      </c>
      <c r="CA30" s="4">
        <v>30</v>
      </c>
      <c r="CB30" s="4">
        <v>534</v>
      </c>
      <c r="CC30" s="4">
        <v>7</v>
      </c>
      <c r="CD30" s="4">
        <v>164</v>
      </c>
      <c r="CE30" s="4">
        <v>4</v>
      </c>
      <c r="CF30" s="4">
        <v>12</v>
      </c>
      <c r="CG30" s="4">
        <v>155</v>
      </c>
      <c r="CH30" s="4">
        <v>437</v>
      </c>
      <c r="CI30" s="4">
        <v>327</v>
      </c>
      <c r="CJ30" s="4">
        <v>110</v>
      </c>
      <c r="CK30" s="4">
        <v>226</v>
      </c>
      <c r="CL30" s="4">
        <v>180</v>
      </c>
      <c r="CM30" s="4">
        <v>97</v>
      </c>
      <c r="CN30" s="4">
        <v>123</v>
      </c>
      <c r="CO30" s="4">
        <v>94</v>
      </c>
      <c r="CP30" s="4">
        <v>30</v>
      </c>
      <c r="CQ30" s="4">
        <v>0.2</v>
      </c>
      <c r="CR30" s="4">
        <v>20</v>
      </c>
      <c r="CS30" s="4">
        <v>4065</v>
      </c>
      <c r="CT30" s="4">
        <v>40.6</v>
      </c>
      <c r="CU30" s="4">
        <v>10.9</v>
      </c>
      <c r="CV30" s="4">
        <v>76.5</v>
      </c>
      <c r="CW30" s="4">
        <v>122</v>
      </c>
      <c r="CX30" s="4">
        <v>16.899999999999999</v>
      </c>
      <c r="CY30" s="4">
        <v>599</v>
      </c>
      <c r="CZ30" s="4">
        <v>83.1</v>
      </c>
      <c r="DA30" s="4">
        <v>13</v>
      </c>
      <c r="DB30" s="4">
        <v>361</v>
      </c>
      <c r="DC30" s="4">
        <v>50.1</v>
      </c>
      <c r="DD30" s="4">
        <v>3.1</v>
      </c>
      <c r="DE30" s="4">
        <v>547</v>
      </c>
      <c r="DF30" s="4">
        <v>49.7</v>
      </c>
      <c r="DG30" s="4">
        <v>37.700000000000003</v>
      </c>
      <c r="DH30" s="4">
        <v>24.1</v>
      </c>
      <c r="DI30" s="4">
        <v>39.4</v>
      </c>
      <c r="DJ30" s="4">
        <v>21.5</v>
      </c>
      <c r="DK30" s="43">
        <v>60.6</v>
      </c>
    </row>
    <row r="31" spans="1:115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939</v>
      </c>
      <c r="I31" s="4">
        <v>817</v>
      </c>
      <c r="J31" s="4">
        <v>0</v>
      </c>
      <c r="K31" s="4">
        <v>123</v>
      </c>
      <c r="L31" s="4">
        <v>613</v>
      </c>
      <c r="M31" s="4">
        <v>326</v>
      </c>
      <c r="N31" s="4">
        <v>11</v>
      </c>
      <c r="O31" s="4">
        <v>57</v>
      </c>
      <c r="P31" s="4">
        <v>168</v>
      </c>
      <c r="Q31" s="4">
        <v>272</v>
      </c>
      <c r="R31" s="4">
        <v>309</v>
      </c>
      <c r="S31" s="4">
        <v>3479</v>
      </c>
      <c r="T31" s="4">
        <v>548</v>
      </c>
      <c r="U31" s="4">
        <v>2557</v>
      </c>
      <c r="V31" s="4">
        <v>269</v>
      </c>
      <c r="W31" s="4">
        <v>923</v>
      </c>
      <c r="X31" s="4">
        <v>3</v>
      </c>
      <c r="Y31" s="4">
        <v>40</v>
      </c>
      <c r="Z31" s="4">
        <v>116</v>
      </c>
      <c r="AA31" s="4">
        <v>244</v>
      </c>
      <c r="AB31" s="4">
        <v>291</v>
      </c>
      <c r="AC31" s="4">
        <v>74</v>
      </c>
      <c r="AD31" s="4">
        <v>49</v>
      </c>
      <c r="AE31" s="4">
        <v>816</v>
      </c>
      <c r="AF31" s="4">
        <v>40</v>
      </c>
      <c r="AG31" s="4">
        <v>484</v>
      </c>
      <c r="AH31" s="4">
        <v>35</v>
      </c>
      <c r="AI31" s="4">
        <v>6</v>
      </c>
      <c r="AJ31" s="4">
        <v>26</v>
      </c>
      <c r="AK31" s="4">
        <v>223</v>
      </c>
      <c r="AL31" s="4">
        <v>547</v>
      </c>
      <c r="AM31" s="4">
        <v>23</v>
      </c>
      <c r="AN31" s="4">
        <v>447</v>
      </c>
      <c r="AO31" s="4">
        <v>30</v>
      </c>
      <c r="AP31" s="4">
        <v>6</v>
      </c>
      <c r="AQ31" s="4">
        <v>17</v>
      </c>
      <c r="AR31" s="4">
        <v>23</v>
      </c>
      <c r="AS31" s="4">
        <v>269</v>
      </c>
      <c r="AT31" s="4">
        <v>17</v>
      </c>
      <c r="AU31" s="4">
        <v>37</v>
      </c>
      <c r="AV31" s="4">
        <v>5</v>
      </c>
      <c r="AW31" s="4">
        <v>0</v>
      </c>
      <c r="AX31" s="4">
        <v>9</v>
      </c>
      <c r="AY31" s="4">
        <v>201</v>
      </c>
      <c r="AZ31" s="4">
        <v>817</v>
      </c>
      <c r="BA31" s="4">
        <v>105</v>
      </c>
      <c r="BB31" s="4">
        <v>211</v>
      </c>
      <c r="BC31" s="4">
        <v>182</v>
      </c>
      <c r="BD31" s="4">
        <v>319</v>
      </c>
      <c r="BE31" s="4">
        <v>2635</v>
      </c>
      <c r="BF31" s="4">
        <v>342</v>
      </c>
      <c r="BG31" s="4">
        <v>745</v>
      </c>
      <c r="BH31" s="4">
        <v>603</v>
      </c>
      <c r="BI31" s="4">
        <v>946</v>
      </c>
      <c r="BJ31" s="4">
        <v>416</v>
      </c>
      <c r="BK31" s="4">
        <v>877</v>
      </c>
      <c r="BL31" s="4">
        <v>701</v>
      </c>
      <c r="BM31" s="4">
        <v>1486</v>
      </c>
      <c r="BN31" s="4">
        <v>303</v>
      </c>
      <c r="BO31" s="4">
        <v>500</v>
      </c>
      <c r="BP31" s="4">
        <v>194</v>
      </c>
      <c r="BQ31" s="4">
        <v>14</v>
      </c>
      <c r="BR31" s="4">
        <v>2635</v>
      </c>
      <c r="BS31" s="4">
        <v>852</v>
      </c>
      <c r="BT31" s="4">
        <v>1758</v>
      </c>
      <c r="BU31" s="4">
        <v>654</v>
      </c>
      <c r="BV31" s="4">
        <v>26</v>
      </c>
      <c r="BW31" s="4">
        <v>9546</v>
      </c>
      <c r="BX31" s="4">
        <v>6241</v>
      </c>
      <c r="BY31" s="4">
        <v>3165</v>
      </c>
      <c r="BZ31" s="4">
        <v>1505</v>
      </c>
      <c r="CA31" s="4">
        <v>140</v>
      </c>
      <c r="CB31" s="4">
        <v>451</v>
      </c>
      <c r="CC31" s="4">
        <v>15</v>
      </c>
      <c r="CD31" s="4">
        <v>274</v>
      </c>
      <c r="CE31" s="4">
        <v>43</v>
      </c>
      <c r="CF31" s="4">
        <v>35</v>
      </c>
      <c r="CG31" s="4">
        <v>221</v>
      </c>
      <c r="CH31" s="4">
        <v>547</v>
      </c>
      <c r="CI31" s="4">
        <v>413</v>
      </c>
      <c r="CJ31" s="4">
        <v>134</v>
      </c>
      <c r="CK31" s="4">
        <v>199</v>
      </c>
      <c r="CL31" s="4">
        <v>151</v>
      </c>
      <c r="CM31" s="4">
        <v>128</v>
      </c>
      <c r="CN31" s="4">
        <v>91</v>
      </c>
      <c r="CO31" s="4">
        <v>97</v>
      </c>
      <c r="CP31" s="4">
        <v>39</v>
      </c>
      <c r="CQ31" s="4">
        <v>0.2</v>
      </c>
      <c r="CR31" s="4">
        <v>20</v>
      </c>
      <c r="CS31" s="4">
        <v>4695</v>
      </c>
      <c r="CT31" s="4">
        <v>47</v>
      </c>
      <c r="CU31" s="4">
        <v>13.1</v>
      </c>
      <c r="CV31" s="4">
        <v>65.3</v>
      </c>
      <c r="CW31" s="4">
        <v>68</v>
      </c>
      <c r="CX31" s="4">
        <v>8.3000000000000007</v>
      </c>
      <c r="CY31" s="4">
        <v>749</v>
      </c>
      <c r="CZ31" s="4">
        <v>91.7</v>
      </c>
      <c r="DA31" s="4">
        <v>12.9</v>
      </c>
      <c r="DB31" s="4">
        <v>498</v>
      </c>
      <c r="DC31" s="4">
        <v>61</v>
      </c>
      <c r="DD31" s="4">
        <v>3.2</v>
      </c>
      <c r="DE31" s="4">
        <v>623</v>
      </c>
      <c r="DF31" s="4">
        <v>48.6</v>
      </c>
      <c r="DG31" s="4">
        <v>37.1</v>
      </c>
      <c r="DH31" s="4">
        <v>23.7</v>
      </c>
      <c r="DI31" s="4">
        <v>38.799999999999997</v>
      </c>
      <c r="DJ31" s="4">
        <v>27.1</v>
      </c>
      <c r="DK31" s="43">
        <v>67</v>
      </c>
    </row>
    <row r="32" spans="1:115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875</v>
      </c>
      <c r="I32" s="4">
        <v>759</v>
      </c>
      <c r="J32" s="4">
        <v>3</v>
      </c>
      <c r="K32" s="4">
        <v>113</v>
      </c>
      <c r="L32" s="4">
        <v>546</v>
      </c>
      <c r="M32" s="4">
        <v>330</v>
      </c>
      <c r="N32" s="4">
        <v>177</v>
      </c>
      <c r="O32" s="4">
        <v>63</v>
      </c>
      <c r="P32" s="4">
        <v>72</v>
      </c>
      <c r="Q32" s="4">
        <v>138</v>
      </c>
      <c r="R32" s="4">
        <v>310</v>
      </c>
      <c r="S32" s="4">
        <v>2842</v>
      </c>
      <c r="T32" s="4">
        <v>468</v>
      </c>
      <c r="U32" s="4">
        <v>2341</v>
      </c>
      <c r="V32" s="4">
        <v>292</v>
      </c>
      <c r="W32" s="4">
        <v>502</v>
      </c>
      <c r="X32" s="4">
        <v>163</v>
      </c>
      <c r="Y32" s="4">
        <v>46</v>
      </c>
      <c r="Z32" s="4">
        <v>101</v>
      </c>
      <c r="AA32" s="4">
        <v>160</v>
      </c>
      <c r="AB32" s="4">
        <v>159</v>
      </c>
      <c r="AC32" s="4">
        <v>87</v>
      </c>
      <c r="AD32" s="4">
        <v>43</v>
      </c>
      <c r="AE32" s="4">
        <v>759</v>
      </c>
      <c r="AF32" s="4">
        <v>55</v>
      </c>
      <c r="AG32" s="4">
        <v>451</v>
      </c>
      <c r="AH32" s="4">
        <v>58</v>
      </c>
      <c r="AI32" s="4">
        <v>32</v>
      </c>
      <c r="AJ32" s="4">
        <v>9</v>
      </c>
      <c r="AK32" s="4">
        <v>153</v>
      </c>
      <c r="AL32" s="4">
        <v>468</v>
      </c>
      <c r="AM32" s="4">
        <v>42</v>
      </c>
      <c r="AN32" s="4">
        <v>369</v>
      </c>
      <c r="AO32" s="4">
        <v>35</v>
      </c>
      <c r="AP32" s="4">
        <v>14</v>
      </c>
      <c r="AQ32" s="4">
        <v>6</v>
      </c>
      <c r="AR32" s="4">
        <v>1</v>
      </c>
      <c r="AS32" s="4">
        <v>292</v>
      </c>
      <c r="AT32" s="4">
        <v>13</v>
      </c>
      <c r="AU32" s="4">
        <v>82</v>
      </c>
      <c r="AV32" s="4">
        <v>23</v>
      </c>
      <c r="AW32" s="4">
        <v>18</v>
      </c>
      <c r="AX32" s="4">
        <v>3</v>
      </c>
      <c r="AY32" s="4">
        <v>152</v>
      </c>
      <c r="AZ32" s="4">
        <v>759</v>
      </c>
      <c r="BA32" s="4">
        <v>96</v>
      </c>
      <c r="BB32" s="4">
        <v>183</v>
      </c>
      <c r="BC32" s="4">
        <v>182</v>
      </c>
      <c r="BD32" s="4">
        <v>298</v>
      </c>
      <c r="BE32" s="4">
        <v>2012</v>
      </c>
      <c r="BF32" s="4">
        <v>264</v>
      </c>
      <c r="BG32" s="4">
        <v>399</v>
      </c>
      <c r="BH32" s="4">
        <v>449</v>
      </c>
      <c r="BI32" s="4">
        <v>900</v>
      </c>
      <c r="BJ32" s="4">
        <v>291</v>
      </c>
      <c r="BK32" s="4">
        <v>504</v>
      </c>
      <c r="BL32" s="4">
        <v>534</v>
      </c>
      <c r="BM32" s="4">
        <v>1513</v>
      </c>
      <c r="BN32" s="4">
        <v>296</v>
      </c>
      <c r="BO32" s="4">
        <v>456</v>
      </c>
      <c r="BP32" s="4">
        <v>176</v>
      </c>
      <c r="BQ32" s="4">
        <v>7</v>
      </c>
      <c r="BR32" s="4">
        <v>2012</v>
      </c>
      <c r="BS32" s="4">
        <v>863</v>
      </c>
      <c r="BT32" s="4">
        <v>1129</v>
      </c>
      <c r="BU32" s="4">
        <v>273</v>
      </c>
      <c r="BV32" s="4">
        <v>19</v>
      </c>
      <c r="BW32" s="4">
        <v>9055</v>
      </c>
      <c r="BX32" s="4">
        <v>6296</v>
      </c>
      <c r="BY32" s="4">
        <v>2620</v>
      </c>
      <c r="BZ32" s="4">
        <v>1045</v>
      </c>
      <c r="CA32" s="4">
        <v>140</v>
      </c>
      <c r="CB32" s="4">
        <v>553</v>
      </c>
      <c r="CC32" s="4">
        <v>0</v>
      </c>
      <c r="CD32" s="4">
        <v>151</v>
      </c>
      <c r="CE32" s="4">
        <v>11</v>
      </c>
      <c r="CF32" s="4">
        <v>45</v>
      </c>
      <c r="CG32" s="4">
        <v>65</v>
      </c>
      <c r="CH32" s="4">
        <v>406</v>
      </c>
      <c r="CI32" s="4">
        <v>320</v>
      </c>
      <c r="CJ32" s="4">
        <v>86</v>
      </c>
      <c r="CK32" s="4">
        <v>166</v>
      </c>
      <c r="CL32" s="4">
        <v>78</v>
      </c>
      <c r="CM32" s="4">
        <v>151</v>
      </c>
      <c r="CN32" s="4">
        <v>140</v>
      </c>
      <c r="CO32" s="4">
        <v>110</v>
      </c>
      <c r="CP32" s="4">
        <v>15</v>
      </c>
      <c r="CQ32" s="4">
        <v>0.3</v>
      </c>
      <c r="CR32" s="4">
        <v>30</v>
      </c>
      <c r="CS32" s="4">
        <v>2916.7</v>
      </c>
      <c r="CT32" s="4">
        <v>29.2</v>
      </c>
      <c r="CU32" s="4">
        <v>12.9</v>
      </c>
      <c r="CV32" s="4">
        <v>62.4</v>
      </c>
      <c r="CW32" s="4">
        <v>240</v>
      </c>
      <c r="CX32" s="4">
        <v>31.6</v>
      </c>
      <c r="CY32" s="4">
        <v>520</v>
      </c>
      <c r="CZ32" s="4">
        <v>68.5</v>
      </c>
      <c r="DA32" s="4">
        <v>12.6</v>
      </c>
      <c r="DB32" s="4">
        <v>461</v>
      </c>
      <c r="DC32" s="4">
        <v>60.7</v>
      </c>
      <c r="DD32" s="4">
        <v>2.7</v>
      </c>
      <c r="DE32" s="4">
        <v>583</v>
      </c>
      <c r="DF32" s="4">
        <v>50.8</v>
      </c>
      <c r="DG32" s="4">
        <v>39</v>
      </c>
      <c r="DH32" s="4">
        <v>23.2</v>
      </c>
      <c r="DI32" s="4">
        <v>38.6</v>
      </c>
      <c r="DJ32" s="4">
        <v>8.6</v>
      </c>
      <c r="DK32" s="43">
        <v>53.5</v>
      </c>
    </row>
    <row r="33" spans="1:115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159</v>
      </c>
      <c r="I33" s="4">
        <v>153</v>
      </c>
      <c r="J33" s="4">
        <v>0</v>
      </c>
      <c r="K33" s="4">
        <v>7</v>
      </c>
      <c r="L33" s="4">
        <v>2</v>
      </c>
      <c r="M33" s="4">
        <v>156</v>
      </c>
      <c r="N33" s="4">
        <v>0</v>
      </c>
      <c r="O33" s="4">
        <v>20</v>
      </c>
      <c r="P33" s="4">
        <v>71</v>
      </c>
      <c r="Q33" s="4">
        <v>47</v>
      </c>
      <c r="R33" s="4">
        <v>16</v>
      </c>
      <c r="S33" s="4">
        <v>520</v>
      </c>
      <c r="T33" s="4">
        <v>2</v>
      </c>
      <c r="U33" s="4">
        <v>12</v>
      </c>
      <c r="V33" s="4">
        <v>150</v>
      </c>
      <c r="W33" s="4">
        <v>506</v>
      </c>
      <c r="X33" s="4">
        <v>0</v>
      </c>
      <c r="Y33" s="4">
        <v>7</v>
      </c>
      <c r="Z33" s="4">
        <v>34</v>
      </c>
      <c r="AA33" s="4">
        <v>86</v>
      </c>
      <c r="AB33" s="4">
        <v>21</v>
      </c>
      <c r="AC33" s="4">
        <v>3</v>
      </c>
      <c r="AD33" s="4">
        <v>3</v>
      </c>
      <c r="AE33" s="4">
        <v>131</v>
      </c>
      <c r="AF33" s="4">
        <v>0</v>
      </c>
      <c r="AG33" s="4">
        <v>0</v>
      </c>
      <c r="AH33" s="4">
        <v>37</v>
      </c>
      <c r="AI33" s="4">
        <v>18</v>
      </c>
      <c r="AJ33" s="4">
        <v>6</v>
      </c>
      <c r="AK33" s="4">
        <v>71</v>
      </c>
      <c r="AL33" s="4">
        <v>2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2</v>
      </c>
      <c r="AS33" s="4">
        <v>128</v>
      </c>
      <c r="AT33" s="4">
        <v>0</v>
      </c>
      <c r="AU33" s="4">
        <v>0</v>
      </c>
      <c r="AV33" s="4">
        <v>37</v>
      </c>
      <c r="AW33" s="4">
        <v>18</v>
      </c>
      <c r="AX33" s="4">
        <v>6</v>
      </c>
      <c r="AY33" s="4">
        <v>68</v>
      </c>
      <c r="AZ33" s="4">
        <v>153</v>
      </c>
      <c r="BA33" s="4">
        <v>15</v>
      </c>
      <c r="BB33" s="4">
        <v>54</v>
      </c>
      <c r="BC33" s="4">
        <v>40</v>
      </c>
      <c r="BD33" s="4">
        <v>44</v>
      </c>
      <c r="BE33" s="4">
        <v>402</v>
      </c>
      <c r="BF33" s="4">
        <v>36</v>
      </c>
      <c r="BG33" s="4">
        <v>133</v>
      </c>
      <c r="BH33" s="4">
        <v>125</v>
      </c>
      <c r="BI33" s="4">
        <v>108</v>
      </c>
      <c r="BJ33" s="4">
        <v>48</v>
      </c>
      <c r="BK33" s="4">
        <v>172</v>
      </c>
      <c r="BL33" s="4">
        <v>136</v>
      </c>
      <c r="BM33" s="4">
        <v>164</v>
      </c>
      <c r="BN33" s="4">
        <v>5</v>
      </c>
      <c r="BO33" s="4">
        <v>146</v>
      </c>
      <c r="BP33" s="4">
        <v>103</v>
      </c>
      <c r="BQ33" s="4">
        <v>2</v>
      </c>
      <c r="BR33" s="4">
        <v>402</v>
      </c>
      <c r="BS33" s="4">
        <v>7</v>
      </c>
      <c r="BT33" s="4">
        <v>390</v>
      </c>
      <c r="BU33" s="4">
        <v>286</v>
      </c>
      <c r="BV33" s="4">
        <v>4</v>
      </c>
      <c r="BW33" s="4">
        <v>1254</v>
      </c>
      <c r="BX33" s="4">
        <v>55</v>
      </c>
      <c r="BY33" s="4">
        <v>1163</v>
      </c>
      <c r="BZ33" s="4">
        <v>653</v>
      </c>
      <c r="CA33" s="4">
        <v>36</v>
      </c>
      <c r="CB33" s="4">
        <v>128</v>
      </c>
      <c r="CC33" s="4">
        <v>5</v>
      </c>
      <c r="CD33" s="4">
        <v>16</v>
      </c>
      <c r="CE33" s="4">
        <v>0</v>
      </c>
      <c r="CF33" s="4">
        <v>4</v>
      </c>
      <c r="CG33" s="4">
        <v>61</v>
      </c>
      <c r="CH33" s="4">
        <v>99</v>
      </c>
      <c r="CI33" s="4">
        <v>78</v>
      </c>
      <c r="CJ33" s="4">
        <v>20</v>
      </c>
      <c r="CK33" s="4">
        <v>93</v>
      </c>
      <c r="CL33" s="4">
        <v>44</v>
      </c>
      <c r="CM33" s="4">
        <v>6</v>
      </c>
      <c r="CN33" s="4">
        <v>14</v>
      </c>
      <c r="CO33" s="4">
        <v>20</v>
      </c>
      <c r="CP33" s="4">
        <v>4</v>
      </c>
      <c r="CQ33" s="4">
        <v>0.1</v>
      </c>
      <c r="CR33" s="4">
        <v>10</v>
      </c>
      <c r="CS33" s="4">
        <v>1590</v>
      </c>
      <c r="CT33" s="4">
        <v>15.9</v>
      </c>
      <c r="CU33" s="4">
        <v>4.4000000000000004</v>
      </c>
      <c r="CV33" s="4">
        <v>1.3</v>
      </c>
      <c r="CW33" s="4">
        <v>20</v>
      </c>
      <c r="CX33" s="4">
        <v>13.1</v>
      </c>
      <c r="CY33" s="4">
        <v>134</v>
      </c>
      <c r="CZ33" s="4">
        <v>87.6</v>
      </c>
      <c r="DA33" s="4">
        <v>9.8000000000000007</v>
      </c>
      <c r="DB33" s="4">
        <v>109</v>
      </c>
      <c r="DC33" s="4">
        <v>71.2</v>
      </c>
      <c r="DD33" s="4">
        <v>2.6</v>
      </c>
      <c r="DE33" s="4">
        <v>50</v>
      </c>
      <c r="DF33" s="4">
        <v>10</v>
      </c>
      <c r="DG33" s="4">
        <v>3.3</v>
      </c>
      <c r="DH33" s="4">
        <v>67.3</v>
      </c>
      <c r="DI33" s="4">
        <v>70.5</v>
      </c>
      <c r="DJ33" s="4">
        <v>39.9</v>
      </c>
      <c r="DK33" s="43">
        <v>64.7</v>
      </c>
    </row>
    <row r="34" spans="1:115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915</v>
      </c>
      <c r="I34" s="4">
        <v>812</v>
      </c>
      <c r="J34" s="4">
        <v>3</v>
      </c>
      <c r="K34" s="4">
        <v>100</v>
      </c>
      <c r="L34" s="4">
        <v>93</v>
      </c>
      <c r="M34" s="4">
        <v>819</v>
      </c>
      <c r="N34" s="4">
        <v>3</v>
      </c>
      <c r="O34" s="4">
        <v>144</v>
      </c>
      <c r="P34" s="4">
        <v>312</v>
      </c>
      <c r="Q34" s="4">
        <v>234</v>
      </c>
      <c r="R34" s="4">
        <v>119</v>
      </c>
      <c r="S34" s="4">
        <v>2820</v>
      </c>
      <c r="T34" s="4">
        <v>87</v>
      </c>
      <c r="U34" s="4">
        <v>406</v>
      </c>
      <c r="V34" s="4">
        <v>722</v>
      </c>
      <c r="W34" s="4">
        <v>2401</v>
      </c>
      <c r="X34" s="4">
        <v>3</v>
      </c>
      <c r="Y34" s="4">
        <v>28</v>
      </c>
      <c r="Z34" s="4">
        <v>269</v>
      </c>
      <c r="AA34" s="4">
        <v>305</v>
      </c>
      <c r="AB34" s="4">
        <v>157</v>
      </c>
      <c r="AC34" s="4">
        <v>35</v>
      </c>
      <c r="AD34" s="4">
        <v>15</v>
      </c>
      <c r="AE34" s="4">
        <v>812</v>
      </c>
      <c r="AF34" s="4">
        <v>0</v>
      </c>
      <c r="AG34" s="4">
        <v>136</v>
      </c>
      <c r="AH34" s="4">
        <v>305</v>
      </c>
      <c r="AI34" s="4">
        <v>169</v>
      </c>
      <c r="AJ34" s="4">
        <v>41</v>
      </c>
      <c r="AK34" s="4">
        <v>160</v>
      </c>
      <c r="AL34" s="4">
        <v>87</v>
      </c>
      <c r="AM34" s="4">
        <v>0</v>
      </c>
      <c r="AN34" s="4">
        <v>46</v>
      </c>
      <c r="AO34" s="4">
        <v>28</v>
      </c>
      <c r="AP34" s="4">
        <v>7</v>
      </c>
      <c r="AQ34" s="4">
        <v>6</v>
      </c>
      <c r="AR34" s="4">
        <v>0</v>
      </c>
      <c r="AS34" s="4">
        <v>722</v>
      </c>
      <c r="AT34" s="4">
        <v>0</v>
      </c>
      <c r="AU34" s="4">
        <v>90</v>
      </c>
      <c r="AV34" s="4">
        <v>277</v>
      </c>
      <c r="AW34" s="4">
        <v>163</v>
      </c>
      <c r="AX34" s="4">
        <v>36</v>
      </c>
      <c r="AY34" s="4">
        <v>157</v>
      </c>
      <c r="AZ34" s="4">
        <v>812</v>
      </c>
      <c r="BA34" s="4">
        <v>64</v>
      </c>
      <c r="BB34" s="4">
        <v>137</v>
      </c>
      <c r="BC34" s="4">
        <v>290</v>
      </c>
      <c r="BD34" s="4">
        <v>320</v>
      </c>
      <c r="BE34" s="4">
        <v>2341</v>
      </c>
      <c r="BF34" s="4">
        <v>186</v>
      </c>
      <c r="BG34" s="4">
        <v>378</v>
      </c>
      <c r="BH34" s="4">
        <v>879</v>
      </c>
      <c r="BI34" s="4">
        <v>897</v>
      </c>
      <c r="BJ34" s="4">
        <v>227</v>
      </c>
      <c r="BK34" s="4">
        <v>434</v>
      </c>
      <c r="BL34" s="4">
        <v>940</v>
      </c>
      <c r="BM34" s="4">
        <v>1219</v>
      </c>
      <c r="BN34" s="4">
        <v>101</v>
      </c>
      <c r="BO34" s="4">
        <v>711</v>
      </c>
      <c r="BP34" s="4">
        <v>587</v>
      </c>
      <c r="BQ34" s="4">
        <v>0</v>
      </c>
      <c r="BR34" s="4">
        <v>2341</v>
      </c>
      <c r="BS34" s="4">
        <v>232</v>
      </c>
      <c r="BT34" s="4">
        <v>2108</v>
      </c>
      <c r="BU34" s="4">
        <v>1731</v>
      </c>
      <c r="BV34" s="4">
        <v>0</v>
      </c>
      <c r="BW34" s="4">
        <v>8955</v>
      </c>
      <c r="BX34" s="4">
        <v>1790</v>
      </c>
      <c r="BY34" s="4">
        <v>7165</v>
      </c>
      <c r="BZ34" s="4">
        <v>6069</v>
      </c>
      <c r="CA34" s="4">
        <v>0</v>
      </c>
      <c r="CB34" s="4">
        <v>675</v>
      </c>
      <c r="CC34" s="4">
        <v>28</v>
      </c>
      <c r="CD34" s="4">
        <v>99</v>
      </c>
      <c r="CE34" s="4">
        <v>3</v>
      </c>
      <c r="CF34" s="4">
        <v>7</v>
      </c>
      <c r="CG34" s="4">
        <v>249</v>
      </c>
      <c r="CH34" s="4">
        <v>491</v>
      </c>
      <c r="CI34" s="4">
        <v>401</v>
      </c>
      <c r="CJ34" s="4">
        <v>90</v>
      </c>
      <c r="CK34" s="4">
        <v>306</v>
      </c>
      <c r="CL34" s="4">
        <v>173</v>
      </c>
      <c r="CM34" s="4">
        <v>68</v>
      </c>
      <c r="CN34" s="4">
        <v>52</v>
      </c>
      <c r="CO34" s="4">
        <v>147</v>
      </c>
      <c r="CP34" s="4">
        <v>62</v>
      </c>
      <c r="CQ34" s="4">
        <v>0.2</v>
      </c>
      <c r="CR34" s="4">
        <v>20</v>
      </c>
      <c r="CS34" s="4">
        <v>4575</v>
      </c>
      <c r="CT34" s="4">
        <v>45.8</v>
      </c>
      <c r="CU34" s="4">
        <v>10.9</v>
      </c>
      <c r="CV34" s="4">
        <v>10.199999999999999</v>
      </c>
      <c r="CW34" s="4">
        <v>147</v>
      </c>
      <c r="CX34" s="4">
        <v>18.100000000000001</v>
      </c>
      <c r="CY34" s="4">
        <v>665</v>
      </c>
      <c r="CZ34" s="4">
        <v>81.900000000000006</v>
      </c>
      <c r="DA34" s="4">
        <v>7.9</v>
      </c>
      <c r="DB34" s="4">
        <v>492</v>
      </c>
      <c r="DC34" s="4">
        <v>60.6</v>
      </c>
      <c r="DD34" s="4">
        <v>2.9</v>
      </c>
      <c r="DE34" s="4">
        <v>225</v>
      </c>
      <c r="DF34" s="4">
        <v>44.9</v>
      </c>
      <c r="DG34" s="4">
        <v>12.4</v>
      </c>
      <c r="DH34" s="4">
        <v>72.3</v>
      </c>
      <c r="DI34" s="4">
        <v>82.6</v>
      </c>
      <c r="DJ34" s="4">
        <v>30.7</v>
      </c>
      <c r="DK34" s="43">
        <v>60.5</v>
      </c>
    </row>
    <row r="35" spans="1:115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656</v>
      </c>
      <c r="I35" s="4">
        <v>611</v>
      </c>
      <c r="J35" s="4">
        <v>0</v>
      </c>
      <c r="K35" s="4">
        <v>45</v>
      </c>
      <c r="L35" s="4">
        <v>350</v>
      </c>
      <c r="M35" s="4">
        <v>302</v>
      </c>
      <c r="N35" s="4">
        <v>37</v>
      </c>
      <c r="O35" s="4">
        <v>112</v>
      </c>
      <c r="P35" s="4">
        <v>106</v>
      </c>
      <c r="Q35" s="4">
        <v>136</v>
      </c>
      <c r="R35" s="4">
        <v>221</v>
      </c>
      <c r="S35" s="4">
        <v>2362</v>
      </c>
      <c r="T35" s="4">
        <v>335</v>
      </c>
      <c r="U35" s="4">
        <v>1549</v>
      </c>
      <c r="V35" s="4">
        <v>273</v>
      </c>
      <c r="W35" s="4">
        <v>807</v>
      </c>
      <c r="X35" s="4">
        <v>9</v>
      </c>
      <c r="Y35" s="4">
        <v>35</v>
      </c>
      <c r="Z35" s="4">
        <v>135</v>
      </c>
      <c r="AA35" s="4">
        <v>167</v>
      </c>
      <c r="AB35" s="4">
        <v>174</v>
      </c>
      <c r="AC35" s="4">
        <v>64</v>
      </c>
      <c r="AD35" s="4">
        <v>27</v>
      </c>
      <c r="AE35" s="4">
        <v>611</v>
      </c>
      <c r="AF35" s="4">
        <v>37</v>
      </c>
      <c r="AG35" s="4">
        <v>224</v>
      </c>
      <c r="AH35" s="4">
        <v>85</v>
      </c>
      <c r="AI35" s="4">
        <v>207</v>
      </c>
      <c r="AJ35" s="4">
        <v>48</v>
      </c>
      <c r="AK35" s="4">
        <v>11</v>
      </c>
      <c r="AL35" s="4">
        <v>335</v>
      </c>
      <c r="AM35" s="4">
        <v>17</v>
      </c>
      <c r="AN35" s="4">
        <v>183</v>
      </c>
      <c r="AO35" s="4">
        <v>32</v>
      </c>
      <c r="AP35" s="4">
        <v>74</v>
      </c>
      <c r="AQ35" s="4">
        <v>18</v>
      </c>
      <c r="AR35" s="4">
        <v>11</v>
      </c>
      <c r="AS35" s="4">
        <v>273</v>
      </c>
      <c r="AT35" s="4">
        <v>20</v>
      </c>
      <c r="AU35" s="4">
        <v>41</v>
      </c>
      <c r="AV35" s="4">
        <v>49</v>
      </c>
      <c r="AW35" s="4">
        <v>133</v>
      </c>
      <c r="AX35" s="4">
        <v>29</v>
      </c>
      <c r="AY35" s="4">
        <v>0</v>
      </c>
      <c r="AZ35" s="4">
        <v>611</v>
      </c>
      <c r="BA35" s="4">
        <v>78</v>
      </c>
      <c r="BB35" s="4">
        <v>101</v>
      </c>
      <c r="BC35" s="4">
        <v>115</v>
      </c>
      <c r="BD35" s="4">
        <v>316</v>
      </c>
      <c r="BE35" s="4">
        <v>1490</v>
      </c>
      <c r="BF35" s="4">
        <v>179</v>
      </c>
      <c r="BG35" s="4">
        <v>218</v>
      </c>
      <c r="BH35" s="4">
        <v>333</v>
      </c>
      <c r="BI35" s="4">
        <v>761</v>
      </c>
      <c r="BJ35" s="4">
        <v>263</v>
      </c>
      <c r="BK35" s="4">
        <v>366</v>
      </c>
      <c r="BL35" s="4">
        <v>448</v>
      </c>
      <c r="BM35" s="4">
        <v>1285</v>
      </c>
      <c r="BN35" s="4">
        <v>238</v>
      </c>
      <c r="BO35" s="4">
        <v>355</v>
      </c>
      <c r="BP35" s="4">
        <v>234</v>
      </c>
      <c r="BQ35" s="4">
        <v>18</v>
      </c>
      <c r="BR35" s="4">
        <v>1490</v>
      </c>
      <c r="BS35" s="4">
        <v>697</v>
      </c>
      <c r="BT35" s="4">
        <v>764</v>
      </c>
      <c r="BU35" s="4">
        <v>506</v>
      </c>
      <c r="BV35" s="4">
        <v>30</v>
      </c>
      <c r="BW35" s="4">
        <v>8523</v>
      </c>
      <c r="BX35" s="4">
        <v>4554</v>
      </c>
      <c r="BY35" s="4">
        <v>3848</v>
      </c>
      <c r="BZ35" s="4">
        <v>2848</v>
      </c>
      <c r="CA35" s="4">
        <v>121</v>
      </c>
      <c r="CB35" s="4">
        <v>353</v>
      </c>
      <c r="CC35" s="4">
        <v>3</v>
      </c>
      <c r="CD35" s="4">
        <v>215</v>
      </c>
      <c r="CE35" s="4">
        <v>7</v>
      </c>
      <c r="CF35" s="4">
        <v>33</v>
      </c>
      <c r="CG35" s="4">
        <v>223</v>
      </c>
      <c r="CH35" s="4">
        <v>441</v>
      </c>
      <c r="CI35" s="4">
        <v>285</v>
      </c>
      <c r="CJ35" s="4">
        <v>157</v>
      </c>
      <c r="CK35" s="4">
        <v>186</v>
      </c>
      <c r="CL35" s="4">
        <v>141</v>
      </c>
      <c r="CM35" s="4">
        <v>155</v>
      </c>
      <c r="CN35" s="4">
        <v>91</v>
      </c>
      <c r="CO35" s="4">
        <v>65</v>
      </c>
      <c r="CP35" s="4">
        <v>5</v>
      </c>
      <c r="CQ35" s="4">
        <v>1</v>
      </c>
      <c r="CR35" s="4">
        <v>100</v>
      </c>
      <c r="CS35" s="4">
        <v>656</v>
      </c>
      <c r="CT35" s="4">
        <v>6.6</v>
      </c>
      <c r="CU35" s="4">
        <v>6.9</v>
      </c>
      <c r="CV35" s="4">
        <v>53.4</v>
      </c>
      <c r="CW35" s="4">
        <v>149</v>
      </c>
      <c r="CX35" s="4">
        <v>24.4</v>
      </c>
      <c r="CY35" s="4">
        <v>463</v>
      </c>
      <c r="CZ35" s="4">
        <v>75.8</v>
      </c>
      <c r="DA35" s="4">
        <v>12.8</v>
      </c>
      <c r="DB35" s="4">
        <v>295</v>
      </c>
      <c r="DC35" s="4">
        <v>48.3</v>
      </c>
      <c r="DD35" s="4">
        <v>2.4</v>
      </c>
      <c r="DE35" s="4">
        <v>377</v>
      </c>
      <c r="DF35" s="4">
        <v>63.1</v>
      </c>
      <c r="DG35" s="4">
        <v>39</v>
      </c>
      <c r="DH35" s="4">
        <v>38.299999999999997</v>
      </c>
      <c r="DI35" s="4">
        <v>65.900000000000006</v>
      </c>
      <c r="DJ35" s="4">
        <v>36.5</v>
      </c>
      <c r="DK35" s="43">
        <v>72.2</v>
      </c>
    </row>
    <row r="36" spans="1:115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1509</v>
      </c>
      <c r="I36" s="4">
        <v>1413</v>
      </c>
      <c r="J36" s="4">
        <v>4</v>
      </c>
      <c r="K36" s="4">
        <v>93</v>
      </c>
      <c r="L36" s="4">
        <v>866</v>
      </c>
      <c r="M36" s="4">
        <v>644</v>
      </c>
      <c r="N36" s="4">
        <v>22</v>
      </c>
      <c r="O36" s="4">
        <v>185</v>
      </c>
      <c r="P36" s="4">
        <v>327</v>
      </c>
      <c r="Q36" s="4">
        <v>291</v>
      </c>
      <c r="R36" s="4">
        <v>587</v>
      </c>
      <c r="S36" s="4">
        <v>5937</v>
      </c>
      <c r="T36" s="4">
        <v>814</v>
      </c>
      <c r="U36" s="4">
        <v>4126</v>
      </c>
      <c r="V36" s="4">
        <v>598</v>
      </c>
      <c r="W36" s="4">
        <v>1811</v>
      </c>
      <c r="X36" s="4">
        <v>21</v>
      </c>
      <c r="Y36" s="4">
        <v>84</v>
      </c>
      <c r="Z36" s="4">
        <v>360</v>
      </c>
      <c r="AA36" s="4">
        <v>321</v>
      </c>
      <c r="AB36" s="4">
        <v>298</v>
      </c>
      <c r="AC36" s="4">
        <v>169</v>
      </c>
      <c r="AD36" s="4">
        <v>161</v>
      </c>
      <c r="AE36" s="4">
        <v>1410</v>
      </c>
      <c r="AF36" s="4">
        <v>28</v>
      </c>
      <c r="AG36" s="4">
        <v>522</v>
      </c>
      <c r="AH36" s="4">
        <v>505</v>
      </c>
      <c r="AI36" s="4">
        <v>254</v>
      </c>
      <c r="AJ36" s="4">
        <v>73</v>
      </c>
      <c r="AK36" s="4">
        <v>29</v>
      </c>
      <c r="AL36" s="4">
        <v>812</v>
      </c>
      <c r="AM36" s="4">
        <v>20</v>
      </c>
      <c r="AN36" s="4">
        <v>431</v>
      </c>
      <c r="AO36" s="4">
        <v>195</v>
      </c>
      <c r="AP36" s="4">
        <v>100</v>
      </c>
      <c r="AQ36" s="4">
        <v>51</v>
      </c>
      <c r="AR36" s="4">
        <v>15</v>
      </c>
      <c r="AS36" s="4">
        <v>598</v>
      </c>
      <c r="AT36" s="4">
        <v>7</v>
      </c>
      <c r="AU36" s="4">
        <v>91</v>
      </c>
      <c r="AV36" s="4">
        <v>310</v>
      </c>
      <c r="AW36" s="4">
        <v>154</v>
      </c>
      <c r="AX36" s="4">
        <v>22</v>
      </c>
      <c r="AY36" s="4">
        <v>14</v>
      </c>
      <c r="AZ36" s="4">
        <v>1413</v>
      </c>
      <c r="BA36" s="4">
        <v>95</v>
      </c>
      <c r="BB36" s="4">
        <v>270</v>
      </c>
      <c r="BC36" s="4">
        <v>307</v>
      </c>
      <c r="BD36" s="4">
        <v>741</v>
      </c>
      <c r="BE36" s="4">
        <v>3515</v>
      </c>
      <c r="BF36" s="4">
        <v>216</v>
      </c>
      <c r="BG36" s="4">
        <v>686</v>
      </c>
      <c r="BH36" s="4">
        <v>921</v>
      </c>
      <c r="BI36" s="4">
        <v>1692</v>
      </c>
      <c r="BJ36" s="4">
        <v>365</v>
      </c>
      <c r="BK36" s="4">
        <v>1056</v>
      </c>
      <c r="BL36" s="4">
        <v>1243</v>
      </c>
      <c r="BM36" s="4">
        <v>3274</v>
      </c>
      <c r="BN36" s="4">
        <v>731</v>
      </c>
      <c r="BO36" s="4">
        <v>666</v>
      </c>
      <c r="BP36" s="4">
        <v>505</v>
      </c>
      <c r="BQ36" s="4">
        <v>15</v>
      </c>
      <c r="BR36" s="4">
        <v>3515</v>
      </c>
      <c r="BS36" s="4">
        <v>2034</v>
      </c>
      <c r="BT36" s="4">
        <v>1453</v>
      </c>
      <c r="BU36" s="4">
        <v>1120</v>
      </c>
      <c r="BV36" s="4">
        <v>27</v>
      </c>
      <c r="BW36" s="4">
        <v>21406</v>
      </c>
      <c r="BX36" s="4">
        <v>13441</v>
      </c>
      <c r="BY36" s="4">
        <v>7796</v>
      </c>
      <c r="BZ36" s="4">
        <v>6655</v>
      </c>
      <c r="CA36" s="4">
        <v>170</v>
      </c>
      <c r="CB36" s="4">
        <v>1186</v>
      </c>
      <c r="CC36" s="4">
        <v>25</v>
      </c>
      <c r="CD36" s="4">
        <v>156</v>
      </c>
      <c r="CE36" s="4">
        <v>6</v>
      </c>
      <c r="CF36" s="4">
        <v>39</v>
      </c>
      <c r="CG36" s="4">
        <v>481</v>
      </c>
      <c r="CH36" s="4">
        <v>1116</v>
      </c>
      <c r="CI36" s="4">
        <v>694</v>
      </c>
      <c r="CJ36" s="4">
        <v>422</v>
      </c>
      <c r="CK36" s="4">
        <v>386</v>
      </c>
      <c r="CL36" s="4">
        <v>360</v>
      </c>
      <c r="CM36" s="4">
        <v>275</v>
      </c>
      <c r="CN36" s="4">
        <v>366</v>
      </c>
      <c r="CO36" s="4">
        <v>47</v>
      </c>
      <c r="CP36" s="4">
        <v>20</v>
      </c>
      <c r="CQ36" s="4">
        <v>0.5</v>
      </c>
      <c r="CR36" s="4">
        <v>50</v>
      </c>
      <c r="CS36" s="4">
        <v>3018</v>
      </c>
      <c r="CT36" s="4">
        <v>30.2</v>
      </c>
      <c r="CU36" s="4">
        <v>6.2</v>
      </c>
      <c r="CV36" s="4">
        <v>57.4</v>
      </c>
      <c r="CW36" s="4">
        <v>207</v>
      </c>
      <c r="CX36" s="4">
        <v>14.6</v>
      </c>
      <c r="CY36" s="4">
        <v>1205</v>
      </c>
      <c r="CZ36" s="4">
        <v>85.3</v>
      </c>
      <c r="DA36" s="4">
        <v>6.7</v>
      </c>
      <c r="DB36" s="4">
        <v>672</v>
      </c>
      <c r="DC36" s="4">
        <v>47.6</v>
      </c>
      <c r="DD36" s="4">
        <v>2.5</v>
      </c>
      <c r="DE36" s="4">
        <v>908</v>
      </c>
      <c r="DF36" s="4">
        <v>80.5</v>
      </c>
      <c r="DG36" s="4">
        <v>51.7</v>
      </c>
      <c r="DH36" s="4">
        <v>35.700000000000003</v>
      </c>
      <c r="DI36" s="4">
        <v>75.8</v>
      </c>
      <c r="DJ36" s="4">
        <v>34</v>
      </c>
      <c r="DK36" s="43">
        <v>79</v>
      </c>
    </row>
    <row r="37" spans="1:115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917</v>
      </c>
      <c r="I37" s="4">
        <v>881</v>
      </c>
      <c r="J37" s="4">
        <v>3</v>
      </c>
      <c r="K37" s="4">
        <v>33</v>
      </c>
      <c r="L37" s="4">
        <v>652</v>
      </c>
      <c r="M37" s="4">
        <v>265</v>
      </c>
      <c r="N37" s="4">
        <v>16</v>
      </c>
      <c r="O37" s="4">
        <v>57</v>
      </c>
      <c r="P37" s="4">
        <v>161</v>
      </c>
      <c r="Q37" s="4">
        <v>177</v>
      </c>
      <c r="R37" s="4">
        <v>470</v>
      </c>
      <c r="S37" s="4">
        <v>4085</v>
      </c>
      <c r="T37" s="4">
        <v>638</v>
      </c>
      <c r="U37" s="4">
        <v>3330</v>
      </c>
      <c r="V37" s="4">
        <v>243</v>
      </c>
      <c r="W37" s="4">
        <v>754</v>
      </c>
      <c r="X37" s="4">
        <v>5</v>
      </c>
      <c r="Y37" s="4">
        <v>29</v>
      </c>
      <c r="Z37" s="4">
        <v>140</v>
      </c>
      <c r="AA37" s="4">
        <v>253</v>
      </c>
      <c r="AB37" s="4">
        <v>282</v>
      </c>
      <c r="AC37" s="4">
        <v>82</v>
      </c>
      <c r="AD37" s="4">
        <v>90</v>
      </c>
      <c r="AE37" s="4">
        <v>874</v>
      </c>
      <c r="AF37" s="4">
        <v>32</v>
      </c>
      <c r="AG37" s="4">
        <v>353</v>
      </c>
      <c r="AH37" s="4">
        <v>339</v>
      </c>
      <c r="AI37" s="4">
        <v>69</v>
      </c>
      <c r="AJ37" s="4">
        <v>64</v>
      </c>
      <c r="AK37" s="4">
        <v>18</v>
      </c>
      <c r="AL37" s="4">
        <v>631</v>
      </c>
      <c r="AM37" s="4">
        <v>32</v>
      </c>
      <c r="AN37" s="4">
        <v>322</v>
      </c>
      <c r="AO37" s="4">
        <v>164</v>
      </c>
      <c r="AP37" s="4">
        <v>40</v>
      </c>
      <c r="AQ37" s="4">
        <v>55</v>
      </c>
      <c r="AR37" s="4">
        <v>18</v>
      </c>
      <c r="AS37" s="4">
        <v>243</v>
      </c>
      <c r="AT37" s="4">
        <v>0</v>
      </c>
      <c r="AU37" s="4">
        <v>31</v>
      </c>
      <c r="AV37" s="4">
        <v>175</v>
      </c>
      <c r="AW37" s="4">
        <v>29</v>
      </c>
      <c r="AX37" s="4">
        <v>9</v>
      </c>
      <c r="AY37" s="4">
        <v>0</v>
      </c>
      <c r="AZ37" s="4">
        <v>881</v>
      </c>
      <c r="BA37" s="4">
        <v>58</v>
      </c>
      <c r="BB37" s="4">
        <v>174</v>
      </c>
      <c r="BC37" s="4">
        <v>129</v>
      </c>
      <c r="BD37" s="4">
        <v>520</v>
      </c>
      <c r="BE37" s="4">
        <v>2279</v>
      </c>
      <c r="BF37" s="4">
        <v>161</v>
      </c>
      <c r="BG37" s="4">
        <v>340</v>
      </c>
      <c r="BH37" s="4">
        <v>428</v>
      </c>
      <c r="BI37" s="4">
        <v>1350</v>
      </c>
      <c r="BJ37" s="4">
        <v>271</v>
      </c>
      <c r="BK37" s="4">
        <v>650</v>
      </c>
      <c r="BL37" s="4">
        <v>605</v>
      </c>
      <c r="BM37" s="4">
        <v>2559</v>
      </c>
      <c r="BN37" s="4">
        <v>535</v>
      </c>
      <c r="BO37" s="4">
        <v>340</v>
      </c>
      <c r="BP37" s="4">
        <v>211</v>
      </c>
      <c r="BQ37" s="4">
        <v>6</v>
      </c>
      <c r="BR37" s="4">
        <v>2279</v>
      </c>
      <c r="BS37" s="4">
        <v>1368</v>
      </c>
      <c r="BT37" s="4">
        <v>894</v>
      </c>
      <c r="BU37" s="4">
        <v>597</v>
      </c>
      <c r="BV37" s="4">
        <v>16</v>
      </c>
      <c r="BW37" s="4">
        <v>13037</v>
      </c>
      <c r="BX37" s="4">
        <v>8621</v>
      </c>
      <c r="BY37" s="4">
        <v>4286</v>
      </c>
      <c r="BZ37" s="4">
        <v>2854</v>
      </c>
      <c r="CA37" s="4">
        <v>129</v>
      </c>
      <c r="CB37" s="4">
        <v>741</v>
      </c>
      <c r="CC37" s="4">
        <v>9</v>
      </c>
      <c r="CD37" s="4">
        <v>100</v>
      </c>
      <c r="CE37" s="4">
        <v>6</v>
      </c>
      <c r="CF37" s="4">
        <v>24</v>
      </c>
      <c r="CG37" s="4">
        <v>420</v>
      </c>
      <c r="CH37" s="4">
        <v>718</v>
      </c>
      <c r="CI37" s="4">
        <v>434</v>
      </c>
      <c r="CJ37" s="4">
        <v>284</v>
      </c>
      <c r="CK37" s="4">
        <v>122</v>
      </c>
      <c r="CL37" s="4">
        <v>229</v>
      </c>
      <c r="CM37" s="4">
        <v>210</v>
      </c>
      <c r="CN37" s="4">
        <v>263</v>
      </c>
      <c r="CO37" s="4">
        <v>32</v>
      </c>
      <c r="CP37" s="4">
        <v>8</v>
      </c>
      <c r="CQ37" s="4">
        <v>0.5</v>
      </c>
      <c r="CR37" s="4">
        <v>50</v>
      </c>
      <c r="CS37" s="4">
        <v>1834</v>
      </c>
      <c r="CT37" s="4">
        <v>18.3</v>
      </c>
      <c r="CU37" s="4">
        <v>3.6</v>
      </c>
      <c r="CV37" s="4">
        <v>71.099999999999994</v>
      </c>
      <c r="CW37" s="4">
        <v>73</v>
      </c>
      <c r="CX37" s="4">
        <v>8.3000000000000007</v>
      </c>
      <c r="CY37" s="4">
        <v>808</v>
      </c>
      <c r="CZ37" s="4">
        <v>91.7</v>
      </c>
      <c r="DA37" s="4">
        <v>6.6</v>
      </c>
      <c r="DB37" s="4">
        <v>361</v>
      </c>
      <c r="DC37" s="4">
        <v>41</v>
      </c>
      <c r="DD37" s="4">
        <v>2.6</v>
      </c>
      <c r="DE37" s="4">
        <v>670</v>
      </c>
      <c r="DF37" s="4">
        <v>79.900000000000006</v>
      </c>
      <c r="DG37" s="4">
        <v>60.7</v>
      </c>
      <c r="DH37" s="4">
        <v>24</v>
      </c>
      <c r="DI37" s="4">
        <v>62.1</v>
      </c>
      <c r="DJ37" s="4">
        <v>47.7</v>
      </c>
      <c r="DK37" s="43">
        <v>81.5</v>
      </c>
    </row>
    <row r="38" spans="1:115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1015</v>
      </c>
      <c r="I38" s="4">
        <v>908</v>
      </c>
      <c r="J38" s="4">
        <v>0</v>
      </c>
      <c r="K38" s="4">
        <v>107</v>
      </c>
      <c r="L38" s="4">
        <v>766</v>
      </c>
      <c r="M38" s="4">
        <v>242</v>
      </c>
      <c r="N38" s="4">
        <v>60</v>
      </c>
      <c r="O38" s="4">
        <v>90</v>
      </c>
      <c r="P38" s="4">
        <v>97</v>
      </c>
      <c r="Q38" s="4">
        <v>159</v>
      </c>
      <c r="R38" s="4">
        <v>503</v>
      </c>
      <c r="S38" s="4">
        <v>4313</v>
      </c>
      <c r="T38" s="4">
        <v>699</v>
      </c>
      <c r="U38" s="4">
        <v>3830</v>
      </c>
      <c r="V38" s="4">
        <v>206</v>
      </c>
      <c r="W38" s="4">
        <v>476</v>
      </c>
      <c r="X38" s="4">
        <v>60</v>
      </c>
      <c r="Y38" s="4">
        <v>42</v>
      </c>
      <c r="Z38" s="4">
        <v>132</v>
      </c>
      <c r="AA38" s="4">
        <v>134</v>
      </c>
      <c r="AB38" s="4">
        <v>221</v>
      </c>
      <c r="AC38" s="4">
        <v>185</v>
      </c>
      <c r="AD38" s="4">
        <v>135</v>
      </c>
      <c r="AE38" s="4">
        <v>905</v>
      </c>
      <c r="AF38" s="4">
        <v>117</v>
      </c>
      <c r="AG38" s="4">
        <v>594</v>
      </c>
      <c r="AH38" s="4">
        <v>86</v>
      </c>
      <c r="AI38" s="4">
        <v>64</v>
      </c>
      <c r="AJ38" s="4">
        <v>15</v>
      </c>
      <c r="AK38" s="4">
        <v>28</v>
      </c>
      <c r="AL38" s="4">
        <v>699</v>
      </c>
      <c r="AM38" s="4">
        <v>109</v>
      </c>
      <c r="AN38" s="4">
        <v>480</v>
      </c>
      <c r="AO38" s="4">
        <v>62</v>
      </c>
      <c r="AP38" s="4">
        <v>34</v>
      </c>
      <c r="AQ38" s="4">
        <v>4</v>
      </c>
      <c r="AR38" s="4">
        <v>9</v>
      </c>
      <c r="AS38" s="4">
        <v>203</v>
      </c>
      <c r="AT38" s="4">
        <v>8</v>
      </c>
      <c r="AU38" s="4">
        <v>114</v>
      </c>
      <c r="AV38" s="4">
        <v>24</v>
      </c>
      <c r="AW38" s="4">
        <v>27</v>
      </c>
      <c r="AX38" s="4">
        <v>11</v>
      </c>
      <c r="AY38" s="4">
        <v>19</v>
      </c>
      <c r="AZ38" s="4">
        <v>908</v>
      </c>
      <c r="BA38" s="4">
        <v>106</v>
      </c>
      <c r="BB38" s="4">
        <v>204</v>
      </c>
      <c r="BC38" s="4">
        <v>161</v>
      </c>
      <c r="BD38" s="4">
        <v>437</v>
      </c>
      <c r="BE38" s="4">
        <v>2508</v>
      </c>
      <c r="BF38" s="4">
        <v>216</v>
      </c>
      <c r="BG38" s="4">
        <v>554</v>
      </c>
      <c r="BH38" s="4">
        <v>589</v>
      </c>
      <c r="BI38" s="4">
        <v>1149</v>
      </c>
      <c r="BJ38" s="4">
        <v>330</v>
      </c>
      <c r="BK38" s="4">
        <v>811</v>
      </c>
      <c r="BL38" s="4">
        <v>825</v>
      </c>
      <c r="BM38" s="4">
        <v>2347</v>
      </c>
      <c r="BN38" s="4">
        <v>589</v>
      </c>
      <c r="BO38" s="4">
        <v>316</v>
      </c>
      <c r="BP38" s="4">
        <v>60</v>
      </c>
      <c r="BQ38" s="4">
        <v>3</v>
      </c>
      <c r="BR38" s="4">
        <v>2508</v>
      </c>
      <c r="BS38" s="4">
        <v>1647</v>
      </c>
      <c r="BT38" s="4">
        <v>825</v>
      </c>
      <c r="BU38" s="4">
        <v>160</v>
      </c>
      <c r="BV38" s="4">
        <v>37</v>
      </c>
      <c r="BW38" s="4">
        <v>13486</v>
      </c>
      <c r="BX38" s="4">
        <v>11544</v>
      </c>
      <c r="BY38" s="4">
        <v>1925</v>
      </c>
      <c r="BZ38" s="4">
        <v>144</v>
      </c>
      <c r="CA38" s="4">
        <v>17</v>
      </c>
      <c r="CB38" s="4">
        <v>679</v>
      </c>
      <c r="CC38" s="4">
        <v>23</v>
      </c>
      <c r="CD38" s="4">
        <v>174</v>
      </c>
      <c r="CE38" s="4">
        <v>0</v>
      </c>
      <c r="CF38" s="4">
        <v>32</v>
      </c>
      <c r="CG38" s="4">
        <v>223</v>
      </c>
      <c r="CH38" s="4">
        <v>707</v>
      </c>
      <c r="CI38" s="4">
        <v>480</v>
      </c>
      <c r="CJ38" s="4">
        <v>227</v>
      </c>
      <c r="CK38" s="4">
        <v>168</v>
      </c>
      <c r="CL38" s="4">
        <v>165</v>
      </c>
      <c r="CM38" s="4">
        <v>164</v>
      </c>
      <c r="CN38" s="4">
        <v>298</v>
      </c>
      <c r="CO38" s="4">
        <v>118</v>
      </c>
      <c r="CP38" s="4">
        <v>14</v>
      </c>
      <c r="CQ38" s="4">
        <v>0.4</v>
      </c>
      <c r="CR38" s="4">
        <v>40</v>
      </c>
      <c r="CS38" s="4">
        <v>2537.5</v>
      </c>
      <c r="CT38" s="4">
        <v>25.4</v>
      </c>
      <c r="CU38" s="4">
        <v>10.5</v>
      </c>
      <c r="CV38" s="4">
        <v>75.5</v>
      </c>
      <c r="CW38" s="4">
        <v>150</v>
      </c>
      <c r="CX38" s="4">
        <v>16.5</v>
      </c>
      <c r="CY38" s="4">
        <v>759</v>
      </c>
      <c r="CZ38" s="4">
        <v>83.6</v>
      </c>
      <c r="DA38" s="4">
        <v>11.7</v>
      </c>
      <c r="DB38" s="4">
        <v>471</v>
      </c>
      <c r="DC38" s="4">
        <v>51.9</v>
      </c>
      <c r="DD38" s="4">
        <v>2.8</v>
      </c>
      <c r="DE38" s="4">
        <v>848</v>
      </c>
      <c r="DF38" s="4">
        <v>69.5</v>
      </c>
      <c r="DG38" s="4">
        <v>64.900000000000006</v>
      </c>
      <c r="DH38" s="4">
        <v>6.6</v>
      </c>
      <c r="DI38" s="4">
        <v>19</v>
      </c>
      <c r="DJ38" s="4">
        <v>24.6</v>
      </c>
      <c r="DK38" s="43">
        <v>77.900000000000006</v>
      </c>
    </row>
    <row r="39" spans="1:115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1014</v>
      </c>
      <c r="I39" s="4">
        <v>968</v>
      </c>
      <c r="J39" s="4">
        <v>0</v>
      </c>
      <c r="K39" s="4">
        <v>47</v>
      </c>
      <c r="L39" s="4">
        <v>309</v>
      </c>
      <c r="M39" s="4">
        <v>704</v>
      </c>
      <c r="N39" s="4">
        <v>53</v>
      </c>
      <c r="O39" s="4">
        <v>119</v>
      </c>
      <c r="P39" s="4">
        <v>235</v>
      </c>
      <c r="Q39" s="4">
        <v>228</v>
      </c>
      <c r="R39" s="4">
        <v>333</v>
      </c>
      <c r="S39" s="4">
        <v>3826</v>
      </c>
      <c r="T39" s="4">
        <v>292</v>
      </c>
      <c r="U39" s="4">
        <v>1503</v>
      </c>
      <c r="V39" s="4">
        <v>675</v>
      </c>
      <c r="W39" s="4">
        <v>2323</v>
      </c>
      <c r="X39" s="4">
        <v>41</v>
      </c>
      <c r="Y39" s="4">
        <v>106</v>
      </c>
      <c r="Z39" s="4">
        <v>210</v>
      </c>
      <c r="AA39" s="4">
        <v>328</v>
      </c>
      <c r="AB39" s="4">
        <v>206</v>
      </c>
      <c r="AC39" s="4">
        <v>40</v>
      </c>
      <c r="AD39" s="4">
        <v>37</v>
      </c>
      <c r="AE39" s="4">
        <v>968</v>
      </c>
      <c r="AF39" s="4">
        <v>27</v>
      </c>
      <c r="AG39" s="4">
        <v>404</v>
      </c>
      <c r="AH39" s="4">
        <v>366</v>
      </c>
      <c r="AI39" s="4">
        <v>103</v>
      </c>
      <c r="AJ39" s="4">
        <v>59</v>
      </c>
      <c r="AK39" s="4">
        <v>9</v>
      </c>
      <c r="AL39" s="4">
        <v>292</v>
      </c>
      <c r="AM39" s="4">
        <v>12</v>
      </c>
      <c r="AN39" s="4">
        <v>184</v>
      </c>
      <c r="AO39" s="4">
        <v>65</v>
      </c>
      <c r="AP39" s="4">
        <v>9</v>
      </c>
      <c r="AQ39" s="4">
        <v>19</v>
      </c>
      <c r="AR39" s="4">
        <v>3</v>
      </c>
      <c r="AS39" s="4">
        <v>675</v>
      </c>
      <c r="AT39" s="4">
        <v>15</v>
      </c>
      <c r="AU39" s="4">
        <v>220</v>
      </c>
      <c r="AV39" s="4">
        <v>300</v>
      </c>
      <c r="AW39" s="4">
        <v>94</v>
      </c>
      <c r="AX39" s="4">
        <v>39</v>
      </c>
      <c r="AY39" s="4">
        <v>6</v>
      </c>
      <c r="AZ39" s="4">
        <v>968</v>
      </c>
      <c r="BA39" s="4">
        <v>35</v>
      </c>
      <c r="BB39" s="4">
        <v>205</v>
      </c>
      <c r="BC39" s="4">
        <v>220</v>
      </c>
      <c r="BD39" s="4">
        <v>507</v>
      </c>
      <c r="BE39" s="4">
        <v>2532</v>
      </c>
      <c r="BF39" s="4">
        <v>94</v>
      </c>
      <c r="BG39" s="4">
        <v>544</v>
      </c>
      <c r="BH39" s="4">
        <v>692</v>
      </c>
      <c r="BI39" s="4">
        <v>1202</v>
      </c>
      <c r="BJ39" s="4">
        <v>146</v>
      </c>
      <c r="BK39" s="4">
        <v>719</v>
      </c>
      <c r="BL39" s="4">
        <v>851</v>
      </c>
      <c r="BM39" s="4">
        <v>2110</v>
      </c>
      <c r="BN39" s="4">
        <v>112</v>
      </c>
      <c r="BO39" s="4">
        <v>852</v>
      </c>
      <c r="BP39" s="4">
        <v>820</v>
      </c>
      <c r="BQ39" s="4">
        <v>3</v>
      </c>
      <c r="BR39" s="4">
        <v>2532</v>
      </c>
      <c r="BS39" s="4">
        <v>359</v>
      </c>
      <c r="BT39" s="4">
        <v>2161</v>
      </c>
      <c r="BU39" s="4">
        <v>2071</v>
      </c>
      <c r="BV39" s="4">
        <v>12</v>
      </c>
      <c r="BW39" s="4">
        <v>13681</v>
      </c>
      <c r="BX39" s="4">
        <v>2403</v>
      </c>
      <c r="BY39" s="4">
        <v>11272</v>
      </c>
      <c r="BZ39" s="4">
        <v>10899</v>
      </c>
      <c r="CA39" s="4">
        <v>6</v>
      </c>
      <c r="CB39" s="4">
        <v>896</v>
      </c>
      <c r="CC39" s="4">
        <v>6</v>
      </c>
      <c r="CD39" s="4">
        <v>54</v>
      </c>
      <c r="CE39" s="4">
        <v>6</v>
      </c>
      <c r="CF39" s="4">
        <v>6</v>
      </c>
      <c r="CG39" s="4">
        <v>97</v>
      </c>
      <c r="CH39" s="4">
        <v>589</v>
      </c>
      <c r="CI39" s="4">
        <v>480</v>
      </c>
      <c r="CJ39" s="4">
        <v>110</v>
      </c>
      <c r="CK39" s="4">
        <v>254</v>
      </c>
      <c r="CL39" s="4">
        <v>259</v>
      </c>
      <c r="CM39" s="4">
        <v>175</v>
      </c>
      <c r="CN39" s="4">
        <v>178</v>
      </c>
      <c r="CO39" s="4">
        <v>142</v>
      </c>
      <c r="CP39" s="4">
        <v>6</v>
      </c>
      <c r="CQ39" s="4">
        <v>0.2</v>
      </c>
      <c r="CR39" s="4">
        <v>20</v>
      </c>
      <c r="CS39" s="4">
        <v>5070</v>
      </c>
      <c r="CT39" s="4">
        <v>50.7</v>
      </c>
      <c r="CU39" s="4">
        <v>4.5999999999999996</v>
      </c>
      <c r="CV39" s="4">
        <v>30.5</v>
      </c>
      <c r="CW39" s="4">
        <v>172</v>
      </c>
      <c r="CX39" s="4">
        <v>17.8</v>
      </c>
      <c r="CY39" s="4">
        <v>796</v>
      </c>
      <c r="CZ39" s="4">
        <v>82.2</v>
      </c>
      <c r="DA39" s="4">
        <v>3.6</v>
      </c>
      <c r="DB39" s="4">
        <v>461</v>
      </c>
      <c r="DC39" s="4">
        <v>47.6</v>
      </c>
      <c r="DD39" s="4">
        <v>2.6</v>
      </c>
      <c r="DE39" s="4">
        <v>148</v>
      </c>
      <c r="DF39" s="4">
        <v>75.7</v>
      </c>
      <c r="DG39" s="4">
        <v>11.6</v>
      </c>
      <c r="DH39" s="4">
        <v>84.7</v>
      </c>
      <c r="DI39" s="4">
        <v>96.2</v>
      </c>
      <c r="DJ39" s="4">
        <v>10</v>
      </c>
      <c r="DK39" s="43">
        <v>60.8</v>
      </c>
    </row>
    <row r="40" spans="1:115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991</v>
      </c>
      <c r="I40" s="51">
        <v>931</v>
      </c>
      <c r="J40" s="51">
        <v>4</v>
      </c>
      <c r="K40" s="51">
        <v>57</v>
      </c>
      <c r="L40" s="51">
        <v>283</v>
      </c>
      <c r="M40" s="51">
        <v>702</v>
      </c>
      <c r="N40" s="51">
        <v>26</v>
      </c>
      <c r="O40" s="51">
        <v>187</v>
      </c>
      <c r="P40" s="51">
        <v>287</v>
      </c>
      <c r="Q40" s="51">
        <v>257</v>
      </c>
      <c r="R40" s="51">
        <v>175</v>
      </c>
      <c r="S40" s="51">
        <v>3240</v>
      </c>
      <c r="T40" s="51">
        <v>267</v>
      </c>
      <c r="U40" s="51">
        <v>1214</v>
      </c>
      <c r="V40" s="51">
        <v>658</v>
      </c>
      <c r="W40" s="51">
        <v>2012</v>
      </c>
      <c r="X40" s="51">
        <v>8</v>
      </c>
      <c r="Y40" s="51">
        <v>90</v>
      </c>
      <c r="Z40" s="51">
        <v>446</v>
      </c>
      <c r="AA40" s="51">
        <v>221</v>
      </c>
      <c r="AB40" s="51">
        <v>133</v>
      </c>
      <c r="AC40" s="51">
        <v>25</v>
      </c>
      <c r="AD40" s="51">
        <v>7</v>
      </c>
      <c r="AE40" s="51">
        <v>931</v>
      </c>
      <c r="AF40" s="51">
        <v>1</v>
      </c>
      <c r="AG40" s="51">
        <v>109</v>
      </c>
      <c r="AH40" s="51">
        <v>584</v>
      </c>
      <c r="AI40" s="51">
        <v>118</v>
      </c>
      <c r="AJ40" s="51">
        <v>42</v>
      </c>
      <c r="AK40" s="51">
        <v>77</v>
      </c>
      <c r="AL40" s="51">
        <v>267</v>
      </c>
      <c r="AM40" s="51">
        <v>0</v>
      </c>
      <c r="AN40" s="51">
        <v>60</v>
      </c>
      <c r="AO40" s="51">
        <v>171</v>
      </c>
      <c r="AP40" s="51">
        <v>15</v>
      </c>
      <c r="AQ40" s="51">
        <v>5</v>
      </c>
      <c r="AR40" s="51">
        <v>17</v>
      </c>
      <c r="AS40" s="51">
        <v>658</v>
      </c>
      <c r="AT40" s="51">
        <v>1</v>
      </c>
      <c r="AU40" s="51">
        <v>48</v>
      </c>
      <c r="AV40" s="51">
        <v>408</v>
      </c>
      <c r="AW40" s="51">
        <v>104</v>
      </c>
      <c r="AX40" s="51">
        <v>38</v>
      </c>
      <c r="AY40" s="51">
        <v>60</v>
      </c>
      <c r="AZ40" s="51">
        <v>931</v>
      </c>
      <c r="BA40" s="51">
        <v>83</v>
      </c>
      <c r="BB40" s="51">
        <v>166</v>
      </c>
      <c r="BC40" s="51">
        <v>175</v>
      </c>
      <c r="BD40" s="51">
        <v>507</v>
      </c>
      <c r="BE40" s="51">
        <v>2203</v>
      </c>
      <c r="BF40" s="51">
        <v>170</v>
      </c>
      <c r="BG40" s="51">
        <v>329</v>
      </c>
      <c r="BH40" s="51">
        <v>538</v>
      </c>
      <c r="BI40" s="51">
        <v>1165</v>
      </c>
      <c r="BJ40" s="51">
        <v>248</v>
      </c>
      <c r="BK40" s="51">
        <v>484</v>
      </c>
      <c r="BL40" s="51">
        <v>566</v>
      </c>
      <c r="BM40" s="51">
        <v>1941</v>
      </c>
      <c r="BN40" s="51">
        <v>139</v>
      </c>
      <c r="BO40" s="51">
        <v>784</v>
      </c>
      <c r="BP40" s="51">
        <v>695</v>
      </c>
      <c r="BQ40" s="51">
        <v>8</v>
      </c>
      <c r="BR40" s="51">
        <v>2203</v>
      </c>
      <c r="BS40" s="51">
        <v>335</v>
      </c>
      <c r="BT40" s="51">
        <v>1860</v>
      </c>
      <c r="BU40" s="51">
        <v>1633</v>
      </c>
      <c r="BV40" s="51">
        <v>8</v>
      </c>
      <c r="BW40" s="51">
        <v>13415</v>
      </c>
      <c r="BX40" s="51">
        <v>3135</v>
      </c>
      <c r="BY40" s="51">
        <v>10012</v>
      </c>
      <c r="BZ40" s="51">
        <v>9370</v>
      </c>
      <c r="CA40" s="51">
        <v>268</v>
      </c>
      <c r="CB40" s="51">
        <v>828</v>
      </c>
      <c r="CC40" s="51">
        <v>16</v>
      </c>
      <c r="CD40" s="51">
        <v>52</v>
      </c>
      <c r="CE40" s="51">
        <v>0</v>
      </c>
      <c r="CF40" s="51">
        <v>35</v>
      </c>
      <c r="CG40" s="51">
        <v>179</v>
      </c>
      <c r="CH40" s="51">
        <v>554</v>
      </c>
      <c r="CI40" s="51">
        <v>440</v>
      </c>
      <c r="CJ40" s="51">
        <v>114</v>
      </c>
      <c r="CK40" s="51">
        <v>322</v>
      </c>
      <c r="CL40" s="51">
        <v>220</v>
      </c>
      <c r="CM40" s="51">
        <v>127</v>
      </c>
      <c r="CN40" s="51">
        <v>111</v>
      </c>
      <c r="CO40" s="51">
        <v>107</v>
      </c>
      <c r="CP40" s="51">
        <v>22</v>
      </c>
      <c r="CQ40" s="51">
        <v>0.3</v>
      </c>
      <c r="CR40" s="51">
        <v>30</v>
      </c>
      <c r="CS40" s="51">
        <v>3303.3</v>
      </c>
      <c r="CT40" s="51">
        <v>33</v>
      </c>
      <c r="CU40" s="51">
        <v>5.8</v>
      </c>
      <c r="CV40" s="51">
        <v>28.6</v>
      </c>
      <c r="CW40" s="51">
        <v>213</v>
      </c>
      <c r="CX40" s="51">
        <v>22.9</v>
      </c>
      <c r="CY40" s="51">
        <v>719</v>
      </c>
      <c r="CZ40" s="51">
        <v>77.2</v>
      </c>
      <c r="DA40" s="51">
        <v>8.9</v>
      </c>
      <c r="DB40" s="51">
        <v>424</v>
      </c>
      <c r="DC40" s="51">
        <v>45.5</v>
      </c>
      <c r="DD40" s="51">
        <v>2.4</v>
      </c>
      <c r="DE40" s="51">
        <v>236</v>
      </c>
      <c r="DF40" s="51">
        <v>58.9</v>
      </c>
      <c r="DG40" s="51">
        <v>14.9</v>
      </c>
      <c r="DH40" s="51">
        <v>74.7</v>
      </c>
      <c r="DI40" s="51">
        <v>88.6</v>
      </c>
      <c r="DJ40" s="51">
        <v>19.2</v>
      </c>
      <c r="DK40" s="52">
        <v>59.5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36.5703125" customWidth="1"/>
    <col min="9" max="9" width="46.7109375" customWidth="1"/>
    <col min="10" max="10" width="64.42578125" customWidth="1"/>
    <col min="11" max="11" width="16.28515625" customWidth="1"/>
    <col min="12" max="12" width="15" customWidth="1"/>
    <col min="13" max="13" width="15.5703125" customWidth="1"/>
    <col min="14" max="14" width="39.7109375" customWidth="1"/>
    <col min="15" max="22" width="15" customWidth="1"/>
    <col min="23" max="23" width="26.140625" customWidth="1"/>
    <col min="24" max="24" width="15" customWidth="1"/>
    <col min="25" max="25" width="15.42578125" customWidth="1"/>
    <col min="26" max="26" width="30" customWidth="1"/>
    <col min="27" max="27" width="38.5703125" customWidth="1"/>
    <col min="28" max="28" width="40" customWidth="1"/>
    <col min="29" max="29" width="49.42578125" customWidth="1"/>
    <col min="30" max="30" width="39.140625" customWidth="1"/>
    <col min="31" max="31" width="27.28515625" customWidth="1"/>
    <col min="32" max="32" width="37.28515625" customWidth="1"/>
    <col min="33" max="33" width="18.7109375" customWidth="1"/>
  </cols>
  <sheetData>
    <row r="1" spans="1:33">
      <c r="A1" s="5" t="s">
        <v>514</v>
      </c>
      <c r="B1" s="1"/>
      <c r="C1" s="1"/>
      <c r="D1" s="1"/>
      <c r="E1" s="1"/>
      <c r="F1" s="1"/>
      <c r="G1" s="2" t="s">
        <v>0</v>
      </c>
      <c r="H1" s="2">
        <f t="shared" ref="H1:AG1" si="0">SUBTOTAL(9,H3:H40)</f>
        <v>921</v>
      </c>
      <c r="I1" s="2">
        <f t="shared" si="0"/>
        <v>2098</v>
      </c>
      <c r="J1" s="2">
        <f t="shared" si="0"/>
        <v>59</v>
      </c>
      <c r="K1" s="2">
        <f t="shared" si="0"/>
        <v>172870</v>
      </c>
      <c r="L1" s="2">
        <f t="shared" si="0"/>
        <v>400170</v>
      </c>
      <c r="M1" s="2">
        <f t="shared" si="0"/>
        <v>675360</v>
      </c>
      <c r="N1" s="2">
        <f t="shared" si="0"/>
        <v>47.389999999999986</v>
      </c>
      <c r="O1" s="2">
        <f t="shared" si="0"/>
        <v>33620</v>
      </c>
      <c r="P1" s="2">
        <f t="shared" si="0"/>
        <v>122910</v>
      </c>
      <c r="Q1" s="2">
        <f t="shared" si="0"/>
        <v>221690</v>
      </c>
      <c r="R1" s="2">
        <f t="shared" si="0"/>
        <v>313310</v>
      </c>
      <c r="S1" s="2">
        <f t="shared" si="0"/>
        <v>496690</v>
      </c>
      <c r="T1" s="2">
        <f t="shared" si="0"/>
        <v>609460</v>
      </c>
      <c r="U1" s="2">
        <f t="shared" si="0"/>
        <v>750530</v>
      </c>
      <c r="V1" s="2">
        <f t="shared" si="0"/>
        <v>981720</v>
      </c>
      <c r="W1" s="2">
        <f t="shared" si="0"/>
        <v>807.40000000000009</v>
      </c>
      <c r="X1" s="2">
        <f t="shared" si="0"/>
        <v>4173.8000000000011</v>
      </c>
      <c r="Y1" s="2">
        <f t="shared" si="0"/>
        <v>16.542000000000002</v>
      </c>
      <c r="Z1" s="2">
        <f t="shared" si="0"/>
        <v>2614.4</v>
      </c>
      <c r="AA1" s="2">
        <f t="shared" si="0"/>
        <v>2273.1999999999998</v>
      </c>
      <c r="AB1" s="2">
        <f t="shared" si="0"/>
        <v>222.8</v>
      </c>
      <c r="AC1" s="2">
        <f t="shared" si="0"/>
        <v>118.39999999999998</v>
      </c>
      <c r="AD1" s="2">
        <f t="shared" si="0"/>
        <v>760.69999999999993</v>
      </c>
      <c r="AE1" s="2">
        <f t="shared" si="0"/>
        <v>124.9</v>
      </c>
      <c r="AF1" s="2">
        <f t="shared" si="0"/>
        <v>0</v>
      </c>
      <c r="AG1" s="2">
        <f t="shared" si="0"/>
        <v>13.399999999999995</v>
      </c>
    </row>
    <row r="2" spans="1:33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515</v>
      </c>
      <c r="I2" s="46" t="s">
        <v>516</v>
      </c>
      <c r="J2" s="46" t="s">
        <v>517</v>
      </c>
      <c r="K2" s="46" t="s">
        <v>518</v>
      </c>
      <c r="L2" s="46" t="s">
        <v>519</v>
      </c>
      <c r="M2" s="46" t="s">
        <v>520</v>
      </c>
      <c r="N2" s="46" t="s">
        <v>521</v>
      </c>
      <c r="O2" s="46" t="s">
        <v>522</v>
      </c>
      <c r="P2" s="46" t="s">
        <v>523</v>
      </c>
      <c r="Q2" s="46" t="s">
        <v>524</v>
      </c>
      <c r="R2" s="46" t="s">
        <v>525</v>
      </c>
      <c r="S2" s="46" t="s">
        <v>526</v>
      </c>
      <c r="T2" s="46" t="s">
        <v>527</v>
      </c>
      <c r="U2" s="46" t="s">
        <v>528</v>
      </c>
      <c r="V2" s="46" t="s">
        <v>529</v>
      </c>
      <c r="W2" s="46" t="s">
        <v>530</v>
      </c>
      <c r="X2" s="46" t="s">
        <v>531</v>
      </c>
      <c r="Y2" s="46" t="s">
        <v>532</v>
      </c>
      <c r="Z2" s="46" t="s">
        <v>533</v>
      </c>
      <c r="AA2" s="46" t="s">
        <v>534</v>
      </c>
      <c r="AB2" s="46" t="s">
        <v>535</v>
      </c>
      <c r="AC2" s="46" t="s">
        <v>536</v>
      </c>
      <c r="AD2" s="46" t="s">
        <v>537</v>
      </c>
      <c r="AE2" s="46" t="s">
        <v>538</v>
      </c>
      <c r="AF2" s="46" t="s">
        <v>539</v>
      </c>
      <c r="AG2" s="48" t="s">
        <v>80</v>
      </c>
    </row>
    <row r="3" spans="1:33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25</v>
      </c>
      <c r="I3" s="4">
        <v>59</v>
      </c>
      <c r="J3" s="4">
        <v>2</v>
      </c>
      <c r="K3" s="4">
        <v>2810</v>
      </c>
      <c r="L3" s="4">
        <v>9780</v>
      </c>
      <c r="M3" s="4">
        <v>18740</v>
      </c>
      <c r="N3" s="4">
        <v>1.63</v>
      </c>
      <c r="O3" s="4">
        <v>0</v>
      </c>
      <c r="P3" s="4">
        <v>1490</v>
      </c>
      <c r="Q3" s="4">
        <v>4180</v>
      </c>
      <c r="R3" s="4">
        <v>6670</v>
      </c>
      <c r="S3" s="4">
        <v>13770</v>
      </c>
      <c r="T3" s="4">
        <v>16760</v>
      </c>
      <c r="U3" s="4">
        <v>20250</v>
      </c>
      <c r="V3" s="4">
        <v>25430</v>
      </c>
      <c r="W3" s="4"/>
      <c r="X3" s="4">
        <v>119.9</v>
      </c>
      <c r="Y3" s="4">
        <v>0.50800000000000001</v>
      </c>
      <c r="Z3" s="4">
        <v>79.900000000000006</v>
      </c>
      <c r="AA3" s="4">
        <v>70.3</v>
      </c>
      <c r="AB3" s="4">
        <v>6.8</v>
      </c>
      <c r="AC3" s="4">
        <v>2.8</v>
      </c>
      <c r="AD3" s="4">
        <v>16</v>
      </c>
      <c r="AE3" s="4">
        <v>4.0999999999999996</v>
      </c>
      <c r="AF3" s="4">
        <v>0</v>
      </c>
      <c r="AG3" s="43">
        <v>0.3</v>
      </c>
    </row>
    <row r="4" spans="1:33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33</v>
      </c>
      <c r="I4" s="4">
        <v>53</v>
      </c>
      <c r="J4" s="4">
        <v>1</v>
      </c>
      <c r="K4" s="4">
        <v>6010</v>
      </c>
      <c r="L4" s="4">
        <v>12660</v>
      </c>
      <c r="M4" s="4">
        <v>21870</v>
      </c>
      <c r="N4" s="4">
        <v>1.25</v>
      </c>
      <c r="O4" s="4">
        <v>350</v>
      </c>
      <c r="P4" s="4">
        <v>4180</v>
      </c>
      <c r="Q4" s="4">
        <v>7480</v>
      </c>
      <c r="R4" s="4">
        <v>10470</v>
      </c>
      <c r="S4" s="4">
        <v>16290</v>
      </c>
      <c r="T4" s="4">
        <v>19440</v>
      </c>
      <c r="U4" s="4">
        <v>24660</v>
      </c>
      <c r="V4" s="4">
        <v>33360</v>
      </c>
      <c r="W4" s="4">
        <v>95.4</v>
      </c>
      <c r="X4" s="4">
        <v>36.299999999999997</v>
      </c>
      <c r="Y4" s="4">
        <v>0.47</v>
      </c>
      <c r="Z4" s="4">
        <v>79.099999999999994</v>
      </c>
      <c r="AA4" s="4">
        <v>69.099999999999994</v>
      </c>
      <c r="AB4" s="4">
        <v>5.7</v>
      </c>
      <c r="AC4" s="4">
        <v>4.3</v>
      </c>
      <c r="AD4" s="4">
        <v>17.399999999999999</v>
      </c>
      <c r="AE4" s="4">
        <v>3.5</v>
      </c>
      <c r="AF4" s="4">
        <v>0</v>
      </c>
      <c r="AG4" s="43">
        <v>0.1</v>
      </c>
    </row>
    <row r="5" spans="1:33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13</v>
      </c>
      <c r="I5" s="4">
        <v>77</v>
      </c>
      <c r="J5" s="4">
        <v>2</v>
      </c>
      <c r="K5" s="4">
        <v>1870</v>
      </c>
      <c r="L5" s="4">
        <v>6950</v>
      </c>
      <c r="M5" s="4">
        <v>13260</v>
      </c>
      <c r="N5" s="4">
        <v>1.64</v>
      </c>
      <c r="O5" s="4">
        <v>0</v>
      </c>
      <c r="P5" s="4">
        <v>700</v>
      </c>
      <c r="Q5" s="4">
        <v>3330</v>
      </c>
      <c r="R5" s="4">
        <v>5550</v>
      </c>
      <c r="S5" s="4">
        <v>8880</v>
      </c>
      <c r="T5" s="4">
        <v>11490</v>
      </c>
      <c r="U5" s="4">
        <v>15240</v>
      </c>
      <c r="V5" s="4">
        <v>19460</v>
      </c>
      <c r="W5" s="4"/>
      <c r="X5" s="4">
        <v>301.60000000000002</v>
      </c>
      <c r="Y5" s="4">
        <v>0.50700000000000001</v>
      </c>
      <c r="Z5" s="4">
        <v>76.599999999999994</v>
      </c>
      <c r="AA5" s="4">
        <v>65.599999999999994</v>
      </c>
      <c r="AB5" s="4">
        <v>8.6</v>
      </c>
      <c r="AC5" s="4">
        <v>2.4</v>
      </c>
      <c r="AD5" s="4">
        <v>21</v>
      </c>
      <c r="AE5" s="4">
        <v>2.4</v>
      </c>
      <c r="AF5" s="4">
        <v>0</v>
      </c>
      <c r="AG5" s="43">
        <v>0.4</v>
      </c>
    </row>
    <row r="6" spans="1:33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3">
        <v>0.1</v>
      </c>
    </row>
    <row r="7" spans="1:33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3">
        <v>0.4</v>
      </c>
    </row>
    <row r="8" spans="1:33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21</v>
      </c>
      <c r="I8" s="4">
        <v>67</v>
      </c>
      <c r="J8" s="4">
        <v>2</v>
      </c>
      <c r="K8" s="4">
        <v>4000</v>
      </c>
      <c r="L8" s="4">
        <v>9720</v>
      </c>
      <c r="M8" s="4">
        <v>15550</v>
      </c>
      <c r="N8" s="4">
        <v>1.19</v>
      </c>
      <c r="O8" s="4">
        <v>0</v>
      </c>
      <c r="P8" s="4">
        <v>2630</v>
      </c>
      <c r="Q8" s="4">
        <v>5650</v>
      </c>
      <c r="R8" s="4">
        <v>7390</v>
      </c>
      <c r="S8" s="4">
        <v>12080</v>
      </c>
      <c r="T8" s="4">
        <v>14470</v>
      </c>
      <c r="U8" s="4">
        <v>17920</v>
      </c>
      <c r="V8" s="4">
        <v>22330</v>
      </c>
      <c r="W8" s="4"/>
      <c r="X8" s="4">
        <v>37.700000000000003</v>
      </c>
      <c r="Y8" s="4">
        <v>0.45</v>
      </c>
      <c r="Z8" s="4">
        <v>74.599999999999994</v>
      </c>
      <c r="AA8" s="4">
        <v>65</v>
      </c>
      <c r="AB8" s="4">
        <v>6.2</v>
      </c>
      <c r="AC8" s="4">
        <v>3.4</v>
      </c>
      <c r="AD8" s="4">
        <v>22.8</v>
      </c>
      <c r="AE8" s="4">
        <v>2.6</v>
      </c>
      <c r="AF8" s="4">
        <v>0</v>
      </c>
      <c r="AG8" s="43">
        <v>0.9</v>
      </c>
    </row>
    <row r="9" spans="1:33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23</v>
      </c>
      <c r="I9" s="4">
        <v>63</v>
      </c>
      <c r="J9" s="4">
        <v>2</v>
      </c>
      <c r="K9" s="4">
        <v>4220</v>
      </c>
      <c r="L9" s="4">
        <v>10100</v>
      </c>
      <c r="M9" s="4">
        <v>17240</v>
      </c>
      <c r="N9" s="4">
        <v>1.29</v>
      </c>
      <c r="O9" s="4">
        <v>0</v>
      </c>
      <c r="P9" s="4">
        <v>3140</v>
      </c>
      <c r="Q9" s="4">
        <v>5590</v>
      </c>
      <c r="R9" s="4">
        <v>8140</v>
      </c>
      <c r="S9" s="4">
        <v>12790</v>
      </c>
      <c r="T9" s="4">
        <v>15650</v>
      </c>
      <c r="U9" s="4">
        <v>18770</v>
      </c>
      <c r="V9" s="4">
        <v>24670</v>
      </c>
      <c r="W9" s="4"/>
      <c r="X9" s="4">
        <v>44</v>
      </c>
      <c r="Y9" s="4">
        <v>0.45400000000000001</v>
      </c>
      <c r="Z9" s="4">
        <v>71</v>
      </c>
      <c r="AA9" s="4">
        <v>62.7</v>
      </c>
      <c r="AB9" s="4">
        <v>5.3</v>
      </c>
      <c r="AC9" s="4">
        <v>3</v>
      </c>
      <c r="AD9" s="4">
        <v>23.4</v>
      </c>
      <c r="AE9" s="4">
        <v>5.6</v>
      </c>
      <c r="AF9" s="4">
        <v>0</v>
      </c>
      <c r="AG9" s="43">
        <v>0.4</v>
      </c>
    </row>
    <row r="10" spans="1:33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17</v>
      </c>
      <c r="I10" s="4">
        <v>75</v>
      </c>
      <c r="J10" s="4">
        <v>2</v>
      </c>
      <c r="K10" s="4">
        <v>1250</v>
      </c>
      <c r="L10" s="4">
        <v>7030</v>
      </c>
      <c r="M10" s="4">
        <v>13460</v>
      </c>
      <c r="N10" s="4">
        <v>1.74</v>
      </c>
      <c r="O10" s="4">
        <v>0</v>
      </c>
      <c r="P10" s="4">
        <v>600</v>
      </c>
      <c r="Q10" s="4">
        <v>2400</v>
      </c>
      <c r="R10" s="4">
        <v>4820</v>
      </c>
      <c r="S10" s="4">
        <v>9300</v>
      </c>
      <c r="T10" s="4">
        <v>11680</v>
      </c>
      <c r="U10" s="4">
        <v>15490</v>
      </c>
      <c r="V10" s="4">
        <v>20110</v>
      </c>
      <c r="W10" s="4"/>
      <c r="X10" s="4">
        <v>418.7</v>
      </c>
      <c r="Y10" s="4">
        <v>0.52200000000000002</v>
      </c>
      <c r="Z10" s="4">
        <v>70.8</v>
      </c>
      <c r="AA10" s="4">
        <v>61.6</v>
      </c>
      <c r="AB10" s="4">
        <v>6.8</v>
      </c>
      <c r="AC10" s="4">
        <v>2.4</v>
      </c>
      <c r="AD10" s="4">
        <v>24.3</v>
      </c>
      <c r="AE10" s="4">
        <v>4.9000000000000004</v>
      </c>
      <c r="AF10" s="4">
        <v>0</v>
      </c>
      <c r="AG10" s="43">
        <v>0.6</v>
      </c>
    </row>
    <row r="11" spans="1:33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19</v>
      </c>
      <c r="I11" s="4">
        <v>73</v>
      </c>
      <c r="J11" s="4">
        <v>2</v>
      </c>
      <c r="K11" s="4">
        <v>2500</v>
      </c>
      <c r="L11" s="4">
        <v>7900</v>
      </c>
      <c r="M11" s="4">
        <v>14460</v>
      </c>
      <c r="N11" s="4">
        <v>1.51</v>
      </c>
      <c r="O11" s="4">
        <v>0</v>
      </c>
      <c r="P11" s="4">
        <v>1210</v>
      </c>
      <c r="Q11" s="4">
        <v>3690</v>
      </c>
      <c r="R11" s="4">
        <v>5560</v>
      </c>
      <c r="S11" s="4">
        <v>10220</v>
      </c>
      <c r="T11" s="4">
        <v>12720</v>
      </c>
      <c r="U11" s="4">
        <v>15870</v>
      </c>
      <c r="V11" s="4">
        <v>21420</v>
      </c>
      <c r="W11" s="4"/>
      <c r="X11" s="4">
        <v>158.6</v>
      </c>
      <c r="Y11" s="4">
        <v>0.503</v>
      </c>
      <c r="Z11" s="4">
        <v>76.5</v>
      </c>
      <c r="AA11" s="4">
        <v>66.8</v>
      </c>
      <c r="AB11" s="4">
        <v>7.5</v>
      </c>
      <c r="AC11" s="4">
        <v>2.2000000000000002</v>
      </c>
      <c r="AD11" s="4">
        <v>20.2</v>
      </c>
      <c r="AE11" s="4">
        <v>3.3</v>
      </c>
      <c r="AF11" s="4">
        <v>0</v>
      </c>
      <c r="AG11" s="43">
        <v>0.2</v>
      </c>
    </row>
    <row r="12" spans="1:33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17</v>
      </c>
      <c r="I12" s="4">
        <v>71</v>
      </c>
      <c r="J12" s="4">
        <v>2</v>
      </c>
      <c r="K12" s="4">
        <v>2170</v>
      </c>
      <c r="L12" s="4">
        <v>8400</v>
      </c>
      <c r="M12" s="4">
        <v>14710</v>
      </c>
      <c r="N12" s="4">
        <v>1.49</v>
      </c>
      <c r="O12" s="4">
        <v>0</v>
      </c>
      <c r="P12" s="4">
        <v>1230</v>
      </c>
      <c r="Q12" s="4">
        <v>3380</v>
      </c>
      <c r="R12" s="4">
        <v>6050</v>
      </c>
      <c r="S12" s="4">
        <v>10880</v>
      </c>
      <c r="T12" s="4">
        <v>13420</v>
      </c>
      <c r="U12" s="4">
        <v>16440</v>
      </c>
      <c r="V12" s="4">
        <v>21320</v>
      </c>
      <c r="W12" s="4"/>
      <c r="X12" s="4">
        <v>127.8</v>
      </c>
      <c r="Y12" s="4">
        <v>0.48799999999999999</v>
      </c>
      <c r="Z12" s="4">
        <v>69.5</v>
      </c>
      <c r="AA12" s="4">
        <v>60.1</v>
      </c>
      <c r="AB12" s="4">
        <v>6.9</v>
      </c>
      <c r="AC12" s="4">
        <v>2.5</v>
      </c>
      <c r="AD12" s="4">
        <v>27.1</v>
      </c>
      <c r="AE12" s="4">
        <v>3.4</v>
      </c>
      <c r="AF12" s="4">
        <v>0</v>
      </c>
      <c r="AG12" s="43">
        <v>0.3</v>
      </c>
    </row>
    <row r="13" spans="1:33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21</v>
      </c>
      <c r="I13" s="4">
        <v>67</v>
      </c>
      <c r="J13" s="4">
        <v>2</v>
      </c>
      <c r="K13" s="4">
        <v>2870</v>
      </c>
      <c r="L13" s="4">
        <v>8770</v>
      </c>
      <c r="M13" s="4">
        <v>16320</v>
      </c>
      <c r="N13" s="4">
        <v>1.53</v>
      </c>
      <c r="O13" s="4">
        <v>0</v>
      </c>
      <c r="P13" s="4">
        <v>1550</v>
      </c>
      <c r="Q13" s="4">
        <v>4610</v>
      </c>
      <c r="R13" s="4">
        <v>6990</v>
      </c>
      <c r="S13" s="4">
        <v>11770</v>
      </c>
      <c r="T13" s="4">
        <v>15370</v>
      </c>
      <c r="U13" s="4">
        <v>18400</v>
      </c>
      <c r="V13" s="4">
        <v>26870</v>
      </c>
      <c r="W13" s="4"/>
      <c r="X13" s="4">
        <v>161.1</v>
      </c>
      <c r="Y13" s="4">
        <v>0.51800000000000002</v>
      </c>
      <c r="Z13" s="4">
        <v>77.8</v>
      </c>
      <c r="AA13" s="4">
        <v>68.5</v>
      </c>
      <c r="AB13" s="4">
        <v>5.3</v>
      </c>
      <c r="AC13" s="4">
        <v>4</v>
      </c>
      <c r="AD13" s="4">
        <v>18.399999999999999</v>
      </c>
      <c r="AE13" s="4">
        <v>3.8</v>
      </c>
      <c r="AF13" s="4">
        <v>0</v>
      </c>
      <c r="AG13" s="43">
        <v>0.2</v>
      </c>
    </row>
    <row r="14" spans="1:33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15</v>
      </c>
      <c r="I14" s="4">
        <v>75</v>
      </c>
      <c r="J14" s="4">
        <v>2</v>
      </c>
      <c r="K14" s="4">
        <v>2360</v>
      </c>
      <c r="L14" s="4">
        <v>7730</v>
      </c>
      <c r="M14" s="4">
        <v>13660</v>
      </c>
      <c r="N14" s="4">
        <v>1.46</v>
      </c>
      <c r="O14" s="4">
        <v>0</v>
      </c>
      <c r="P14" s="4">
        <v>1110</v>
      </c>
      <c r="Q14" s="4">
        <v>3290</v>
      </c>
      <c r="R14" s="4">
        <v>5820</v>
      </c>
      <c r="S14" s="4">
        <v>9520</v>
      </c>
      <c r="T14" s="4">
        <v>12050</v>
      </c>
      <c r="U14" s="4">
        <v>14900</v>
      </c>
      <c r="V14" s="4">
        <v>19820</v>
      </c>
      <c r="W14" s="4"/>
      <c r="X14" s="4">
        <v>160</v>
      </c>
      <c r="Y14" s="4">
        <v>0.48799999999999999</v>
      </c>
      <c r="Z14" s="4">
        <v>70.400000000000006</v>
      </c>
      <c r="AA14" s="4">
        <v>60.4</v>
      </c>
      <c r="AB14" s="4">
        <v>8.3000000000000007</v>
      </c>
      <c r="AC14" s="4">
        <v>1.7</v>
      </c>
      <c r="AD14" s="4">
        <v>27.9</v>
      </c>
      <c r="AE14" s="4">
        <v>1.7</v>
      </c>
      <c r="AF14" s="4">
        <v>0</v>
      </c>
      <c r="AG14" s="43">
        <v>0.3</v>
      </c>
    </row>
    <row r="15" spans="1:33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19</v>
      </c>
      <c r="I15" s="4">
        <v>69</v>
      </c>
      <c r="J15" s="4">
        <v>2</v>
      </c>
      <c r="K15" s="4">
        <v>2300</v>
      </c>
      <c r="L15" s="4">
        <v>7790</v>
      </c>
      <c r="M15" s="4">
        <v>15650</v>
      </c>
      <c r="N15" s="4">
        <v>1.71</v>
      </c>
      <c r="O15" s="4">
        <v>0</v>
      </c>
      <c r="P15" s="4">
        <v>890</v>
      </c>
      <c r="Q15" s="4">
        <v>3310</v>
      </c>
      <c r="R15" s="4">
        <v>5580</v>
      </c>
      <c r="S15" s="4">
        <v>10570</v>
      </c>
      <c r="T15" s="4">
        <v>13860</v>
      </c>
      <c r="U15" s="4">
        <v>17590</v>
      </c>
      <c r="V15" s="4">
        <v>22940</v>
      </c>
      <c r="W15" s="4"/>
      <c r="X15" s="4">
        <v>256.5</v>
      </c>
      <c r="Y15" s="4">
        <v>0.52700000000000002</v>
      </c>
      <c r="Z15" s="4">
        <v>78.2</v>
      </c>
      <c r="AA15" s="4">
        <v>66.5</v>
      </c>
      <c r="AB15" s="4">
        <v>8.1999999999999993</v>
      </c>
      <c r="AC15" s="4">
        <v>3.5</v>
      </c>
      <c r="AD15" s="4">
        <v>19.7</v>
      </c>
      <c r="AE15" s="4">
        <v>2.1</v>
      </c>
      <c r="AF15" s="4">
        <v>0</v>
      </c>
      <c r="AG15" s="43">
        <v>0.5</v>
      </c>
    </row>
    <row r="16" spans="1:33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31</v>
      </c>
      <c r="I16" s="4">
        <v>51</v>
      </c>
      <c r="J16" s="4">
        <v>2</v>
      </c>
      <c r="K16" s="4">
        <v>6320</v>
      </c>
      <c r="L16" s="4">
        <v>13350</v>
      </c>
      <c r="M16" s="4">
        <v>23510</v>
      </c>
      <c r="N16" s="4">
        <v>1.29</v>
      </c>
      <c r="O16" s="4">
        <v>270</v>
      </c>
      <c r="P16" s="4">
        <v>4570</v>
      </c>
      <c r="Q16" s="4">
        <v>7210</v>
      </c>
      <c r="R16" s="4">
        <v>10180</v>
      </c>
      <c r="S16" s="4">
        <v>16220</v>
      </c>
      <c r="T16" s="4">
        <v>20620</v>
      </c>
      <c r="U16" s="4">
        <v>25250</v>
      </c>
      <c r="V16" s="4">
        <v>33890</v>
      </c>
      <c r="W16" s="4">
        <v>125.9</v>
      </c>
      <c r="X16" s="4">
        <v>30.8</v>
      </c>
      <c r="Y16" s="4">
        <v>0.46100000000000002</v>
      </c>
      <c r="Z16" s="4">
        <v>79.400000000000006</v>
      </c>
      <c r="AA16" s="4">
        <v>69</v>
      </c>
      <c r="AB16" s="4">
        <v>5.8</v>
      </c>
      <c r="AC16" s="4">
        <v>4.5999999999999996</v>
      </c>
      <c r="AD16" s="4">
        <v>17.899999999999999</v>
      </c>
      <c r="AE16" s="4">
        <v>2.7</v>
      </c>
      <c r="AF16" s="4">
        <v>0</v>
      </c>
      <c r="AG16" s="43">
        <v>0.2</v>
      </c>
    </row>
    <row r="17" spans="1:33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26</v>
      </c>
      <c r="I17" s="4">
        <v>61</v>
      </c>
      <c r="J17" s="4">
        <v>1</v>
      </c>
      <c r="K17" s="4">
        <v>3710</v>
      </c>
      <c r="L17" s="4">
        <v>10630</v>
      </c>
      <c r="M17" s="4">
        <v>18810</v>
      </c>
      <c r="N17" s="4">
        <v>1.42</v>
      </c>
      <c r="O17" s="4">
        <v>0</v>
      </c>
      <c r="P17" s="4">
        <v>2170</v>
      </c>
      <c r="Q17" s="4">
        <v>5400</v>
      </c>
      <c r="R17" s="4">
        <v>8450</v>
      </c>
      <c r="S17" s="4">
        <v>13420</v>
      </c>
      <c r="T17" s="4">
        <v>16830</v>
      </c>
      <c r="U17" s="4">
        <v>20910</v>
      </c>
      <c r="V17" s="4">
        <v>29540</v>
      </c>
      <c r="W17" s="4"/>
      <c r="X17" s="4">
        <v>78.7</v>
      </c>
      <c r="Y17" s="4">
        <v>0.51</v>
      </c>
      <c r="Z17" s="4">
        <v>79.099999999999994</v>
      </c>
      <c r="AA17" s="4">
        <v>67.900000000000006</v>
      </c>
      <c r="AB17" s="4">
        <v>6.6</v>
      </c>
      <c r="AC17" s="4">
        <v>4.5999999999999996</v>
      </c>
      <c r="AD17" s="4">
        <v>16.5</v>
      </c>
      <c r="AE17" s="4">
        <v>4.4000000000000004</v>
      </c>
      <c r="AF17" s="4">
        <v>0</v>
      </c>
      <c r="AG17" s="43">
        <v>0.2</v>
      </c>
    </row>
    <row r="18" spans="1:33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29</v>
      </c>
      <c r="I18" s="4">
        <v>58</v>
      </c>
      <c r="J18" s="4">
        <v>1</v>
      </c>
      <c r="K18" s="4">
        <v>4340</v>
      </c>
      <c r="L18" s="4">
        <v>11290</v>
      </c>
      <c r="M18" s="4">
        <v>19140</v>
      </c>
      <c r="N18" s="4">
        <v>1.31</v>
      </c>
      <c r="O18" s="4">
        <v>0</v>
      </c>
      <c r="P18" s="4">
        <v>2480</v>
      </c>
      <c r="Q18" s="4">
        <v>6040</v>
      </c>
      <c r="R18" s="4">
        <v>8550</v>
      </c>
      <c r="S18" s="4">
        <v>14180</v>
      </c>
      <c r="T18" s="4">
        <v>17270</v>
      </c>
      <c r="U18" s="4">
        <v>21780</v>
      </c>
      <c r="V18" s="4">
        <v>28760</v>
      </c>
      <c r="W18" s="4"/>
      <c r="X18" s="4">
        <v>97.2</v>
      </c>
      <c r="Y18" s="4">
        <v>0.48299999999999998</v>
      </c>
      <c r="Z18" s="4">
        <v>84.7</v>
      </c>
      <c r="AA18" s="4">
        <v>74.3</v>
      </c>
      <c r="AB18" s="4">
        <v>7.1</v>
      </c>
      <c r="AC18" s="4">
        <v>3.3</v>
      </c>
      <c r="AD18" s="4">
        <v>11.8</v>
      </c>
      <c r="AE18" s="4">
        <v>3.5</v>
      </c>
      <c r="AF18" s="4">
        <v>0</v>
      </c>
      <c r="AG18" s="43">
        <v>0.5</v>
      </c>
    </row>
    <row r="19" spans="1:33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22</v>
      </c>
      <c r="I19" s="4">
        <v>68</v>
      </c>
      <c r="J19" s="4">
        <v>1</v>
      </c>
      <c r="K19" s="4">
        <v>3390</v>
      </c>
      <c r="L19" s="4">
        <v>8880</v>
      </c>
      <c r="M19" s="4">
        <v>16070</v>
      </c>
      <c r="N19" s="4">
        <v>1.43</v>
      </c>
      <c r="O19" s="4">
        <v>0</v>
      </c>
      <c r="P19" s="4">
        <v>1930</v>
      </c>
      <c r="Q19" s="4">
        <v>4920</v>
      </c>
      <c r="R19" s="4">
        <v>6710</v>
      </c>
      <c r="S19" s="4">
        <v>11170</v>
      </c>
      <c r="T19" s="4">
        <v>14640</v>
      </c>
      <c r="U19" s="4">
        <v>17870</v>
      </c>
      <c r="V19" s="4">
        <v>22580</v>
      </c>
      <c r="W19" s="4"/>
      <c r="X19" s="4">
        <v>76.400000000000006</v>
      </c>
      <c r="Y19" s="4">
        <v>0.48099999999999998</v>
      </c>
      <c r="Z19" s="4">
        <v>81.2</v>
      </c>
      <c r="AA19" s="4">
        <v>71.099999999999994</v>
      </c>
      <c r="AB19" s="4">
        <v>7.8</v>
      </c>
      <c r="AC19" s="4">
        <v>2.2999999999999998</v>
      </c>
      <c r="AD19" s="4">
        <v>16.3</v>
      </c>
      <c r="AE19" s="4">
        <v>2.5</v>
      </c>
      <c r="AF19" s="4">
        <v>0</v>
      </c>
      <c r="AG19" s="43">
        <v>0.3</v>
      </c>
    </row>
    <row r="20" spans="1:33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18</v>
      </c>
      <c r="I20" s="4">
        <v>74</v>
      </c>
      <c r="J20" s="4">
        <v>1</v>
      </c>
      <c r="K20" s="4">
        <v>3070</v>
      </c>
      <c r="L20" s="4">
        <v>8020</v>
      </c>
      <c r="M20" s="4">
        <v>14140</v>
      </c>
      <c r="N20" s="4">
        <v>1.38</v>
      </c>
      <c r="O20" s="4">
        <v>0</v>
      </c>
      <c r="P20" s="4">
        <v>2140</v>
      </c>
      <c r="Q20" s="4">
        <v>3920</v>
      </c>
      <c r="R20" s="4">
        <v>6170</v>
      </c>
      <c r="S20" s="4">
        <v>10240</v>
      </c>
      <c r="T20" s="4">
        <v>12670</v>
      </c>
      <c r="U20" s="4">
        <v>15820</v>
      </c>
      <c r="V20" s="4">
        <v>21940</v>
      </c>
      <c r="W20" s="4"/>
      <c r="X20" s="4">
        <v>59.9</v>
      </c>
      <c r="Y20" s="4">
        <v>0.47899999999999998</v>
      </c>
      <c r="Z20" s="4">
        <v>73.2</v>
      </c>
      <c r="AA20" s="4">
        <v>63.6</v>
      </c>
      <c r="AB20" s="4">
        <v>8.4</v>
      </c>
      <c r="AC20" s="4">
        <v>1.2</v>
      </c>
      <c r="AD20" s="4">
        <v>24.3</v>
      </c>
      <c r="AE20" s="4">
        <v>2.5</v>
      </c>
      <c r="AF20" s="4">
        <v>0</v>
      </c>
      <c r="AG20" s="43">
        <v>0.3</v>
      </c>
    </row>
    <row r="21" spans="1:33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62</v>
      </c>
      <c r="I21" s="4">
        <v>19</v>
      </c>
      <c r="J21" s="4">
        <v>1</v>
      </c>
      <c r="K21" s="4">
        <v>16790</v>
      </c>
      <c r="L21" s="4">
        <v>26700</v>
      </c>
      <c r="M21" s="4">
        <v>40600</v>
      </c>
      <c r="N21" s="4">
        <v>0.89</v>
      </c>
      <c r="O21" s="4">
        <v>8140</v>
      </c>
      <c r="P21" s="4">
        <v>14510</v>
      </c>
      <c r="Q21" s="4">
        <v>18790</v>
      </c>
      <c r="R21" s="4">
        <v>22810</v>
      </c>
      <c r="S21" s="4">
        <v>31370</v>
      </c>
      <c r="T21" s="4">
        <v>36970</v>
      </c>
      <c r="U21" s="4">
        <v>45350</v>
      </c>
      <c r="V21" s="4">
        <v>60180</v>
      </c>
      <c r="W21" s="4">
        <v>7.4</v>
      </c>
      <c r="X21" s="4">
        <v>11.9</v>
      </c>
      <c r="Y21" s="4">
        <v>0.439</v>
      </c>
      <c r="Z21" s="4">
        <v>63</v>
      </c>
      <c r="AA21" s="4">
        <v>53.4</v>
      </c>
      <c r="AB21" s="4">
        <v>2.7</v>
      </c>
      <c r="AC21" s="4">
        <v>6.9</v>
      </c>
      <c r="AD21" s="4">
        <v>25.4</v>
      </c>
      <c r="AE21" s="4">
        <v>11.6</v>
      </c>
      <c r="AF21" s="4">
        <v>0</v>
      </c>
      <c r="AG21" s="43">
        <v>0.9</v>
      </c>
    </row>
    <row r="22" spans="1:33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64</v>
      </c>
      <c r="I22" s="4">
        <v>14</v>
      </c>
      <c r="J22" s="4">
        <v>1</v>
      </c>
      <c r="K22" s="4">
        <v>19320</v>
      </c>
      <c r="L22" s="4">
        <v>29830</v>
      </c>
      <c r="M22" s="4">
        <v>45560</v>
      </c>
      <c r="N22" s="4">
        <v>0.88</v>
      </c>
      <c r="O22" s="4">
        <v>10950</v>
      </c>
      <c r="P22" s="4">
        <v>17750</v>
      </c>
      <c r="Q22" s="4">
        <v>21570</v>
      </c>
      <c r="R22" s="4">
        <v>25390</v>
      </c>
      <c r="S22" s="4">
        <v>35340</v>
      </c>
      <c r="T22" s="4">
        <v>41510</v>
      </c>
      <c r="U22" s="4">
        <v>51410</v>
      </c>
      <c r="V22" s="4">
        <v>67470</v>
      </c>
      <c r="W22" s="4">
        <v>6.2</v>
      </c>
      <c r="X22" s="4">
        <v>8.3000000000000007</v>
      </c>
      <c r="Y22" s="4">
        <v>0.38600000000000001</v>
      </c>
      <c r="Z22" s="4">
        <v>63.6</v>
      </c>
      <c r="AA22" s="4">
        <v>54.2</v>
      </c>
      <c r="AB22" s="4">
        <v>2.8</v>
      </c>
      <c r="AC22" s="4">
        <v>6.6</v>
      </c>
      <c r="AD22" s="4">
        <v>29.5</v>
      </c>
      <c r="AE22" s="4">
        <v>6.9</v>
      </c>
      <c r="AF22" s="4">
        <v>0</v>
      </c>
      <c r="AG22" s="43">
        <v>0.6</v>
      </c>
    </row>
    <row r="23" spans="1:33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45</v>
      </c>
      <c r="I23" s="4">
        <v>30</v>
      </c>
      <c r="J23" s="4">
        <v>1</v>
      </c>
      <c r="K23" s="4">
        <v>11270</v>
      </c>
      <c r="L23" s="4">
        <v>19680</v>
      </c>
      <c r="M23" s="4">
        <v>27620</v>
      </c>
      <c r="N23" s="4">
        <v>0.83</v>
      </c>
      <c r="O23" s="4">
        <v>4740</v>
      </c>
      <c r="P23" s="4">
        <v>9430</v>
      </c>
      <c r="Q23" s="4">
        <v>13600</v>
      </c>
      <c r="R23" s="4">
        <v>16950</v>
      </c>
      <c r="S23" s="4">
        <v>22410</v>
      </c>
      <c r="T23" s="4">
        <v>25970</v>
      </c>
      <c r="U23" s="4">
        <v>29800</v>
      </c>
      <c r="V23" s="4">
        <v>36550</v>
      </c>
      <c r="W23" s="4">
        <v>7.7</v>
      </c>
      <c r="X23" s="4">
        <v>9.8000000000000007</v>
      </c>
      <c r="Y23" s="4">
        <v>0.36099999999999999</v>
      </c>
      <c r="Z23" s="4">
        <v>71.900000000000006</v>
      </c>
      <c r="AA23" s="4">
        <v>63.4</v>
      </c>
      <c r="AB23" s="4">
        <v>3.8</v>
      </c>
      <c r="AC23" s="4">
        <v>4.7</v>
      </c>
      <c r="AD23" s="4">
        <v>24.9</v>
      </c>
      <c r="AE23" s="4">
        <v>3.2</v>
      </c>
      <c r="AF23" s="4">
        <v>0</v>
      </c>
      <c r="AG23" s="43">
        <v>0.5</v>
      </c>
    </row>
    <row r="24" spans="1:33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25</v>
      </c>
      <c r="I24" s="4">
        <v>65</v>
      </c>
      <c r="J24" s="4">
        <v>2</v>
      </c>
      <c r="K24" s="4">
        <v>3380</v>
      </c>
      <c r="L24" s="4">
        <v>9320</v>
      </c>
      <c r="M24" s="4">
        <v>16670</v>
      </c>
      <c r="N24" s="4">
        <v>1.43</v>
      </c>
      <c r="O24" s="4">
        <v>0</v>
      </c>
      <c r="P24" s="4">
        <v>2130</v>
      </c>
      <c r="Q24" s="4">
        <v>4690</v>
      </c>
      <c r="R24" s="4">
        <v>7050</v>
      </c>
      <c r="S24" s="4">
        <v>12510</v>
      </c>
      <c r="T24" s="4">
        <v>15460</v>
      </c>
      <c r="U24" s="4">
        <v>18490</v>
      </c>
      <c r="V24" s="4">
        <v>24490</v>
      </c>
      <c r="W24" s="4"/>
      <c r="X24" s="4">
        <v>87.9</v>
      </c>
      <c r="Y24" s="4">
        <v>0.48599999999999999</v>
      </c>
      <c r="Z24" s="4">
        <v>76.099999999999994</v>
      </c>
      <c r="AA24" s="4">
        <v>67.5</v>
      </c>
      <c r="AB24" s="4">
        <v>6</v>
      </c>
      <c r="AC24" s="4">
        <v>2.6</v>
      </c>
      <c r="AD24" s="4">
        <v>22.1</v>
      </c>
      <c r="AE24" s="4">
        <v>1.8</v>
      </c>
      <c r="AF24" s="4">
        <v>0</v>
      </c>
      <c r="AG24" s="43">
        <v>0.2</v>
      </c>
    </row>
    <row r="25" spans="1:33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23</v>
      </c>
      <c r="I25" s="4">
        <v>61</v>
      </c>
      <c r="J25" s="4">
        <v>2</v>
      </c>
      <c r="K25" s="4">
        <v>2830</v>
      </c>
      <c r="L25" s="4">
        <v>10290</v>
      </c>
      <c r="M25" s="4">
        <v>18880</v>
      </c>
      <c r="N25" s="4">
        <v>1.56</v>
      </c>
      <c r="O25" s="4">
        <v>0</v>
      </c>
      <c r="P25" s="4">
        <v>1310</v>
      </c>
      <c r="Q25" s="4">
        <v>4400</v>
      </c>
      <c r="R25" s="4">
        <v>6960</v>
      </c>
      <c r="S25" s="4">
        <v>13470</v>
      </c>
      <c r="T25" s="4">
        <v>16630</v>
      </c>
      <c r="U25" s="4">
        <v>20480</v>
      </c>
      <c r="V25" s="4">
        <v>26560</v>
      </c>
      <c r="W25" s="4"/>
      <c r="X25" s="4">
        <v>150.30000000000001</v>
      </c>
      <c r="Y25" s="4">
        <v>0.495</v>
      </c>
      <c r="Z25" s="4">
        <v>74.900000000000006</v>
      </c>
      <c r="AA25" s="4">
        <v>67.2</v>
      </c>
      <c r="AB25" s="4">
        <v>5.7</v>
      </c>
      <c r="AC25" s="4">
        <v>2</v>
      </c>
      <c r="AD25" s="4">
        <v>21</v>
      </c>
      <c r="AE25" s="4">
        <v>4.0999999999999996</v>
      </c>
      <c r="AF25" s="4">
        <v>0</v>
      </c>
      <c r="AG25" s="43">
        <v>0.2</v>
      </c>
    </row>
    <row r="26" spans="1:33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36</v>
      </c>
      <c r="I26" s="4">
        <v>42</v>
      </c>
      <c r="J26" s="4">
        <v>1</v>
      </c>
      <c r="K26" s="4">
        <v>7820</v>
      </c>
      <c r="L26" s="4">
        <v>17080</v>
      </c>
      <c r="M26" s="4">
        <v>26210</v>
      </c>
      <c r="N26" s="4">
        <v>1.08</v>
      </c>
      <c r="O26" s="4">
        <v>960</v>
      </c>
      <c r="P26" s="4">
        <v>5660</v>
      </c>
      <c r="Q26" s="4">
        <v>9550</v>
      </c>
      <c r="R26" s="4">
        <v>13370</v>
      </c>
      <c r="S26" s="4">
        <v>20100</v>
      </c>
      <c r="T26" s="4">
        <v>23860</v>
      </c>
      <c r="U26" s="4">
        <v>28810</v>
      </c>
      <c r="V26" s="4">
        <v>38760</v>
      </c>
      <c r="W26" s="4">
        <v>40.5</v>
      </c>
      <c r="X26" s="4">
        <v>25.1</v>
      </c>
      <c r="Y26" s="4">
        <v>0.46</v>
      </c>
      <c r="Z26" s="4">
        <v>78.3</v>
      </c>
      <c r="AA26" s="4">
        <v>68</v>
      </c>
      <c r="AB26" s="4">
        <v>4.5</v>
      </c>
      <c r="AC26" s="4">
        <v>5.8</v>
      </c>
      <c r="AD26" s="4">
        <v>18</v>
      </c>
      <c r="AE26" s="4">
        <v>3.7</v>
      </c>
      <c r="AF26" s="4">
        <v>0</v>
      </c>
      <c r="AG26" s="43">
        <v>0.4</v>
      </c>
    </row>
    <row r="27" spans="1:33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19</v>
      </c>
      <c r="I27" s="4">
        <v>71</v>
      </c>
      <c r="J27" s="4">
        <v>2</v>
      </c>
      <c r="K27" s="4">
        <v>2020</v>
      </c>
      <c r="L27" s="4">
        <v>7840</v>
      </c>
      <c r="M27" s="4">
        <v>15180</v>
      </c>
      <c r="N27" s="4">
        <v>1.68</v>
      </c>
      <c r="O27" s="4">
        <v>0</v>
      </c>
      <c r="P27" s="4">
        <v>710</v>
      </c>
      <c r="Q27" s="4">
        <v>2990</v>
      </c>
      <c r="R27" s="4">
        <v>5060</v>
      </c>
      <c r="S27" s="4">
        <v>10220</v>
      </c>
      <c r="T27" s="4">
        <v>13330</v>
      </c>
      <c r="U27" s="4">
        <v>17190</v>
      </c>
      <c r="V27" s="4">
        <v>22010</v>
      </c>
      <c r="W27" s="4"/>
      <c r="X27" s="4">
        <v>257.5</v>
      </c>
      <c r="Y27" s="4">
        <v>0.52400000000000002</v>
      </c>
      <c r="Z27" s="4">
        <v>75.599999999999994</v>
      </c>
      <c r="AA27" s="4">
        <v>65.3</v>
      </c>
      <c r="AB27" s="4">
        <v>7</v>
      </c>
      <c r="AC27" s="4">
        <v>3.3</v>
      </c>
      <c r="AD27" s="4">
        <v>20.9</v>
      </c>
      <c r="AE27" s="4">
        <v>3.5</v>
      </c>
      <c r="AF27" s="4">
        <v>0</v>
      </c>
      <c r="AG27" s="43">
        <v>0.2</v>
      </c>
    </row>
    <row r="28" spans="1:33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21</v>
      </c>
      <c r="I28" s="4">
        <v>69</v>
      </c>
      <c r="J28" s="4">
        <v>2</v>
      </c>
      <c r="K28" s="4">
        <v>1730</v>
      </c>
      <c r="L28" s="4">
        <v>8650</v>
      </c>
      <c r="M28" s="4">
        <v>15810</v>
      </c>
      <c r="N28" s="4">
        <v>1.63</v>
      </c>
      <c r="O28" s="4">
        <v>0</v>
      </c>
      <c r="P28" s="4">
        <v>480</v>
      </c>
      <c r="Q28" s="4">
        <v>3050</v>
      </c>
      <c r="R28" s="4">
        <v>6200</v>
      </c>
      <c r="S28" s="4">
        <v>10770</v>
      </c>
      <c r="T28" s="4">
        <v>14000</v>
      </c>
      <c r="U28" s="4">
        <v>18260</v>
      </c>
      <c r="V28" s="4">
        <v>22540</v>
      </c>
      <c r="W28" s="4"/>
      <c r="X28" s="4">
        <v>695.7</v>
      </c>
      <c r="Y28" s="4">
        <v>0.52500000000000002</v>
      </c>
      <c r="Z28" s="4">
        <v>78.7</v>
      </c>
      <c r="AA28" s="4">
        <v>65.599999999999994</v>
      </c>
      <c r="AB28" s="4">
        <v>6.6</v>
      </c>
      <c r="AC28" s="4">
        <v>6.5</v>
      </c>
      <c r="AD28" s="4">
        <v>18</v>
      </c>
      <c r="AE28" s="4">
        <v>3.3</v>
      </c>
      <c r="AF28" s="4">
        <v>0</v>
      </c>
      <c r="AG28" s="43">
        <v>0.1</v>
      </c>
    </row>
    <row r="29" spans="1:33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21</v>
      </c>
      <c r="I29" s="4">
        <v>67</v>
      </c>
      <c r="J29" s="4">
        <v>1</v>
      </c>
      <c r="K29" s="4">
        <v>3300</v>
      </c>
      <c r="L29" s="4">
        <v>9500</v>
      </c>
      <c r="M29" s="4">
        <v>16500</v>
      </c>
      <c r="N29" s="4">
        <v>1.39</v>
      </c>
      <c r="O29" s="4">
        <v>0</v>
      </c>
      <c r="P29" s="4">
        <v>1670</v>
      </c>
      <c r="Q29" s="4">
        <v>4670</v>
      </c>
      <c r="R29" s="4">
        <v>7170</v>
      </c>
      <c r="S29" s="4">
        <v>12040</v>
      </c>
      <c r="T29" s="4">
        <v>14920</v>
      </c>
      <c r="U29" s="4">
        <v>18390</v>
      </c>
      <c r="V29" s="4">
        <v>26190</v>
      </c>
      <c r="W29" s="4"/>
      <c r="X29" s="4">
        <v>98.4</v>
      </c>
      <c r="Y29" s="4">
        <v>0.496</v>
      </c>
      <c r="Z29" s="4">
        <v>75.099999999999994</v>
      </c>
      <c r="AA29" s="4">
        <v>66.400000000000006</v>
      </c>
      <c r="AB29" s="4">
        <v>6.9</v>
      </c>
      <c r="AC29" s="4">
        <v>1.8</v>
      </c>
      <c r="AD29" s="4">
        <v>22.5</v>
      </c>
      <c r="AE29" s="4">
        <v>2.4</v>
      </c>
      <c r="AF29" s="4">
        <v>0</v>
      </c>
      <c r="AG29" s="43">
        <v>0.2</v>
      </c>
    </row>
    <row r="30" spans="1:33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21</v>
      </c>
      <c r="I30" s="4">
        <v>69</v>
      </c>
      <c r="J30" s="4">
        <v>2</v>
      </c>
      <c r="K30" s="4">
        <v>2940</v>
      </c>
      <c r="L30" s="4">
        <v>8050</v>
      </c>
      <c r="M30" s="4">
        <v>16030</v>
      </c>
      <c r="N30" s="4">
        <v>1.63</v>
      </c>
      <c r="O30" s="4">
        <v>0</v>
      </c>
      <c r="P30" s="4">
        <v>1880</v>
      </c>
      <c r="Q30" s="4">
        <v>3750</v>
      </c>
      <c r="R30" s="4">
        <v>6140</v>
      </c>
      <c r="S30" s="4">
        <v>10610</v>
      </c>
      <c r="T30" s="4">
        <v>14200</v>
      </c>
      <c r="U30" s="4">
        <v>18200</v>
      </c>
      <c r="V30" s="4">
        <v>22690</v>
      </c>
      <c r="W30" s="4"/>
      <c r="X30" s="4">
        <v>127</v>
      </c>
      <c r="Y30" s="4">
        <v>0.503</v>
      </c>
      <c r="Z30" s="4">
        <v>72.2</v>
      </c>
      <c r="AA30" s="4">
        <v>62.2</v>
      </c>
      <c r="AB30" s="4">
        <v>6.4</v>
      </c>
      <c r="AC30" s="4">
        <v>3.6</v>
      </c>
      <c r="AD30" s="4">
        <v>25</v>
      </c>
      <c r="AE30" s="4">
        <v>2.8</v>
      </c>
      <c r="AF30" s="4">
        <v>0</v>
      </c>
      <c r="AG30" s="43">
        <v>0.2</v>
      </c>
    </row>
    <row r="31" spans="1:33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15</v>
      </c>
      <c r="I31" s="4">
        <v>75</v>
      </c>
      <c r="J31" s="4">
        <v>2</v>
      </c>
      <c r="K31" s="4">
        <v>2230</v>
      </c>
      <c r="L31" s="4">
        <v>7510</v>
      </c>
      <c r="M31" s="4">
        <v>13770</v>
      </c>
      <c r="N31" s="4">
        <v>1.54</v>
      </c>
      <c r="O31" s="4">
        <v>0</v>
      </c>
      <c r="P31" s="4">
        <v>920</v>
      </c>
      <c r="Q31" s="4">
        <v>3060</v>
      </c>
      <c r="R31" s="4">
        <v>5020</v>
      </c>
      <c r="S31" s="4">
        <v>8960</v>
      </c>
      <c r="T31" s="4">
        <v>12320</v>
      </c>
      <c r="U31" s="4">
        <v>15110</v>
      </c>
      <c r="V31" s="4">
        <v>19220</v>
      </c>
      <c r="W31" s="4"/>
      <c r="X31" s="4">
        <v>169.1</v>
      </c>
      <c r="Y31" s="4">
        <v>0.495</v>
      </c>
      <c r="Z31" s="4">
        <v>77.2</v>
      </c>
      <c r="AA31" s="4">
        <v>66.7</v>
      </c>
      <c r="AB31" s="4">
        <v>9.1</v>
      </c>
      <c r="AC31" s="4">
        <v>1.4</v>
      </c>
      <c r="AD31" s="4">
        <v>20</v>
      </c>
      <c r="AE31" s="4">
        <v>2.8</v>
      </c>
      <c r="AF31" s="4">
        <v>0</v>
      </c>
      <c r="AG31" s="43">
        <v>0.2</v>
      </c>
    </row>
    <row r="32" spans="1:33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21</v>
      </c>
      <c r="I32" s="4">
        <v>69</v>
      </c>
      <c r="J32" s="4">
        <v>2</v>
      </c>
      <c r="K32" s="4">
        <v>3390</v>
      </c>
      <c r="L32" s="4">
        <v>8370</v>
      </c>
      <c r="M32" s="4">
        <v>15480</v>
      </c>
      <c r="N32" s="4">
        <v>1.44</v>
      </c>
      <c r="O32" s="4">
        <v>0</v>
      </c>
      <c r="P32" s="4">
        <v>1660</v>
      </c>
      <c r="Q32" s="4">
        <v>4710</v>
      </c>
      <c r="R32" s="4">
        <v>6500</v>
      </c>
      <c r="S32" s="4">
        <v>10730</v>
      </c>
      <c r="T32" s="4">
        <v>13810</v>
      </c>
      <c r="U32" s="4">
        <v>17160</v>
      </c>
      <c r="V32" s="4">
        <v>23370</v>
      </c>
      <c r="W32" s="4"/>
      <c r="X32" s="4">
        <v>111.3</v>
      </c>
      <c r="Y32" s="4">
        <v>0.49</v>
      </c>
      <c r="Z32" s="4">
        <v>71.099999999999994</v>
      </c>
      <c r="AA32" s="4">
        <v>60.8</v>
      </c>
      <c r="AB32" s="4">
        <v>6.8</v>
      </c>
      <c r="AC32" s="4">
        <v>3.5</v>
      </c>
      <c r="AD32" s="4">
        <v>25.4</v>
      </c>
      <c r="AE32" s="4">
        <v>3.5</v>
      </c>
      <c r="AF32" s="4">
        <v>0</v>
      </c>
      <c r="AG32" s="43">
        <v>0.3</v>
      </c>
    </row>
    <row r="33" spans="1:33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3">
        <v>0.1</v>
      </c>
    </row>
    <row r="34" spans="1:33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15</v>
      </c>
      <c r="I34" s="4">
        <v>79</v>
      </c>
      <c r="J34" s="4">
        <v>2</v>
      </c>
      <c r="K34" s="4">
        <v>2940</v>
      </c>
      <c r="L34" s="4">
        <v>7060</v>
      </c>
      <c r="M34" s="4">
        <v>12020</v>
      </c>
      <c r="N34" s="4">
        <v>1.29</v>
      </c>
      <c r="O34" s="4">
        <v>0</v>
      </c>
      <c r="P34" s="4">
        <v>2090</v>
      </c>
      <c r="Q34" s="4">
        <v>3760</v>
      </c>
      <c r="R34" s="4">
        <v>5560</v>
      </c>
      <c r="S34" s="4">
        <v>8850</v>
      </c>
      <c r="T34" s="4">
        <v>10780</v>
      </c>
      <c r="U34" s="4">
        <v>13950</v>
      </c>
      <c r="V34" s="4">
        <v>18890</v>
      </c>
      <c r="W34" s="4"/>
      <c r="X34" s="4">
        <v>58.1</v>
      </c>
      <c r="Y34" s="4">
        <v>0.47199999999999998</v>
      </c>
      <c r="Z34" s="4">
        <v>76.900000000000006</v>
      </c>
      <c r="AA34" s="4">
        <v>65.5</v>
      </c>
      <c r="AB34" s="4">
        <v>9.6</v>
      </c>
      <c r="AC34" s="4">
        <v>1.8</v>
      </c>
      <c r="AD34" s="4">
        <v>21</v>
      </c>
      <c r="AE34" s="4">
        <v>2.1</v>
      </c>
      <c r="AF34" s="4">
        <v>0</v>
      </c>
      <c r="AG34" s="43">
        <v>0.2</v>
      </c>
    </row>
    <row r="35" spans="1:33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31</v>
      </c>
      <c r="I35" s="4">
        <v>51</v>
      </c>
      <c r="J35" s="4">
        <v>2</v>
      </c>
      <c r="K35" s="4">
        <v>5380</v>
      </c>
      <c r="L35" s="4">
        <v>13260</v>
      </c>
      <c r="M35" s="4">
        <v>21710</v>
      </c>
      <c r="N35" s="4">
        <v>1.23</v>
      </c>
      <c r="O35" s="4">
        <v>80</v>
      </c>
      <c r="P35" s="4">
        <v>4210</v>
      </c>
      <c r="Q35" s="4">
        <v>6270</v>
      </c>
      <c r="R35" s="4">
        <v>10210</v>
      </c>
      <c r="S35" s="4">
        <v>16490</v>
      </c>
      <c r="T35" s="4">
        <v>20040</v>
      </c>
      <c r="U35" s="4">
        <v>23500</v>
      </c>
      <c r="V35" s="4">
        <v>29110</v>
      </c>
      <c r="W35" s="4">
        <v>370.5</v>
      </c>
      <c r="X35" s="4">
        <v>31.6</v>
      </c>
      <c r="Y35" s="4">
        <v>0.434</v>
      </c>
      <c r="Z35" s="4">
        <v>73.3</v>
      </c>
      <c r="AA35" s="4">
        <v>66.3</v>
      </c>
      <c r="AB35" s="4">
        <v>5.4</v>
      </c>
      <c r="AC35" s="4">
        <v>1.6</v>
      </c>
      <c r="AD35" s="4">
        <v>22.7</v>
      </c>
      <c r="AE35" s="4">
        <v>4</v>
      </c>
      <c r="AF35" s="4">
        <v>0</v>
      </c>
      <c r="AG35" s="43">
        <v>1</v>
      </c>
    </row>
    <row r="36" spans="1:33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37</v>
      </c>
      <c r="I36" s="4">
        <v>38</v>
      </c>
      <c r="J36" s="4">
        <v>1</v>
      </c>
      <c r="K36" s="4">
        <v>9460</v>
      </c>
      <c r="L36" s="4">
        <v>17300</v>
      </c>
      <c r="M36" s="4">
        <v>25010</v>
      </c>
      <c r="N36" s="4">
        <v>0.9</v>
      </c>
      <c r="O36" s="4">
        <v>3340</v>
      </c>
      <c r="P36" s="4">
        <v>8250</v>
      </c>
      <c r="Q36" s="4">
        <v>11610</v>
      </c>
      <c r="R36" s="4">
        <v>14250</v>
      </c>
      <c r="S36" s="4">
        <v>19880</v>
      </c>
      <c r="T36" s="4">
        <v>22790</v>
      </c>
      <c r="U36" s="4">
        <v>27330</v>
      </c>
      <c r="V36" s="4">
        <v>35270</v>
      </c>
      <c r="W36" s="4">
        <v>10.6</v>
      </c>
      <c r="X36" s="4">
        <v>12</v>
      </c>
      <c r="Y36" s="4">
        <v>0.38200000000000001</v>
      </c>
      <c r="Z36" s="4">
        <v>71.7</v>
      </c>
      <c r="AA36" s="4">
        <v>63</v>
      </c>
      <c r="AB36" s="4">
        <v>4.5999999999999996</v>
      </c>
      <c r="AC36" s="4">
        <v>4.0999999999999996</v>
      </c>
      <c r="AD36" s="4">
        <v>24.5</v>
      </c>
      <c r="AE36" s="4">
        <v>3.8</v>
      </c>
      <c r="AF36" s="4">
        <v>0</v>
      </c>
      <c r="AG36" s="43">
        <v>0.5</v>
      </c>
    </row>
    <row r="37" spans="1:33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41</v>
      </c>
      <c r="I37" s="4">
        <v>35</v>
      </c>
      <c r="J37" s="4">
        <v>2</v>
      </c>
      <c r="K37" s="4">
        <v>10230</v>
      </c>
      <c r="L37" s="4">
        <v>17690</v>
      </c>
      <c r="M37" s="4">
        <v>25530</v>
      </c>
      <c r="N37" s="4">
        <v>0.86</v>
      </c>
      <c r="O37" s="4">
        <v>4530</v>
      </c>
      <c r="P37" s="4">
        <v>8440</v>
      </c>
      <c r="Q37" s="4">
        <v>12060</v>
      </c>
      <c r="R37" s="4">
        <v>15240</v>
      </c>
      <c r="S37" s="4">
        <v>20640</v>
      </c>
      <c r="T37" s="4">
        <v>23670</v>
      </c>
      <c r="U37" s="4">
        <v>27710</v>
      </c>
      <c r="V37" s="4">
        <v>34270</v>
      </c>
      <c r="W37" s="4">
        <v>7.6</v>
      </c>
      <c r="X37" s="4">
        <v>9.6999999999999993</v>
      </c>
      <c r="Y37" s="4">
        <v>0.372</v>
      </c>
      <c r="Z37" s="4">
        <v>71.2</v>
      </c>
      <c r="AA37" s="4">
        <v>61.5</v>
      </c>
      <c r="AB37" s="4">
        <v>3.8</v>
      </c>
      <c r="AC37" s="4">
        <v>5.9</v>
      </c>
      <c r="AD37" s="4">
        <v>24.8</v>
      </c>
      <c r="AE37" s="4">
        <v>4</v>
      </c>
      <c r="AF37" s="4">
        <v>0</v>
      </c>
      <c r="AG37" s="43">
        <v>0.5</v>
      </c>
    </row>
    <row r="38" spans="1:33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39</v>
      </c>
      <c r="I38" s="4">
        <v>47</v>
      </c>
      <c r="J38" s="4">
        <v>2</v>
      </c>
      <c r="K38" s="4">
        <v>7400</v>
      </c>
      <c r="L38" s="4">
        <v>15010</v>
      </c>
      <c r="M38" s="4">
        <v>24120</v>
      </c>
      <c r="N38" s="4">
        <v>1.1100000000000001</v>
      </c>
      <c r="O38" s="4">
        <v>260</v>
      </c>
      <c r="P38" s="4">
        <v>5570</v>
      </c>
      <c r="Q38" s="4">
        <v>8930</v>
      </c>
      <c r="R38" s="4">
        <v>11880</v>
      </c>
      <c r="S38" s="4">
        <v>18310</v>
      </c>
      <c r="T38" s="4">
        <v>22110</v>
      </c>
      <c r="U38" s="4">
        <v>26980</v>
      </c>
      <c r="V38" s="4">
        <v>35130</v>
      </c>
      <c r="W38" s="4">
        <v>135.6</v>
      </c>
      <c r="X38" s="4">
        <v>31.5</v>
      </c>
      <c r="Y38" s="4">
        <v>0.45400000000000001</v>
      </c>
      <c r="Z38" s="4">
        <v>73.900000000000006</v>
      </c>
      <c r="AA38" s="4">
        <v>65.400000000000006</v>
      </c>
      <c r="AB38" s="4">
        <v>3.4</v>
      </c>
      <c r="AC38" s="4">
        <v>5.0999999999999996</v>
      </c>
      <c r="AD38" s="4">
        <v>21.1</v>
      </c>
      <c r="AE38" s="4">
        <v>5</v>
      </c>
      <c r="AF38" s="4">
        <v>0</v>
      </c>
      <c r="AG38" s="43">
        <v>0.4</v>
      </c>
    </row>
    <row r="39" spans="1:33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19</v>
      </c>
      <c r="I39" s="4">
        <v>69</v>
      </c>
      <c r="J39" s="4">
        <v>2</v>
      </c>
      <c r="K39" s="4">
        <v>3920</v>
      </c>
      <c r="L39" s="4">
        <v>8790</v>
      </c>
      <c r="M39" s="4">
        <v>15890</v>
      </c>
      <c r="N39" s="4">
        <v>1.36</v>
      </c>
      <c r="O39" s="4">
        <v>0</v>
      </c>
      <c r="P39" s="4">
        <v>2420</v>
      </c>
      <c r="Q39" s="4">
        <v>4980</v>
      </c>
      <c r="R39" s="4">
        <v>7200</v>
      </c>
      <c r="S39" s="4">
        <v>11150</v>
      </c>
      <c r="T39" s="4">
        <v>13770</v>
      </c>
      <c r="U39" s="4">
        <v>17680</v>
      </c>
      <c r="V39" s="4">
        <v>22680</v>
      </c>
      <c r="W39" s="4"/>
      <c r="X39" s="4">
        <v>44.6</v>
      </c>
      <c r="Y39" s="4">
        <v>0.46200000000000002</v>
      </c>
      <c r="Z39" s="4">
        <v>75.900000000000006</v>
      </c>
      <c r="AA39" s="4">
        <v>65.599999999999994</v>
      </c>
      <c r="AB39" s="4">
        <v>8.3000000000000007</v>
      </c>
      <c r="AC39" s="4">
        <v>2</v>
      </c>
      <c r="AD39" s="4">
        <v>22.9</v>
      </c>
      <c r="AE39" s="4">
        <v>1.2</v>
      </c>
      <c r="AF39" s="4">
        <v>0</v>
      </c>
      <c r="AG39" s="43">
        <v>0.2</v>
      </c>
    </row>
    <row r="40" spans="1:33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17</v>
      </c>
      <c r="I40" s="51">
        <v>67</v>
      </c>
      <c r="J40" s="51">
        <v>2</v>
      </c>
      <c r="K40" s="51">
        <v>3330</v>
      </c>
      <c r="L40" s="51">
        <v>9240</v>
      </c>
      <c r="M40" s="51">
        <v>16180</v>
      </c>
      <c r="N40" s="51">
        <v>1.39</v>
      </c>
      <c r="O40" s="51">
        <v>0</v>
      </c>
      <c r="P40" s="51">
        <v>1800</v>
      </c>
      <c r="Q40" s="51">
        <v>4850</v>
      </c>
      <c r="R40" s="51">
        <v>7250</v>
      </c>
      <c r="S40" s="51">
        <v>11540</v>
      </c>
      <c r="T40" s="51">
        <v>14380</v>
      </c>
      <c r="U40" s="51">
        <v>17570</v>
      </c>
      <c r="V40" s="51">
        <v>21900</v>
      </c>
      <c r="W40" s="51"/>
      <c r="X40" s="51">
        <v>68.8</v>
      </c>
      <c r="Y40" s="51">
        <v>0.45700000000000002</v>
      </c>
      <c r="Z40" s="51">
        <v>71.8</v>
      </c>
      <c r="AA40" s="51">
        <v>62.7</v>
      </c>
      <c r="AB40" s="51">
        <v>8.1</v>
      </c>
      <c r="AC40" s="51">
        <v>1</v>
      </c>
      <c r="AD40" s="51">
        <v>26</v>
      </c>
      <c r="AE40" s="51">
        <v>2.2000000000000002</v>
      </c>
      <c r="AF40" s="51">
        <v>0</v>
      </c>
      <c r="AG40" s="52">
        <v>0.3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36.28515625" customWidth="1"/>
    <col min="9" max="9" width="33.7109375" customWidth="1"/>
    <col min="10" max="10" width="16.28515625" customWidth="1"/>
    <col min="11" max="11" width="15" customWidth="1"/>
    <col min="12" max="12" width="15.5703125" customWidth="1"/>
    <col min="13" max="13" width="39.7109375" customWidth="1"/>
    <col min="14" max="21" width="15" customWidth="1"/>
    <col min="22" max="22" width="26.140625" customWidth="1"/>
    <col min="23" max="23" width="15" customWidth="1"/>
    <col min="24" max="24" width="15.42578125" customWidth="1"/>
    <col min="25" max="25" width="30" customWidth="1"/>
    <col min="26" max="26" width="38.5703125" customWidth="1"/>
    <col min="27" max="27" width="40" customWidth="1"/>
    <col min="28" max="28" width="49.42578125" customWidth="1"/>
    <col min="29" max="29" width="39.140625" customWidth="1"/>
    <col min="30" max="30" width="50.140625" customWidth="1"/>
    <col min="31" max="31" width="44.7109375" customWidth="1"/>
    <col min="32" max="32" width="37.85546875" customWidth="1"/>
    <col min="33" max="33" width="32.42578125" customWidth="1"/>
    <col min="34" max="34" width="37.7109375" customWidth="1"/>
    <col min="35" max="35" width="20.28515625" customWidth="1"/>
    <col min="36" max="36" width="37.28515625" customWidth="1"/>
    <col min="37" max="37" width="18.7109375" customWidth="1"/>
  </cols>
  <sheetData>
    <row r="1" spans="1:37">
      <c r="A1" s="5" t="s">
        <v>540</v>
      </c>
      <c r="B1" s="1"/>
      <c r="C1" s="1"/>
      <c r="D1" s="1"/>
      <c r="E1" s="1"/>
      <c r="F1" s="1"/>
      <c r="G1" s="2" t="s">
        <v>0</v>
      </c>
      <c r="H1" s="2">
        <f t="shared" ref="H1:AK1" si="0">SUBTOTAL(9,H3:H40)</f>
        <v>1603</v>
      </c>
      <c r="I1" s="2">
        <f t="shared" si="0"/>
        <v>59</v>
      </c>
      <c r="J1" s="2">
        <f t="shared" si="0"/>
        <v>401330</v>
      </c>
      <c r="K1" s="2">
        <f t="shared" si="0"/>
        <v>534440</v>
      </c>
      <c r="L1" s="2">
        <f t="shared" si="0"/>
        <v>726940</v>
      </c>
      <c r="M1" s="2">
        <f t="shared" si="0"/>
        <v>20.92</v>
      </c>
      <c r="N1" s="2">
        <f t="shared" si="0"/>
        <v>305520</v>
      </c>
      <c r="O1" s="2">
        <f t="shared" si="0"/>
        <v>373700</v>
      </c>
      <c r="P1" s="2">
        <f t="shared" si="0"/>
        <v>428130</v>
      </c>
      <c r="Q1" s="2">
        <f t="shared" si="0"/>
        <v>479700</v>
      </c>
      <c r="R1" s="2">
        <f t="shared" si="0"/>
        <v>597070</v>
      </c>
      <c r="S1" s="2">
        <f t="shared" si="0"/>
        <v>679150</v>
      </c>
      <c r="T1" s="2">
        <f t="shared" si="0"/>
        <v>783050</v>
      </c>
      <c r="U1" s="2">
        <f t="shared" si="0"/>
        <v>963170</v>
      </c>
      <c r="V1" s="2">
        <f t="shared" si="0"/>
        <v>108.8</v>
      </c>
      <c r="W1" s="2">
        <f t="shared" si="0"/>
        <v>135</v>
      </c>
      <c r="X1" s="2">
        <f t="shared" si="0"/>
        <v>9.1980000000000004</v>
      </c>
      <c r="Y1" s="2">
        <f t="shared" si="0"/>
        <v>2222.6</v>
      </c>
      <c r="Z1" s="2">
        <f t="shared" si="0"/>
        <v>1943.7</v>
      </c>
      <c r="AA1" s="2">
        <f t="shared" si="0"/>
        <v>172.59999999999997</v>
      </c>
      <c r="AB1" s="2">
        <f t="shared" si="0"/>
        <v>106.29999999999998</v>
      </c>
      <c r="AC1" s="2">
        <f t="shared" si="0"/>
        <v>628</v>
      </c>
      <c r="AD1" s="2">
        <f t="shared" si="0"/>
        <v>144.39999999999998</v>
      </c>
      <c r="AE1" s="2">
        <f t="shared" si="0"/>
        <v>849.79999999999984</v>
      </c>
      <c r="AF1" s="2">
        <f t="shared" si="0"/>
        <v>253.70000000000005</v>
      </c>
      <c r="AG1" s="2">
        <f t="shared" si="0"/>
        <v>410.49999999999994</v>
      </c>
      <c r="AH1" s="2">
        <f t="shared" si="0"/>
        <v>185.60000000000002</v>
      </c>
      <c r="AI1" s="2">
        <f t="shared" si="0"/>
        <v>0</v>
      </c>
      <c r="AJ1" s="2">
        <f t="shared" si="0"/>
        <v>0</v>
      </c>
      <c r="AK1" s="2">
        <f t="shared" si="0"/>
        <v>13.399999999999995</v>
      </c>
    </row>
    <row r="2" spans="1:37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541</v>
      </c>
      <c r="I2" s="46" t="s">
        <v>542</v>
      </c>
      <c r="J2" s="46" t="s">
        <v>518</v>
      </c>
      <c r="K2" s="46" t="s">
        <v>519</v>
      </c>
      <c r="L2" s="46" t="s">
        <v>520</v>
      </c>
      <c r="M2" s="46" t="s">
        <v>521</v>
      </c>
      <c r="N2" s="46" t="s">
        <v>522</v>
      </c>
      <c r="O2" s="46" t="s">
        <v>523</v>
      </c>
      <c r="P2" s="46" t="s">
        <v>524</v>
      </c>
      <c r="Q2" s="46" t="s">
        <v>525</v>
      </c>
      <c r="R2" s="46" t="s">
        <v>526</v>
      </c>
      <c r="S2" s="46" t="s">
        <v>527</v>
      </c>
      <c r="T2" s="46" t="s">
        <v>528</v>
      </c>
      <c r="U2" s="46" t="s">
        <v>529</v>
      </c>
      <c r="V2" s="46" t="s">
        <v>530</v>
      </c>
      <c r="W2" s="46" t="s">
        <v>531</v>
      </c>
      <c r="X2" s="46" t="s">
        <v>532</v>
      </c>
      <c r="Y2" s="46" t="s">
        <v>533</v>
      </c>
      <c r="Z2" s="46" t="s">
        <v>534</v>
      </c>
      <c r="AA2" s="46" t="s">
        <v>535</v>
      </c>
      <c r="AB2" s="46" t="s">
        <v>536</v>
      </c>
      <c r="AC2" s="46" t="s">
        <v>537</v>
      </c>
      <c r="AD2" s="46" t="s">
        <v>543</v>
      </c>
      <c r="AE2" s="46" t="s">
        <v>544</v>
      </c>
      <c r="AF2" s="46" t="s">
        <v>545</v>
      </c>
      <c r="AG2" s="46" t="s">
        <v>546</v>
      </c>
      <c r="AH2" s="46" t="s">
        <v>547</v>
      </c>
      <c r="AI2" s="46" t="s">
        <v>548</v>
      </c>
      <c r="AJ2" s="46" t="s">
        <v>539</v>
      </c>
      <c r="AK2" s="48" t="s">
        <v>80</v>
      </c>
    </row>
    <row r="3" spans="1:37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47</v>
      </c>
      <c r="I3" s="4">
        <v>2</v>
      </c>
      <c r="J3" s="4">
        <v>10670</v>
      </c>
      <c r="K3" s="4">
        <v>14310</v>
      </c>
      <c r="L3" s="4">
        <v>19820</v>
      </c>
      <c r="M3" s="4">
        <v>0.64</v>
      </c>
      <c r="N3" s="4">
        <v>8280</v>
      </c>
      <c r="O3" s="4">
        <v>10090</v>
      </c>
      <c r="P3" s="4">
        <v>11410</v>
      </c>
      <c r="Q3" s="4">
        <v>12890</v>
      </c>
      <c r="R3" s="4">
        <v>16450</v>
      </c>
      <c r="S3" s="4">
        <v>18610</v>
      </c>
      <c r="T3" s="4">
        <v>20920</v>
      </c>
      <c r="U3" s="4">
        <v>25070</v>
      </c>
      <c r="V3" s="4">
        <v>3</v>
      </c>
      <c r="W3" s="4">
        <v>4.0999999999999996</v>
      </c>
      <c r="X3" s="4">
        <v>0.27400000000000002</v>
      </c>
      <c r="Y3" s="4">
        <v>68</v>
      </c>
      <c r="Z3" s="4">
        <v>60.1</v>
      </c>
      <c r="AA3" s="4">
        <v>5.5</v>
      </c>
      <c r="AB3" s="4">
        <v>2.4</v>
      </c>
      <c r="AC3" s="4">
        <v>13.1</v>
      </c>
      <c r="AD3" s="4">
        <v>4.2</v>
      </c>
      <c r="AE3" s="4">
        <v>25</v>
      </c>
      <c r="AF3" s="4">
        <v>7.9</v>
      </c>
      <c r="AG3" s="4">
        <v>11.8</v>
      </c>
      <c r="AH3" s="4">
        <v>5.3</v>
      </c>
      <c r="AI3" s="4" t="s">
        <v>549</v>
      </c>
      <c r="AJ3" s="4">
        <v>0</v>
      </c>
      <c r="AK3" s="43">
        <v>0.3</v>
      </c>
    </row>
    <row r="4" spans="1:37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36</v>
      </c>
      <c r="I4" s="4">
        <v>1</v>
      </c>
      <c r="J4" s="4">
        <v>11510</v>
      </c>
      <c r="K4" s="4">
        <v>16190</v>
      </c>
      <c r="L4" s="4">
        <v>22770</v>
      </c>
      <c r="M4" s="4">
        <v>0.7</v>
      </c>
      <c r="N4" s="4">
        <v>8690</v>
      </c>
      <c r="O4" s="4">
        <v>10760</v>
      </c>
      <c r="P4" s="4">
        <v>12540</v>
      </c>
      <c r="Q4" s="4">
        <v>14360</v>
      </c>
      <c r="R4" s="4">
        <v>18250</v>
      </c>
      <c r="S4" s="4">
        <v>21070</v>
      </c>
      <c r="T4" s="4">
        <v>24540</v>
      </c>
      <c r="U4" s="4">
        <v>31400</v>
      </c>
      <c r="V4" s="4">
        <v>3.6</v>
      </c>
      <c r="W4" s="4">
        <v>4.5</v>
      </c>
      <c r="X4" s="4">
        <v>0.29899999999999999</v>
      </c>
      <c r="Y4" s="4">
        <v>73.400000000000006</v>
      </c>
      <c r="Z4" s="4">
        <v>64.400000000000006</v>
      </c>
      <c r="AA4" s="4">
        <v>5</v>
      </c>
      <c r="AB4" s="4">
        <v>4</v>
      </c>
      <c r="AC4" s="4">
        <v>15.6</v>
      </c>
      <c r="AD4" s="4">
        <v>4.3</v>
      </c>
      <c r="AE4" s="4">
        <v>18.399999999999999</v>
      </c>
      <c r="AF4" s="4">
        <v>5.3</v>
      </c>
      <c r="AG4" s="4">
        <v>9</v>
      </c>
      <c r="AH4" s="4">
        <v>4.0999999999999996</v>
      </c>
      <c r="AI4" s="4" t="s">
        <v>550</v>
      </c>
      <c r="AJ4" s="4">
        <v>0</v>
      </c>
      <c r="AK4" s="43">
        <v>0.1</v>
      </c>
    </row>
    <row r="5" spans="1:37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61</v>
      </c>
      <c r="I5" s="4">
        <v>2</v>
      </c>
      <c r="J5" s="4">
        <v>9890</v>
      </c>
      <c r="K5" s="4">
        <v>12580</v>
      </c>
      <c r="L5" s="4">
        <v>16700</v>
      </c>
      <c r="M5" s="4">
        <v>0.54</v>
      </c>
      <c r="N5" s="4">
        <v>7680</v>
      </c>
      <c r="O5" s="4">
        <v>9360</v>
      </c>
      <c r="P5" s="4">
        <v>10310</v>
      </c>
      <c r="Q5" s="4">
        <v>11260</v>
      </c>
      <c r="R5" s="4">
        <v>13790</v>
      </c>
      <c r="S5" s="4">
        <v>15530</v>
      </c>
      <c r="T5" s="4">
        <v>18130</v>
      </c>
      <c r="U5" s="4">
        <v>21600</v>
      </c>
      <c r="V5" s="4">
        <v>2.8</v>
      </c>
      <c r="W5" s="4">
        <v>3.5</v>
      </c>
      <c r="X5" s="4">
        <v>0.24299999999999999</v>
      </c>
      <c r="Y5" s="4">
        <v>54.1</v>
      </c>
      <c r="Z5" s="4">
        <v>46.7</v>
      </c>
      <c r="AA5" s="4">
        <v>5.7</v>
      </c>
      <c r="AB5" s="4">
        <v>1.7</v>
      </c>
      <c r="AC5" s="4">
        <v>14.3</v>
      </c>
      <c r="AD5" s="4">
        <v>2.4</v>
      </c>
      <c r="AE5" s="4">
        <v>36</v>
      </c>
      <c r="AF5" s="4">
        <v>9</v>
      </c>
      <c r="AG5" s="4">
        <v>19</v>
      </c>
      <c r="AH5" s="4">
        <v>8</v>
      </c>
      <c r="AI5" s="4" t="s">
        <v>551</v>
      </c>
      <c r="AJ5" s="4">
        <v>0</v>
      </c>
      <c r="AK5" s="43">
        <v>0.4</v>
      </c>
    </row>
    <row r="6" spans="1:37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3">
        <v>0.1</v>
      </c>
    </row>
    <row r="7" spans="1:37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3">
        <v>0.4</v>
      </c>
    </row>
    <row r="8" spans="1:37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49</v>
      </c>
      <c r="I8" s="4">
        <v>2</v>
      </c>
      <c r="J8" s="4">
        <v>10550</v>
      </c>
      <c r="K8" s="4">
        <v>14010</v>
      </c>
      <c r="L8" s="4">
        <v>18000</v>
      </c>
      <c r="M8" s="4">
        <v>0.53</v>
      </c>
      <c r="N8" s="4">
        <v>8390</v>
      </c>
      <c r="O8" s="4">
        <v>9980</v>
      </c>
      <c r="P8" s="4">
        <v>11030</v>
      </c>
      <c r="Q8" s="4">
        <v>12590</v>
      </c>
      <c r="R8" s="4">
        <v>15350</v>
      </c>
      <c r="S8" s="4">
        <v>16770</v>
      </c>
      <c r="T8" s="4">
        <v>19460</v>
      </c>
      <c r="U8" s="4">
        <v>23780</v>
      </c>
      <c r="V8" s="4">
        <v>2.8</v>
      </c>
      <c r="W8" s="4">
        <v>3.4</v>
      </c>
      <c r="X8" s="4">
        <v>0.24099999999999999</v>
      </c>
      <c r="Y8" s="4">
        <v>60.6</v>
      </c>
      <c r="Z8" s="4">
        <v>53.1</v>
      </c>
      <c r="AA8" s="4">
        <v>4.7</v>
      </c>
      <c r="AB8" s="4">
        <v>2.8</v>
      </c>
      <c r="AC8" s="4">
        <v>17.8</v>
      </c>
      <c r="AD8" s="4">
        <v>3</v>
      </c>
      <c r="AE8" s="4">
        <v>26.5</v>
      </c>
      <c r="AF8" s="4">
        <v>9.3000000000000007</v>
      </c>
      <c r="AG8" s="4">
        <v>12</v>
      </c>
      <c r="AH8" s="4">
        <v>5.2</v>
      </c>
      <c r="AI8" s="4" t="s">
        <v>552</v>
      </c>
      <c r="AJ8" s="4">
        <v>0</v>
      </c>
      <c r="AK8" s="43">
        <v>0.9</v>
      </c>
    </row>
    <row r="9" spans="1:37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49</v>
      </c>
      <c r="I9" s="4">
        <v>2</v>
      </c>
      <c r="J9" s="4">
        <v>10670</v>
      </c>
      <c r="K9" s="4">
        <v>13990</v>
      </c>
      <c r="L9" s="4">
        <v>18800</v>
      </c>
      <c r="M9" s="4">
        <v>0.57999999999999996</v>
      </c>
      <c r="N9" s="4">
        <v>8490</v>
      </c>
      <c r="O9" s="4">
        <v>9980</v>
      </c>
      <c r="P9" s="4">
        <v>11370</v>
      </c>
      <c r="Q9" s="4">
        <v>12700</v>
      </c>
      <c r="R9" s="4">
        <v>15570</v>
      </c>
      <c r="S9" s="4">
        <v>17860</v>
      </c>
      <c r="T9" s="4">
        <v>20160</v>
      </c>
      <c r="U9" s="4">
        <v>24340</v>
      </c>
      <c r="V9" s="4">
        <v>2.9</v>
      </c>
      <c r="W9" s="4">
        <v>3.4</v>
      </c>
      <c r="X9" s="4">
        <v>0.24399999999999999</v>
      </c>
      <c r="Y9" s="4">
        <v>59.9</v>
      </c>
      <c r="Z9" s="4">
        <v>53.2</v>
      </c>
      <c r="AA9" s="4">
        <v>4.2</v>
      </c>
      <c r="AB9" s="4">
        <v>2.5</v>
      </c>
      <c r="AC9" s="4">
        <v>19</v>
      </c>
      <c r="AD9" s="4">
        <v>5.6</v>
      </c>
      <c r="AE9" s="4">
        <v>24.1</v>
      </c>
      <c r="AF9" s="4">
        <v>8.1</v>
      </c>
      <c r="AG9" s="4">
        <v>11.3</v>
      </c>
      <c r="AH9" s="4">
        <v>4.7</v>
      </c>
      <c r="AI9" s="4" t="s">
        <v>553</v>
      </c>
      <c r="AJ9" s="4">
        <v>0</v>
      </c>
      <c r="AK9" s="43">
        <v>0.4</v>
      </c>
    </row>
    <row r="10" spans="1:37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61</v>
      </c>
      <c r="I10" s="4">
        <v>2</v>
      </c>
      <c r="J10" s="4">
        <v>9810</v>
      </c>
      <c r="K10" s="4">
        <v>12380</v>
      </c>
      <c r="L10" s="4">
        <v>16610</v>
      </c>
      <c r="M10" s="4">
        <v>0.55000000000000004</v>
      </c>
      <c r="N10" s="4">
        <v>7820</v>
      </c>
      <c r="O10" s="4">
        <v>9410</v>
      </c>
      <c r="P10" s="4">
        <v>10440</v>
      </c>
      <c r="Q10" s="4">
        <v>11360</v>
      </c>
      <c r="R10" s="4">
        <v>13730</v>
      </c>
      <c r="S10" s="4">
        <v>15810</v>
      </c>
      <c r="T10" s="4">
        <v>17700</v>
      </c>
      <c r="U10" s="4">
        <v>21270</v>
      </c>
      <c r="V10" s="4">
        <v>2.7</v>
      </c>
      <c r="W10" s="4">
        <v>3.2</v>
      </c>
      <c r="X10" s="4">
        <v>0.23300000000000001</v>
      </c>
      <c r="Y10" s="4">
        <v>50.5</v>
      </c>
      <c r="Z10" s="4">
        <v>44.3</v>
      </c>
      <c r="AA10" s="4">
        <v>4.5</v>
      </c>
      <c r="AB10" s="4">
        <v>1.7</v>
      </c>
      <c r="AC10" s="4">
        <v>16.600000000000001</v>
      </c>
      <c r="AD10" s="4">
        <v>4.2</v>
      </c>
      <c r="AE10" s="4">
        <v>35.200000000000003</v>
      </c>
      <c r="AF10" s="4">
        <v>11.3</v>
      </c>
      <c r="AG10" s="4">
        <v>16.399999999999999</v>
      </c>
      <c r="AH10" s="4">
        <v>7.5</v>
      </c>
      <c r="AI10" s="4" t="s">
        <v>554</v>
      </c>
      <c r="AJ10" s="4">
        <v>0</v>
      </c>
      <c r="AK10" s="43">
        <v>0.6</v>
      </c>
    </row>
    <row r="11" spans="1:37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55</v>
      </c>
      <c r="I11" s="4">
        <v>2</v>
      </c>
      <c r="J11" s="4">
        <v>10480</v>
      </c>
      <c r="K11" s="4">
        <v>13080</v>
      </c>
      <c r="L11" s="4">
        <v>17320</v>
      </c>
      <c r="M11" s="4">
        <v>0.52</v>
      </c>
      <c r="N11" s="4">
        <v>7650</v>
      </c>
      <c r="O11" s="4">
        <v>9600</v>
      </c>
      <c r="P11" s="4">
        <v>11090</v>
      </c>
      <c r="Q11" s="4">
        <v>11930</v>
      </c>
      <c r="R11" s="4">
        <v>14510</v>
      </c>
      <c r="S11" s="4">
        <v>16250</v>
      </c>
      <c r="T11" s="4">
        <v>18630</v>
      </c>
      <c r="U11" s="4">
        <v>23130</v>
      </c>
      <c r="V11" s="4">
        <v>3</v>
      </c>
      <c r="W11" s="4">
        <v>3.6</v>
      </c>
      <c r="X11" s="4">
        <v>0.25</v>
      </c>
      <c r="Y11" s="4">
        <v>57</v>
      </c>
      <c r="Z11" s="4">
        <v>50</v>
      </c>
      <c r="AA11" s="4">
        <v>5.3</v>
      </c>
      <c r="AB11" s="4">
        <v>1.7</v>
      </c>
      <c r="AC11" s="4">
        <v>14.5</v>
      </c>
      <c r="AD11" s="4">
        <v>2.9</v>
      </c>
      <c r="AE11" s="4">
        <v>33</v>
      </c>
      <c r="AF11" s="4">
        <v>10.8</v>
      </c>
      <c r="AG11" s="4">
        <v>15.4</v>
      </c>
      <c r="AH11" s="4">
        <v>6.8</v>
      </c>
      <c r="AI11" s="4" t="s">
        <v>555</v>
      </c>
      <c r="AJ11" s="4">
        <v>0</v>
      </c>
      <c r="AK11" s="43">
        <v>0.2</v>
      </c>
    </row>
    <row r="12" spans="1:37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55</v>
      </c>
      <c r="I12" s="4">
        <v>2</v>
      </c>
      <c r="J12" s="4">
        <v>10270</v>
      </c>
      <c r="K12" s="4">
        <v>13370</v>
      </c>
      <c r="L12" s="4">
        <v>16980</v>
      </c>
      <c r="M12" s="4">
        <v>0.5</v>
      </c>
      <c r="N12" s="4">
        <v>7970</v>
      </c>
      <c r="O12" s="4">
        <v>9700</v>
      </c>
      <c r="P12" s="4">
        <v>10890</v>
      </c>
      <c r="Q12" s="4">
        <v>12090</v>
      </c>
      <c r="R12" s="4">
        <v>14630</v>
      </c>
      <c r="S12" s="4">
        <v>16110</v>
      </c>
      <c r="T12" s="4">
        <v>18660</v>
      </c>
      <c r="U12" s="4">
        <v>22010</v>
      </c>
      <c r="V12" s="4">
        <v>2.8</v>
      </c>
      <c r="W12" s="4">
        <v>3.3</v>
      </c>
      <c r="X12" s="4">
        <v>0.23499999999999999</v>
      </c>
      <c r="Y12" s="4">
        <v>52.9</v>
      </c>
      <c r="Z12" s="4">
        <v>46.1</v>
      </c>
      <c r="AA12" s="4">
        <v>4.9000000000000004</v>
      </c>
      <c r="AB12" s="4">
        <v>1.9</v>
      </c>
      <c r="AC12" s="4">
        <v>19.8</v>
      </c>
      <c r="AD12" s="4">
        <v>3.3</v>
      </c>
      <c r="AE12" s="4">
        <v>30.9</v>
      </c>
      <c r="AF12" s="4">
        <v>8.6</v>
      </c>
      <c r="AG12" s="4">
        <v>15.6</v>
      </c>
      <c r="AH12" s="4">
        <v>6.7</v>
      </c>
      <c r="AI12" s="4" t="s">
        <v>556</v>
      </c>
      <c r="AJ12" s="4">
        <v>0</v>
      </c>
      <c r="AK12" s="43">
        <v>0.3</v>
      </c>
    </row>
    <row r="13" spans="1:37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51</v>
      </c>
      <c r="I13" s="4">
        <v>2</v>
      </c>
      <c r="J13" s="4">
        <v>10760</v>
      </c>
      <c r="K13" s="4">
        <v>13620</v>
      </c>
      <c r="L13" s="4">
        <v>18330</v>
      </c>
      <c r="M13" s="4">
        <v>0.56000000000000005</v>
      </c>
      <c r="N13" s="4">
        <v>8840</v>
      </c>
      <c r="O13" s="4">
        <v>10240</v>
      </c>
      <c r="P13" s="4">
        <v>11270</v>
      </c>
      <c r="Q13" s="4">
        <v>12340</v>
      </c>
      <c r="R13" s="4">
        <v>15280</v>
      </c>
      <c r="S13" s="4">
        <v>17260</v>
      </c>
      <c r="T13" s="4">
        <v>19810</v>
      </c>
      <c r="U13" s="4">
        <v>26780</v>
      </c>
      <c r="V13" s="4">
        <v>3</v>
      </c>
      <c r="W13" s="4">
        <v>3.9</v>
      </c>
      <c r="X13" s="4">
        <v>0.27500000000000002</v>
      </c>
      <c r="Y13" s="4">
        <v>64.599999999999994</v>
      </c>
      <c r="Z13" s="4">
        <v>57.2</v>
      </c>
      <c r="AA13" s="4">
        <v>4.0999999999999996</v>
      </c>
      <c r="AB13" s="4">
        <v>3.3</v>
      </c>
      <c r="AC13" s="4">
        <v>14.6</v>
      </c>
      <c r="AD13" s="4">
        <v>4</v>
      </c>
      <c r="AE13" s="4">
        <v>26.5</v>
      </c>
      <c r="AF13" s="4">
        <v>7.7</v>
      </c>
      <c r="AG13" s="4">
        <v>12.8</v>
      </c>
      <c r="AH13" s="4">
        <v>6</v>
      </c>
      <c r="AI13" s="4" t="s">
        <v>557</v>
      </c>
      <c r="AJ13" s="4">
        <v>0</v>
      </c>
      <c r="AK13" s="43">
        <v>0.2</v>
      </c>
    </row>
    <row r="14" spans="1:37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57</v>
      </c>
      <c r="I14" s="4">
        <v>2</v>
      </c>
      <c r="J14" s="4">
        <v>10070</v>
      </c>
      <c r="K14" s="4">
        <v>13050</v>
      </c>
      <c r="L14" s="4">
        <v>16420</v>
      </c>
      <c r="M14" s="4">
        <v>0.49</v>
      </c>
      <c r="N14" s="4">
        <v>7660</v>
      </c>
      <c r="O14" s="4">
        <v>9520</v>
      </c>
      <c r="P14" s="4">
        <v>10570</v>
      </c>
      <c r="Q14" s="4">
        <v>11720</v>
      </c>
      <c r="R14" s="4">
        <v>14390</v>
      </c>
      <c r="S14" s="4">
        <v>15790</v>
      </c>
      <c r="T14" s="4">
        <v>17360</v>
      </c>
      <c r="U14" s="4">
        <v>20860</v>
      </c>
      <c r="V14" s="4">
        <v>2.7</v>
      </c>
      <c r="W14" s="4">
        <v>3.1</v>
      </c>
      <c r="X14" s="4">
        <v>0.223</v>
      </c>
      <c r="Y14" s="4">
        <v>50.6</v>
      </c>
      <c r="Z14" s="4">
        <v>43.8</v>
      </c>
      <c r="AA14" s="4">
        <v>5.6</v>
      </c>
      <c r="AB14" s="4">
        <v>1.2</v>
      </c>
      <c r="AC14" s="4">
        <v>19.3</v>
      </c>
      <c r="AD14" s="4">
        <v>2</v>
      </c>
      <c r="AE14" s="4">
        <v>34.5</v>
      </c>
      <c r="AF14" s="4">
        <v>9</v>
      </c>
      <c r="AG14" s="4">
        <v>18.399999999999999</v>
      </c>
      <c r="AH14" s="4">
        <v>7.1</v>
      </c>
      <c r="AI14" s="4" t="s">
        <v>558</v>
      </c>
      <c r="AJ14" s="4">
        <v>0</v>
      </c>
      <c r="AK14" s="43">
        <v>0.3</v>
      </c>
    </row>
    <row r="15" spans="1:37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55</v>
      </c>
      <c r="I15" s="4">
        <v>2</v>
      </c>
      <c r="J15" s="4">
        <v>10310</v>
      </c>
      <c r="K15" s="4">
        <v>13190</v>
      </c>
      <c r="L15" s="4">
        <v>17950</v>
      </c>
      <c r="M15" s="4">
        <v>0.57999999999999996</v>
      </c>
      <c r="N15" s="4">
        <v>7740</v>
      </c>
      <c r="O15" s="4">
        <v>9510</v>
      </c>
      <c r="P15" s="4">
        <v>10860</v>
      </c>
      <c r="Q15" s="4">
        <v>12000</v>
      </c>
      <c r="R15" s="4">
        <v>14490</v>
      </c>
      <c r="S15" s="4">
        <v>16510</v>
      </c>
      <c r="T15" s="4">
        <v>19370</v>
      </c>
      <c r="U15" s="4">
        <v>23500</v>
      </c>
      <c r="V15" s="4">
        <v>3</v>
      </c>
      <c r="W15" s="4">
        <v>3.9</v>
      </c>
      <c r="X15" s="4">
        <v>0.26700000000000002</v>
      </c>
      <c r="Y15" s="4">
        <v>61.6</v>
      </c>
      <c r="Z15" s="4">
        <v>52.7</v>
      </c>
      <c r="AA15" s="4">
        <v>6.1</v>
      </c>
      <c r="AB15" s="4">
        <v>2.8</v>
      </c>
      <c r="AC15" s="4">
        <v>14.9</v>
      </c>
      <c r="AD15" s="4">
        <v>2.4</v>
      </c>
      <c r="AE15" s="4">
        <v>29.5</v>
      </c>
      <c r="AF15" s="4">
        <v>8.6999999999999993</v>
      </c>
      <c r="AG15" s="4">
        <v>14.2</v>
      </c>
      <c r="AH15" s="4">
        <v>6.6</v>
      </c>
      <c r="AI15" s="4" t="s">
        <v>559</v>
      </c>
      <c r="AJ15" s="4">
        <v>0</v>
      </c>
      <c r="AK15" s="43">
        <v>0.5</v>
      </c>
    </row>
    <row r="16" spans="1:37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39</v>
      </c>
      <c r="I16" s="4">
        <v>2</v>
      </c>
      <c r="J16" s="4">
        <v>11600</v>
      </c>
      <c r="K16" s="4">
        <v>15930</v>
      </c>
      <c r="L16" s="4">
        <v>23310</v>
      </c>
      <c r="M16" s="4">
        <v>0.74</v>
      </c>
      <c r="N16" s="4">
        <v>8450</v>
      </c>
      <c r="O16" s="4">
        <v>10820</v>
      </c>
      <c r="P16" s="4">
        <v>12910</v>
      </c>
      <c r="Q16" s="4">
        <v>14060</v>
      </c>
      <c r="R16" s="4">
        <v>18300</v>
      </c>
      <c r="S16" s="4">
        <v>21470</v>
      </c>
      <c r="T16" s="4">
        <v>25180</v>
      </c>
      <c r="U16" s="4">
        <v>32040</v>
      </c>
      <c r="V16" s="4">
        <v>3.8</v>
      </c>
      <c r="W16" s="4">
        <v>4.7</v>
      </c>
      <c r="X16" s="4">
        <v>0.3</v>
      </c>
      <c r="Y16" s="4">
        <v>74.7</v>
      </c>
      <c r="Z16" s="4">
        <v>65.2</v>
      </c>
      <c r="AA16" s="4">
        <v>5.2</v>
      </c>
      <c r="AB16" s="4">
        <v>4.3</v>
      </c>
      <c r="AC16" s="4">
        <v>16.3</v>
      </c>
      <c r="AD16" s="4">
        <v>3.8</v>
      </c>
      <c r="AE16" s="4">
        <v>17.3</v>
      </c>
      <c r="AF16" s="4">
        <v>4.4000000000000004</v>
      </c>
      <c r="AG16" s="4">
        <v>9.1999999999999993</v>
      </c>
      <c r="AH16" s="4">
        <v>3.7</v>
      </c>
      <c r="AI16" s="4" t="s">
        <v>560</v>
      </c>
      <c r="AJ16" s="4">
        <v>0</v>
      </c>
      <c r="AK16" s="43">
        <v>0.2</v>
      </c>
    </row>
    <row r="17" spans="1:37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44</v>
      </c>
      <c r="I17" s="4">
        <v>1</v>
      </c>
      <c r="J17" s="4">
        <v>11060</v>
      </c>
      <c r="K17" s="4">
        <v>14700</v>
      </c>
      <c r="L17" s="4">
        <v>20520</v>
      </c>
      <c r="M17" s="4">
        <v>0.64</v>
      </c>
      <c r="N17" s="4">
        <v>8890</v>
      </c>
      <c r="O17" s="4">
        <v>10410</v>
      </c>
      <c r="P17" s="4">
        <v>11800</v>
      </c>
      <c r="Q17" s="4">
        <v>13280</v>
      </c>
      <c r="R17" s="4">
        <v>16460</v>
      </c>
      <c r="S17" s="4">
        <v>19120</v>
      </c>
      <c r="T17" s="4">
        <v>21930</v>
      </c>
      <c r="U17" s="4">
        <v>28970</v>
      </c>
      <c r="V17" s="4">
        <v>3.3</v>
      </c>
      <c r="W17" s="4">
        <v>4.4000000000000004</v>
      </c>
      <c r="X17" s="4">
        <v>0.29599999999999999</v>
      </c>
      <c r="Y17" s="4">
        <v>69.7</v>
      </c>
      <c r="Z17" s="4">
        <v>60.1</v>
      </c>
      <c r="AA17" s="4">
        <v>5.5</v>
      </c>
      <c r="AB17" s="4">
        <v>4.0999999999999996</v>
      </c>
      <c r="AC17" s="4">
        <v>14.1</v>
      </c>
      <c r="AD17" s="4">
        <v>4.7</v>
      </c>
      <c r="AE17" s="4">
        <v>22.6</v>
      </c>
      <c r="AF17" s="4">
        <v>6.5</v>
      </c>
      <c r="AG17" s="4">
        <v>10.7</v>
      </c>
      <c r="AH17" s="4">
        <v>5.4</v>
      </c>
      <c r="AI17" s="4" t="s">
        <v>561</v>
      </c>
      <c r="AJ17" s="4">
        <v>0</v>
      </c>
      <c r="AK17" s="43">
        <v>0.2</v>
      </c>
    </row>
    <row r="18" spans="1:37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43</v>
      </c>
      <c r="I18" s="4">
        <v>1</v>
      </c>
      <c r="J18" s="4">
        <v>10840</v>
      </c>
      <c r="K18" s="4">
        <v>14800</v>
      </c>
      <c r="L18" s="4">
        <v>20470</v>
      </c>
      <c r="M18" s="4">
        <v>0.65</v>
      </c>
      <c r="N18" s="4">
        <v>7580</v>
      </c>
      <c r="O18" s="4">
        <v>9650</v>
      </c>
      <c r="P18" s="4">
        <v>11800</v>
      </c>
      <c r="Q18" s="4">
        <v>13330</v>
      </c>
      <c r="R18" s="4">
        <v>16930</v>
      </c>
      <c r="S18" s="4">
        <v>19150</v>
      </c>
      <c r="T18" s="4">
        <v>21990</v>
      </c>
      <c r="U18" s="4">
        <v>27660</v>
      </c>
      <c r="V18" s="4">
        <v>3.6</v>
      </c>
      <c r="W18" s="4">
        <v>4.5999999999999996</v>
      </c>
      <c r="X18" s="4">
        <v>0.28999999999999998</v>
      </c>
      <c r="Y18" s="4">
        <v>75.599999999999994</v>
      </c>
      <c r="Z18" s="4">
        <v>66.599999999999994</v>
      </c>
      <c r="AA18" s="4">
        <v>6</v>
      </c>
      <c r="AB18" s="4">
        <v>3</v>
      </c>
      <c r="AC18" s="4">
        <v>10.1</v>
      </c>
      <c r="AD18" s="4">
        <v>3.8</v>
      </c>
      <c r="AE18" s="4">
        <v>21.2</v>
      </c>
      <c r="AF18" s="4">
        <v>4.7</v>
      </c>
      <c r="AG18" s="4">
        <v>10.8</v>
      </c>
      <c r="AH18" s="4">
        <v>5.7</v>
      </c>
      <c r="AI18" s="4" t="s">
        <v>562</v>
      </c>
      <c r="AJ18" s="4">
        <v>0</v>
      </c>
      <c r="AK18" s="43">
        <v>0.5</v>
      </c>
    </row>
    <row r="19" spans="1:37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50</v>
      </c>
      <c r="I19" s="4">
        <v>1</v>
      </c>
      <c r="J19" s="4">
        <v>10620</v>
      </c>
      <c r="K19" s="4">
        <v>13870</v>
      </c>
      <c r="L19" s="4">
        <v>18460</v>
      </c>
      <c r="M19" s="4">
        <v>0.56999999999999995</v>
      </c>
      <c r="N19" s="4">
        <v>7760</v>
      </c>
      <c r="O19" s="4">
        <v>9830</v>
      </c>
      <c r="P19" s="4">
        <v>11390</v>
      </c>
      <c r="Q19" s="4">
        <v>12550</v>
      </c>
      <c r="R19" s="4">
        <v>15430</v>
      </c>
      <c r="S19" s="4">
        <v>17240</v>
      </c>
      <c r="T19" s="4">
        <v>19670</v>
      </c>
      <c r="U19" s="4">
        <v>23500</v>
      </c>
      <c r="V19" s="4">
        <v>3</v>
      </c>
      <c r="W19" s="4">
        <v>3.8</v>
      </c>
      <c r="X19" s="4">
        <v>0.253</v>
      </c>
      <c r="Y19" s="4">
        <v>64.900000000000006</v>
      </c>
      <c r="Z19" s="4">
        <v>57.3</v>
      </c>
      <c r="AA19" s="4">
        <v>5.8</v>
      </c>
      <c r="AB19" s="4">
        <v>1.8</v>
      </c>
      <c r="AC19" s="4">
        <v>12.5</v>
      </c>
      <c r="AD19" s="4">
        <v>3</v>
      </c>
      <c r="AE19" s="4">
        <v>28.1</v>
      </c>
      <c r="AF19" s="4">
        <v>5.9</v>
      </c>
      <c r="AG19" s="4">
        <v>14.7</v>
      </c>
      <c r="AH19" s="4">
        <v>7.5</v>
      </c>
      <c r="AI19" s="4" t="s">
        <v>563</v>
      </c>
      <c r="AJ19" s="4">
        <v>0</v>
      </c>
      <c r="AK19" s="43">
        <v>0.3</v>
      </c>
    </row>
    <row r="20" spans="1:37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56</v>
      </c>
      <c r="I20" s="4">
        <v>1</v>
      </c>
      <c r="J20" s="4">
        <v>10630</v>
      </c>
      <c r="K20" s="4">
        <v>13320</v>
      </c>
      <c r="L20" s="4">
        <v>17010</v>
      </c>
      <c r="M20" s="4">
        <v>0.48</v>
      </c>
      <c r="N20" s="4">
        <v>8440</v>
      </c>
      <c r="O20" s="4">
        <v>10120</v>
      </c>
      <c r="P20" s="4">
        <v>11210</v>
      </c>
      <c r="Q20" s="4">
        <v>12160</v>
      </c>
      <c r="R20" s="4">
        <v>14400</v>
      </c>
      <c r="S20" s="4">
        <v>15970</v>
      </c>
      <c r="T20" s="4">
        <v>18250</v>
      </c>
      <c r="U20" s="4">
        <v>22480</v>
      </c>
      <c r="V20" s="4">
        <v>2.7</v>
      </c>
      <c r="W20" s="4">
        <v>3.1</v>
      </c>
      <c r="X20" s="4">
        <v>0.224</v>
      </c>
      <c r="Y20" s="4">
        <v>55.4</v>
      </c>
      <c r="Z20" s="4">
        <v>48.5</v>
      </c>
      <c r="AA20" s="4">
        <v>6</v>
      </c>
      <c r="AB20" s="4">
        <v>0.9</v>
      </c>
      <c r="AC20" s="4">
        <v>17.7</v>
      </c>
      <c r="AD20" s="4">
        <v>2.6</v>
      </c>
      <c r="AE20" s="4">
        <v>31.4</v>
      </c>
      <c r="AF20" s="4">
        <v>7.6</v>
      </c>
      <c r="AG20" s="4">
        <v>15.7</v>
      </c>
      <c r="AH20" s="4">
        <v>8.1</v>
      </c>
      <c r="AI20" s="4" t="s">
        <v>564</v>
      </c>
      <c r="AJ20" s="4">
        <v>0</v>
      </c>
      <c r="AK20" s="43">
        <v>0.3</v>
      </c>
    </row>
    <row r="21" spans="1:37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14</v>
      </c>
      <c r="I21" s="4">
        <v>1</v>
      </c>
      <c r="J21" s="4">
        <v>18090</v>
      </c>
      <c r="K21" s="4">
        <v>26300</v>
      </c>
      <c r="L21" s="4">
        <v>36770</v>
      </c>
      <c r="M21" s="4">
        <v>0.71</v>
      </c>
      <c r="N21" s="4">
        <v>12310</v>
      </c>
      <c r="O21" s="4">
        <v>16180</v>
      </c>
      <c r="P21" s="4">
        <v>19770</v>
      </c>
      <c r="Q21" s="4">
        <v>23090</v>
      </c>
      <c r="R21" s="4">
        <v>30270</v>
      </c>
      <c r="S21" s="4">
        <v>34400</v>
      </c>
      <c r="T21" s="4">
        <v>40220</v>
      </c>
      <c r="U21" s="4">
        <v>51930</v>
      </c>
      <c r="V21" s="4">
        <v>4.2</v>
      </c>
      <c r="W21" s="4">
        <v>6.3</v>
      </c>
      <c r="X21" s="4">
        <v>0.36399999999999999</v>
      </c>
      <c r="Y21" s="4">
        <v>72.8</v>
      </c>
      <c r="Z21" s="4">
        <v>61.8</v>
      </c>
      <c r="AA21" s="4">
        <v>3</v>
      </c>
      <c r="AB21" s="4">
        <v>8</v>
      </c>
      <c r="AC21" s="4">
        <v>28.7</v>
      </c>
      <c r="AD21" s="4">
        <v>15.1</v>
      </c>
      <c r="AE21" s="4">
        <v>4.2</v>
      </c>
      <c r="AF21" s="4">
        <v>1.1000000000000001</v>
      </c>
      <c r="AG21" s="4">
        <v>2.2000000000000002</v>
      </c>
      <c r="AH21" s="4">
        <v>0.9</v>
      </c>
      <c r="AI21" s="4" t="s">
        <v>565</v>
      </c>
      <c r="AJ21" s="4">
        <v>0</v>
      </c>
      <c r="AK21" s="43">
        <v>0.9</v>
      </c>
    </row>
    <row r="22" spans="1:37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10</v>
      </c>
      <c r="I22" s="4">
        <v>1</v>
      </c>
      <c r="J22" s="4">
        <v>20250</v>
      </c>
      <c r="K22" s="4">
        <v>28370</v>
      </c>
      <c r="L22" s="4">
        <v>41380</v>
      </c>
      <c r="M22" s="4">
        <v>0.74</v>
      </c>
      <c r="N22" s="4">
        <v>13690</v>
      </c>
      <c r="O22" s="4">
        <v>18490</v>
      </c>
      <c r="P22" s="4">
        <v>21630</v>
      </c>
      <c r="Q22" s="4">
        <v>25110</v>
      </c>
      <c r="R22" s="4">
        <v>32740</v>
      </c>
      <c r="S22" s="4">
        <v>37940</v>
      </c>
      <c r="T22" s="4">
        <v>45250</v>
      </c>
      <c r="U22" s="4">
        <v>58610</v>
      </c>
      <c r="V22" s="4">
        <v>4.3</v>
      </c>
      <c r="W22" s="4">
        <v>5.3</v>
      </c>
      <c r="X22" s="4">
        <v>0.32800000000000001</v>
      </c>
      <c r="Y22" s="4">
        <v>73.7</v>
      </c>
      <c r="Z22" s="4">
        <v>63</v>
      </c>
      <c r="AA22" s="4">
        <v>3.1</v>
      </c>
      <c r="AB22" s="4">
        <v>7.6</v>
      </c>
      <c r="AC22" s="4">
        <v>33.4</v>
      </c>
      <c r="AD22" s="4">
        <v>11.4</v>
      </c>
      <c r="AE22" s="4">
        <v>3.1</v>
      </c>
      <c r="AF22" s="4">
        <v>1</v>
      </c>
      <c r="AG22" s="4">
        <v>1.4</v>
      </c>
      <c r="AH22" s="4">
        <v>0.7</v>
      </c>
      <c r="AI22" s="4" t="s">
        <v>566</v>
      </c>
      <c r="AJ22" s="4">
        <v>0</v>
      </c>
      <c r="AK22" s="43">
        <v>0.6</v>
      </c>
    </row>
    <row r="23" spans="1:37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22</v>
      </c>
      <c r="I23" s="4">
        <v>1</v>
      </c>
      <c r="J23" s="4">
        <v>14870</v>
      </c>
      <c r="K23" s="4">
        <v>20580</v>
      </c>
      <c r="L23" s="4">
        <v>27050</v>
      </c>
      <c r="M23" s="4">
        <v>0.59</v>
      </c>
      <c r="N23" s="4">
        <v>9970</v>
      </c>
      <c r="O23" s="4">
        <v>13420</v>
      </c>
      <c r="P23" s="4">
        <v>15890</v>
      </c>
      <c r="Q23" s="4">
        <v>18470</v>
      </c>
      <c r="R23" s="4">
        <v>22750</v>
      </c>
      <c r="S23" s="4">
        <v>25580</v>
      </c>
      <c r="T23" s="4">
        <v>29030</v>
      </c>
      <c r="U23" s="4">
        <v>34460</v>
      </c>
      <c r="V23" s="4">
        <v>3.5</v>
      </c>
      <c r="W23" s="4">
        <v>4.0999999999999996</v>
      </c>
      <c r="X23" s="4">
        <v>0.26500000000000001</v>
      </c>
      <c r="Y23" s="4">
        <v>74.900000000000006</v>
      </c>
      <c r="Z23" s="4">
        <v>66.3</v>
      </c>
      <c r="AA23" s="4">
        <v>3.7</v>
      </c>
      <c r="AB23" s="4">
        <v>4.9000000000000004</v>
      </c>
      <c r="AC23" s="4">
        <v>25.2</v>
      </c>
      <c r="AD23" s="4">
        <v>4.5999999999999996</v>
      </c>
      <c r="AE23" s="4">
        <v>8.6999999999999993</v>
      </c>
      <c r="AF23" s="4">
        <v>3.1</v>
      </c>
      <c r="AG23" s="4">
        <v>3.9</v>
      </c>
      <c r="AH23" s="4">
        <v>1.7</v>
      </c>
      <c r="AI23" s="4" t="s">
        <v>567</v>
      </c>
      <c r="AJ23" s="4">
        <v>0</v>
      </c>
      <c r="AK23" s="43">
        <v>0.5</v>
      </c>
    </row>
    <row r="24" spans="1:37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47</v>
      </c>
      <c r="I24" s="4">
        <v>2</v>
      </c>
      <c r="J24" s="4">
        <v>10640</v>
      </c>
      <c r="K24" s="4">
        <v>14070</v>
      </c>
      <c r="L24" s="4">
        <v>18970</v>
      </c>
      <c r="M24" s="4">
        <v>0.59</v>
      </c>
      <c r="N24" s="4">
        <v>8020</v>
      </c>
      <c r="O24" s="4">
        <v>9880</v>
      </c>
      <c r="P24" s="4">
        <v>11190</v>
      </c>
      <c r="Q24" s="4">
        <v>12760</v>
      </c>
      <c r="R24" s="4">
        <v>15580</v>
      </c>
      <c r="S24" s="4">
        <v>17640</v>
      </c>
      <c r="T24" s="4">
        <v>20040</v>
      </c>
      <c r="U24" s="4">
        <v>24330</v>
      </c>
      <c r="V24" s="4">
        <v>3</v>
      </c>
      <c r="W24" s="4">
        <v>3.9</v>
      </c>
      <c r="X24" s="4">
        <v>0.26300000000000001</v>
      </c>
      <c r="Y24" s="4">
        <v>63.1</v>
      </c>
      <c r="Z24" s="4">
        <v>56.3</v>
      </c>
      <c r="AA24" s="4">
        <v>4.7</v>
      </c>
      <c r="AB24" s="4">
        <v>2.1</v>
      </c>
      <c r="AC24" s="4">
        <v>17.7</v>
      </c>
      <c r="AD24" s="4">
        <v>2.5</v>
      </c>
      <c r="AE24" s="4">
        <v>25.8</v>
      </c>
      <c r="AF24" s="4">
        <v>8.4</v>
      </c>
      <c r="AG24" s="4">
        <v>12.1</v>
      </c>
      <c r="AH24" s="4">
        <v>5.3</v>
      </c>
      <c r="AI24" s="4" t="s">
        <v>568</v>
      </c>
      <c r="AJ24" s="4">
        <v>0</v>
      </c>
      <c r="AK24" s="43">
        <v>0.2</v>
      </c>
    </row>
    <row r="25" spans="1:37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49</v>
      </c>
      <c r="I25" s="4">
        <v>2</v>
      </c>
      <c r="J25" s="4">
        <v>10860</v>
      </c>
      <c r="K25" s="4">
        <v>14110</v>
      </c>
      <c r="L25" s="4">
        <v>20330</v>
      </c>
      <c r="M25" s="4">
        <v>0.67</v>
      </c>
      <c r="N25" s="4">
        <v>8330</v>
      </c>
      <c r="O25" s="4">
        <v>10180</v>
      </c>
      <c r="P25" s="4">
        <v>11470</v>
      </c>
      <c r="Q25" s="4">
        <v>12920</v>
      </c>
      <c r="R25" s="4">
        <v>15970</v>
      </c>
      <c r="S25" s="4">
        <v>18960</v>
      </c>
      <c r="T25" s="4">
        <v>21430</v>
      </c>
      <c r="U25" s="4">
        <v>26510</v>
      </c>
      <c r="V25" s="4">
        <v>3.2</v>
      </c>
      <c r="W25" s="4">
        <v>3.8</v>
      </c>
      <c r="X25" s="4">
        <v>0.26300000000000001</v>
      </c>
      <c r="Y25" s="4">
        <v>62.7</v>
      </c>
      <c r="Z25" s="4">
        <v>56.5</v>
      </c>
      <c r="AA25" s="4">
        <v>4.5</v>
      </c>
      <c r="AB25" s="4">
        <v>1.7</v>
      </c>
      <c r="AC25" s="4">
        <v>16.899999999999999</v>
      </c>
      <c r="AD25" s="4">
        <v>4</v>
      </c>
      <c r="AE25" s="4">
        <v>25.2</v>
      </c>
      <c r="AF25" s="4">
        <v>8.9</v>
      </c>
      <c r="AG25" s="4">
        <v>11.2</v>
      </c>
      <c r="AH25" s="4">
        <v>5.0999999999999996</v>
      </c>
      <c r="AI25" s="4" t="s">
        <v>569</v>
      </c>
      <c r="AJ25" s="4">
        <v>0</v>
      </c>
      <c r="AK25" s="43">
        <v>0.2</v>
      </c>
    </row>
    <row r="26" spans="1:37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31</v>
      </c>
      <c r="I26" s="4">
        <v>1</v>
      </c>
      <c r="J26" s="4">
        <v>12440</v>
      </c>
      <c r="K26" s="4">
        <v>18470</v>
      </c>
      <c r="L26" s="4">
        <v>25700</v>
      </c>
      <c r="M26" s="4">
        <v>0.72</v>
      </c>
      <c r="N26" s="4">
        <v>9570</v>
      </c>
      <c r="O26" s="4">
        <v>11500</v>
      </c>
      <c r="P26" s="4">
        <v>13660</v>
      </c>
      <c r="Q26" s="4">
        <v>15830</v>
      </c>
      <c r="R26" s="4">
        <v>20830</v>
      </c>
      <c r="S26" s="4">
        <v>23970</v>
      </c>
      <c r="T26" s="4">
        <v>27790</v>
      </c>
      <c r="U26" s="4">
        <v>36050</v>
      </c>
      <c r="V26" s="4">
        <v>3.8</v>
      </c>
      <c r="W26" s="4">
        <v>4.9000000000000004</v>
      </c>
      <c r="X26" s="4">
        <v>0.315</v>
      </c>
      <c r="Y26" s="4">
        <v>78.7</v>
      </c>
      <c r="Z26" s="4">
        <v>68.7</v>
      </c>
      <c r="AA26" s="4">
        <v>4.2</v>
      </c>
      <c r="AB26" s="4">
        <v>5.8</v>
      </c>
      <c r="AC26" s="4">
        <v>17.600000000000001</v>
      </c>
      <c r="AD26" s="4">
        <v>4.8</v>
      </c>
      <c r="AE26" s="4">
        <v>13.2</v>
      </c>
      <c r="AF26" s="4">
        <v>3.5</v>
      </c>
      <c r="AG26" s="4">
        <v>6.9</v>
      </c>
      <c r="AH26" s="4">
        <v>2.8</v>
      </c>
      <c r="AI26" s="4" t="s">
        <v>570</v>
      </c>
      <c r="AJ26" s="4">
        <v>0</v>
      </c>
      <c r="AK26" s="43">
        <v>0.4</v>
      </c>
    </row>
    <row r="27" spans="1:37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57</v>
      </c>
      <c r="I27" s="4">
        <v>2</v>
      </c>
      <c r="J27" s="4">
        <v>10220</v>
      </c>
      <c r="K27" s="4">
        <v>13240</v>
      </c>
      <c r="L27" s="4">
        <v>17630</v>
      </c>
      <c r="M27" s="4">
        <v>0.56000000000000005</v>
      </c>
      <c r="N27" s="4">
        <v>8270</v>
      </c>
      <c r="O27" s="4">
        <v>9650</v>
      </c>
      <c r="P27" s="4">
        <v>10920</v>
      </c>
      <c r="Q27" s="4">
        <v>12030</v>
      </c>
      <c r="R27" s="4">
        <v>14530</v>
      </c>
      <c r="S27" s="4">
        <v>16610</v>
      </c>
      <c r="T27" s="4">
        <v>19240</v>
      </c>
      <c r="U27" s="4">
        <v>23160</v>
      </c>
      <c r="V27" s="4">
        <v>2.8</v>
      </c>
      <c r="W27" s="4">
        <v>3.4</v>
      </c>
      <c r="X27" s="4">
        <v>0.249</v>
      </c>
      <c r="Y27" s="4">
        <v>57</v>
      </c>
      <c r="Z27" s="4">
        <v>49.5</v>
      </c>
      <c r="AA27" s="4">
        <v>5</v>
      </c>
      <c r="AB27" s="4">
        <v>2.5</v>
      </c>
      <c r="AC27" s="4">
        <v>15.2</v>
      </c>
      <c r="AD27" s="4">
        <v>3.3</v>
      </c>
      <c r="AE27" s="4">
        <v>31.9</v>
      </c>
      <c r="AF27" s="4">
        <v>10.5</v>
      </c>
      <c r="AG27" s="4">
        <v>14.6</v>
      </c>
      <c r="AH27" s="4">
        <v>6.8</v>
      </c>
      <c r="AI27" s="4" t="s">
        <v>555</v>
      </c>
      <c r="AJ27" s="4">
        <v>0</v>
      </c>
      <c r="AK27" s="43">
        <v>0.2</v>
      </c>
    </row>
    <row r="28" spans="1:37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53</v>
      </c>
      <c r="I28" s="4">
        <v>2</v>
      </c>
      <c r="J28" s="4">
        <v>10050</v>
      </c>
      <c r="K28" s="4">
        <v>13350</v>
      </c>
      <c r="L28" s="4">
        <v>18150</v>
      </c>
      <c r="M28" s="4">
        <v>0.61</v>
      </c>
      <c r="N28" s="4">
        <v>8270</v>
      </c>
      <c r="O28" s="4">
        <v>9500</v>
      </c>
      <c r="P28" s="4">
        <v>10920</v>
      </c>
      <c r="Q28" s="4">
        <v>12060</v>
      </c>
      <c r="R28" s="4">
        <v>14670</v>
      </c>
      <c r="S28" s="4">
        <v>16830</v>
      </c>
      <c r="T28" s="4">
        <v>19550</v>
      </c>
      <c r="U28" s="4">
        <v>23200</v>
      </c>
      <c r="V28" s="4">
        <v>2.8</v>
      </c>
      <c r="W28" s="4">
        <v>3.5</v>
      </c>
      <c r="X28" s="4">
        <v>0.252</v>
      </c>
      <c r="Y28" s="4">
        <v>63</v>
      </c>
      <c r="Z28" s="4">
        <v>52.8</v>
      </c>
      <c r="AA28" s="4">
        <v>5</v>
      </c>
      <c r="AB28" s="4">
        <v>5.2</v>
      </c>
      <c r="AC28" s="4">
        <v>13.9</v>
      </c>
      <c r="AD28" s="4">
        <v>3.2</v>
      </c>
      <c r="AE28" s="4">
        <v>29.4</v>
      </c>
      <c r="AF28" s="4">
        <v>9.6</v>
      </c>
      <c r="AG28" s="4">
        <v>13.5</v>
      </c>
      <c r="AH28" s="4">
        <v>6.3</v>
      </c>
      <c r="AI28" s="4" t="s">
        <v>571</v>
      </c>
      <c r="AJ28" s="4">
        <v>0</v>
      </c>
      <c r="AK28" s="43">
        <v>0.1</v>
      </c>
    </row>
    <row r="29" spans="1:37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52</v>
      </c>
      <c r="I29" s="4">
        <v>1</v>
      </c>
      <c r="J29" s="4">
        <v>10740</v>
      </c>
      <c r="K29" s="4">
        <v>13690</v>
      </c>
      <c r="L29" s="4">
        <v>18820</v>
      </c>
      <c r="M29" s="4">
        <v>0.59</v>
      </c>
      <c r="N29" s="4">
        <v>8060</v>
      </c>
      <c r="O29" s="4">
        <v>10020</v>
      </c>
      <c r="P29" s="4">
        <v>11410</v>
      </c>
      <c r="Q29" s="4">
        <v>12500</v>
      </c>
      <c r="R29" s="4">
        <v>15310</v>
      </c>
      <c r="S29" s="4">
        <v>17480</v>
      </c>
      <c r="T29" s="4">
        <v>20380</v>
      </c>
      <c r="U29" s="4">
        <v>25560</v>
      </c>
      <c r="V29" s="4">
        <v>3.2</v>
      </c>
      <c r="W29" s="4">
        <v>4</v>
      </c>
      <c r="X29" s="4">
        <v>0.27100000000000002</v>
      </c>
      <c r="Y29" s="4">
        <v>61.8</v>
      </c>
      <c r="Z29" s="4">
        <v>55</v>
      </c>
      <c r="AA29" s="4">
        <v>5.3</v>
      </c>
      <c r="AB29" s="4">
        <v>1.5</v>
      </c>
      <c r="AC29" s="4">
        <v>17.8</v>
      </c>
      <c r="AD29" s="4">
        <v>2.8</v>
      </c>
      <c r="AE29" s="4">
        <v>26.4</v>
      </c>
      <c r="AF29" s="4">
        <v>7</v>
      </c>
      <c r="AG29" s="4">
        <v>13.3</v>
      </c>
      <c r="AH29" s="4">
        <v>6.1</v>
      </c>
      <c r="AI29" s="4" t="s">
        <v>569</v>
      </c>
      <c r="AJ29" s="4">
        <v>0</v>
      </c>
      <c r="AK29" s="43">
        <v>0.2</v>
      </c>
    </row>
    <row r="30" spans="1:37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57</v>
      </c>
      <c r="I30" s="4">
        <v>2</v>
      </c>
      <c r="J30" s="4">
        <v>10270</v>
      </c>
      <c r="K30" s="4">
        <v>12860</v>
      </c>
      <c r="L30" s="4">
        <v>18470</v>
      </c>
      <c r="M30" s="4">
        <v>0.64</v>
      </c>
      <c r="N30" s="4">
        <v>7310</v>
      </c>
      <c r="O30" s="4">
        <v>9560</v>
      </c>
      <c r="P30" s="4">
        <v>10780</v>
      </c>
      <c r="Q30" s="4">
        <v>11690</v>
      </c>
      <c r="R30" s="4">
        <v>14480</v>
      </c>
      <c r="S30" s="4">
        <v>16830</v>
      </c>
      <c r="T30" s="4">
        <v>19830</v>
      </c>
      <c r="U30" s="4">
        <v>23000</v>
      </c>
      <c r="V30" s="4">
        <v>3.1</v>
      </c>
      <c r="W30" s="4">
        <v>3.9</v>
      </c>
      <c r="X30" s="4">
        <v>0.26400000000000001</v>
      </c>
      <c r="Y30" s="4">
        <v>58.2</v>
      </c>
      <c r="Z30" s="4">
        <v>50.5</v>
      </c>
      <c r="AA30" s="4">
        <v>4.8</v>
      </c>
      <c r="AB30" s="4">
        <v>2.9</v>
      </c>
      <c r="AC30" s="4">
        <v>19.399999999999999</v>
      </c>
      <c r="AD30" s="4">
        <v>3.1</v>
      </c>
      <c r="AE30" s="4">
        <v>27.8</v>
      </c>
      <c r="AF30" s="4">
        <v>9.4</v>
      </c>
      <c r="AG30" s="4">
        <v>12.5</v>
      </c>
      <c r="AH30" s="4">
        <v>5.9</v>
      </c>
      <c r="AI30" s="4" t="s">
        <v>563</v>
      </c>
      <c r="AJ30" s="4">
        <v>0</v>
      </c>
      <c r="AK30" s="43">
        <v>0.2</v>
      </c>
    </row>
    <row r="31" spans="1:37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57</v>
      </c>
      <c r="I31" s="4">
        <v>2</v>
      </c>
      <c r="J31" s="4">
        <v>10410</v>
      </c>
      <c r="K31" s="4">
        <v>13110</v>
      </c>
      <c r="L31" s="4">
        <v>16710</v>
      </c>
      <c r="M31" s="4">
        <v>0.48</v>
      </c>
      <c r="N31" s="4">
        <v>8500</v>
      </c>
      <c r="O31" s="4">
        <v>9600</v>
      </c>
      <c r="P31" s="4">
        <v>10930</v>
      </c>
      <c r="Q31" s="4">
        <v>11900</v>
      </c>
      <c r="R31" s="4">
        <v>14070</v>
      </c>
      <c r="S31" s="4">
        <v>15800</v>
      </c>
      <c r="T31" s="4">
        <v>17910</v>
      </c>
      <c r="U31" s="4">
        <v>20760</v>
      </c>
      <c r="V31" s="4">
        <v>2.4</v>
      </c>
      <c r="W31" s="4">
        <v>3</v>
      </c>
      <c r="X31" s="4">
        <v>0.216</v>
      </c>
      <c r="Y31" s="4">
        <v>54.5</v>
      </c>
      <c r="Z31" s="4">
        <v>47.4</v>
      </c>
      <c r="AA31" s="4">
        <v>6.1</v>
      </c>
      <c r="AB31" s="4">
        <v>1</v>
      </c>
      <c r="AC31" s="4">
        <v>13.5</v>
      </c>
      <c r="AD31" s="4">
        <v>2.7</v>
      </c>
      <c r="AE31" s="4">
        <v>35.700000000000003</v>
      </c>
      <c r="AF31" s="4">
        <v>12.4</v>
      </c>
      <c r="AG31" s="4">
        <v>15.9</v>
      </c>
      <c r="AH31" s="4">
        <v>7.4</v>
      </c>
      <c r="AI31" s="4" t="s">
        <v>558</v>
      </c>
      <c r="AJ31" s="4">
        <v>0</v>
      </c>
      <c r="AK31" s="43">
        <v>0.2</v>
      </c>
    </row>
    <row r="32" spans="1:37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53</v>
      </c>
      <c r="I32" s="4">
        <v>2</v>
      </c>
      <c r="J32" s="4">
        <v>10900</v>
      </c>
      <c r="K32" s="4">
        <v>13440</v>
      </c>
      <c r="L32" s="4">
        <v>17660</v>
      </c>
      <c r="M32" s="4">
        <v>0.5</v>
      </c>
      <c r="N32" s="4">
        <v>8040</v>
      </c>
      <c r="O32" s="4">
        <v>9840</v>
      </c>
      <c r="P32" s="4">
        <v>11380</v>
      </c>
      <c r="Q32" s="4">
        <v>12520</v>
      </c>
      <c r="R32" s="4">
        <v>14550</v>
      </c>
      <c r="S32" s="4">
        <v>16330</v>
      </c>
      <c r="T32" s="4">
        <v>19200</v>
      </c>
      <c r="U32" s="4">
        <v>23300</v>
      </c>
      <c r="V32" s="4">
        <v>2.9</v>
      </c>
      <c r="W32" s="4">
        <v>3.6</v>
      </c>
      <c r="X32" s="4">
        <v>0.247</v>
      </c>
      <c r="Y32" s="4">
        <v>56.5</v>
      </c>
      <c r="Z32" s="4">
        <v>48.6</v>
      </c>
      <c r="AA32" s="4">
        <v>5.0999999999999996</v>
      </c>
      <c r="AB32" s="4">
        <v>2.8</v>
      </c>
      <c r="AC32" s="4">
        <v>19.399999999999999</v>
      </c>
      <c r="AD32" s="4">
        <v>3.7</v>
      </c>
      <c r="AE32" s="4">
        <v>28.4</v>
      </c>
      <c r="AF32" s="4">
        <v>9.4</v>
      </c>
      <c r="AG32" s="4">
        <v>13.2</v>
      </c>
      <c r="AH32" s="4">
        <v>5.8</v>
      </c>
      <c r="AI32" s="4" t="s">
        <v>572</v>
      </c>
      <c r="AJ32" s="4">
        <v>0</v>
      </c>
      <c r="AK32" s="43">
        <v>0.3</v>
      </c>
    </row>
    <row r="33" spans="1:37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3">
        <v>0.1</v>
      </c>
    </row>
    <row r="34" spans="1:37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61</v>
      </c>
      <c r="I34" s="4">
        <v>2</v>
      </c>
      <c r="J34" s="4">
        <v>10380</v>
      </c>
      <c r="K34" s="4">
        <v>12580</v>
      </c>
      <c r="L34" s="4">
        <v>16200</v>
      </c>
      <c r="M34" s="4">
        <v>0.46</v>
      </c>
      <c r="N34" s="4">
        <v>8880</v>
      </c>
      <c r="O34" s="4">
        <v>9900</v>
      </c>
      <c r="P34" s="4">
        <v>10700</v>
      </c>
      <c r="Q34" s="4">
        <v>11580</v>
      </c>
      <c r="R34" s="4">
        <v>13680</v>
      </c>
      <c r="S34" s="4">
        <v>15420</v>
      </c>
      <c r="T34" s="4">
        <v>17430</v>
      </c>
      <c r="U34" s="4">
        <v>20900</v>
      </c>
      <c r="V34" s="4">
        <v>2.4</v>
      </c>
      <c r="W34" s="4">
        <v>2.7</v>
      </c>
      <c r="X34" s="4">
        <v>0.20499999999999999</v>
      </c>
      <c r="Y34" s="4">
        <v>53</v>
      </c>
      <c r="Z34" s="4">
        <v>45.5</v>
      </c>
      <c r="AA34" s="4">
        <v>6.2</v>
      </c>
      <c r="AB34" s="4">
        <v>1.3</v>
      </c>
      <c r="AC34" s="4">
        <v>14</v>
      </c>
      <c r="AD34" s="4">
        <v>2</v>
      </c>
      <c r="AE34" s="4">
        <v>37.200000000000003</v>
      </c>
      <c r="AF34" s="4">
        <v>11</v>
      </c>
      <c r="AG34" s="4">
        <v>17.7</v>
      </c>
      <c r="AH34" s="4">
        <v>8.5</v>
      </c>
      <c r="AI34" s="4" t="s">
        <v>573</v>
      </c>
      <c r="AJ34" s="4">
        <v>0</v>
      </c>
      <c r="AK34" s="43">
        <v>0.2</v>
      </c>
    </row>
    <row r="35" spans="1:37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41</v>
      </c>
      <c r="I35" s="4">
        <v>2</v>
      </c>
      <c r="J35" s="4">
        <v>11380</v>
      </c>
      <c r="K35" s="4">
        <v>15770</v>
      </c>
      <c r="L35" s="4">
        <v>22620</v>
      </c>
      <c r="M35" s="4">
        <v>0.71</v>
      </c>
      <c r="N35" s="4">
        <v>8870</v>
      </c>
      <c r="O35" s="4">
        <v>10820</v>
      </c>
      <c r="P35" s="4">
        <v>12190</v>
      </c>
      <c r="Q35" s="4">
        <v>13640</v>
      </c>
      <c r="R35" s="4">
        <v>18620</v>
      </c>
      <c r="S35" s="4">
        <v>20880</v>
      </c>
      <c r="T35" s="4">
        <v>24420</v>
      </c>
      <c r="U35" s="4">
        <v>28390</v>
      </c>
      <c r="V35" s="4">
        <v>3.2</v>
      </c>
      <c r="W35" s="4">
        <v>3.8</v>
      </c>
      <c r="X35" s="4">
        <v>0.26100000000000001</v>
      </c>
      <c r="Y35" s="4">
        <v>66.3</v>
      </c>
      <c r="Z35" s="4">
        <v>60.3</v>
      </c>
      <c r="AA35" s="4">
        <v>4.5999999999999996</v>
      </c>
      <c r="AB35" s="4">
        <v>1.4</v>
      </c>
      <c r="AC35" s="4">
        <v>19.899999999999999</v>
      </c>
      <c r="AD35" s="4">
        <v>4.3</v>
      </c>
      <c r="AE35" s="4">
        <v>19.3</v>
      </c>
      <c r="AF35" s="4">
        <v>5.9</v>
      </c>
      <c r="AG35" s="4">
        <v>9.3000000000000007</v>
      </c>
      <c r="AH35" s="4">
        <v>4.0999999999999996</v>
      </c>
      <c r="AI35" s="4" t="s">
        <v>574</v>
      </c>
      <c r="AJ35" s="4">
        <v>0</v>
      </c>
      <c r="AK35" s="43">
        <v>1</v>
      </c>
    </row>
    <row r="36" spans="1:37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27</v>
      </c>
      <c r="I36" s="4">
        <v>1</v>
      </c>
      <c r="J36" s="4">
        <v>13590</v>
      </c>
      <c r="K36" s="4">
        <v>18670</v>
      </c>
      <c r="L36" s="4">
        <v>24860</v>
      </c>
      <c r="M36" s="4">
        <v>0.6</v>
      </c>
      <c r="N36" s="4">
        <v>9920</v>
      </c>
      <c r="O36" s="4">
        <v>12540</v>
      </c>
      <c r="P36" s="4">
        <v>14550</v>
      </c>
      <c r="Q36" s="4">
        <v>16630</v>
      </c>
      <c r="R36" s="4">
        <v>20860</v>
      </c>
      <c r="S36" s="4">
        <v>23260</v>
      </c>
      <c r="T36" s="4">
        <v>26730</v>
      </c>
      <c r="U36" s="4">
        <v>33260</v>
      </c>
      <c r="V36" s="4">
        <v>3.4</v>
      </c>
      <c r="W36" s="4">
        <v>3.8</v>
      </c>
      <c r="X36" s="4">
        <v>0.26300000000000001</v>
      </c>
      <c r="Y36" s="4">
        <v>71.400000000000006</v>
      </c>
      <c r="Z36" s="4">
        <v>63</v>
      </c>
      <c r="AA36" s="4">
        <v>4.3</v>
      </c>
      <c r="AB36" s="4">
        <v>4.0999999999999996</v>
      </c>
      <c r="AC36" s="4">
        <v>23.7</v>
      </c>
      <c r="AD36" s="4">
        <v>4.9000000000000004</v>
      </c>
      <c r="AE36" s="4">
        <v>11.8</v>
      </c>
      <c r="AF36" s="4">
        <v>3.9</v>
      </c>
      <c r="AG36" s="4">
        <v>5.6</v>
      </c>
      <c r="AH36" s="4">
        <v>2.2999999999999998</v>
      </c>
      <c r="AI36" s="4" t="s">
        <v>575</v>
      </c>
      <c r="AJ36" s="4">
        <v>0</v>
      </c>
      <c r="AK36" s="43">
        <v>0.5</v>
      </c>
    </row>
    <row r="37" spans="1:37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25</v>
      </c>
      <c r="I37" s="4">
        <v>2</v>
      </c>
      <c r="J37" s="4">
        <v>13820</v>
      </c>
      <c r="K37" s="4">
        <v>19100</v>
      </c>
      <c r="L37" s="4">
        <v>25450</v>
      </c>
      <c r="M37" s="4">
        <v>0.61</v>
      </c>
      <c r="N37" s="4">
        <v>10850</v>
      </c>
      <c r="O37" s="4">
        <v>12900</v>
      </c>
      <c r="P37" s="4">
        <v>14870</v>
      </c>
      <c r="Q37" s="4">
        <v>16760</v>
      </c>
      <c r="R37" s="4">
        <v>21030</v>
      </c>
      <c r="S37" s="4">
        <v>23910</v>
      </c>
      <c r="T37" s="4">
        <v>27470</v>
      </c>
      <c r="U37" s="4">
        <v>32820</v>
      </c>
      <c r="V37" s="4">
        <v>3</v>
      </c>
      <c r="W37" s="4">
        <v>3.7</v>
      </c>
      <c r="X37" s="4">
        <v>0.26100000000000001</v>
      </c>
      <c r="Y37" s="4">
        <v>72.7</v>
      </c>
      <c r="Z37" s="4">
        <v>63</v>
      </c>
      <c r="AA37" s="4">
        <v>3.7</v>
      </c>
      <c r="AB37" s="4">
        <v>6</v>
      </c>
      <c r="AC37" s="4">
        <v>24.5</v>
      </c>
      <c r="AD37" s="4">
        <v>5.3</v>
      </c>
      <c r="AE37" s="4">
        <v>10.5</v>
      </c>
      <c r="AF37" s="4">
        <v>3.9</v>
      </c>
      <c r="AG37" s="4">
        <v>4.9000000000000004</v>
      </c>
      <c r="AH37" s="4">
        <v>1.7</v>
      </c>
      <c r="AI37" s="4" t="s">
        <v>576</v>
      </c>
      <c r="AJ37" s="4">
        <v>0</v>
      </c>
      <c r="AK37" s="43">
        <v>0.5</v>
      </c>
    </row>
    <row r="38" spans="1:37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35</v>
      </c>
      <c r="I38" s="4">
        <v>2</v>
      </c>
      <c r="J38" s="4">
        <v>11640</v>
      </c>
      <c r="K38" s="4">
        <v>17080</v>
      </c>
      <c r="L38" s="4">
        <v>24270</v>
      </c>
      <c r="M38" s="4">
        <v>0.74</v>
      </c>
      <c r="N38" s="4">
        <v>9010</v>
      </c>
      <c r="O38" s="4">
        <v>10860</v>
      </c>
      <c r="P38" s="4">
        <v>12660</v>
      </c>
      <c r="Q38" s="4">
        <v>14860</v>
      </c>
      <c r="R38" s="4">
        <v>19180</v>
      </c>
      <c r="S38" s="4">
        <v>22470</v>
      </c>
      <c r="T38" s="4">
        <v>26510</v>
      </c>
      <c r="U38" s="4">
        <v>33270</v>
      </c>
      <c r="V38" s="4">
        <v>3.7</v>
      </c>
      <c r="W38" s="4">
        <v>4.5999999999999996</v>
      </c>
      <c r="X38" s="4">
        <v>0.307</v>
      </c>
      <c r="Y38" s="4">
        <v>72.900000000000006</v>
      </c>
      <c r="Z38" s="4">
        <v>64.7</v>
      </c>
      <c r="AA38" s="4">
        <v>3.2</v>
      </c>
      <c r="AB38" s="4">
        <v>5</v>
      </c>
      <c r="AC38" s="4">
        <v>20.100000000000001</v>
      </c>
      <c r="AD38" s="4">
        <v>6.2</v>
      </c>
      <c r="AE38" s="4">
        <v>13.3</v>
      </c>
      <c r="AF38" s="4">
        <v>5.3</v>
      </c>
      <c r="AG38" s="4">
        <v>5.5</v>
      </c>
      <c r="AH38" s="4">
        <v>2.5</v>
      </c>
      <c r="AI38" s="4" t="s">
        <v>577</v>
      </c>
      <c r="AJ38" s="4">
        <v>0</v>
      </c>
      <c r="AK38" s="43">
        <v>0.4</v>
      </c>
    </row>
    <row r="39" spans="1:37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53</v>
      </c>
      <c r="I39" s="4">
        <v>2</v>
      </c>
      <c r="J39" s="4">
        <v>10450</v>
      </c>
      <c r="K39" s="4">
        <v>13610</v>
      </c>
      <c r="L39" s="4">
        <v>18060</v>
      </c>
      <c r="M39" s="4">
        <v>0.56000000000000005</v>
      </c>
      <c r="N39" s="4">
        <v>8690</v>
      </c>
      <c r="O39" s="4">
        <v>9990</v>
      </c>
      <c r="P39" s="4">
        <v>11060</v>
      </c>
      <c r="Q39" s="4">
        <v>12420</v>
      </c>
      <c r="R39" s="4">
        <v>14980</v>
      </c>
      <c r="S39" s="4">
        <v>17070</v>
      </c>
      <c r="T39" s="4">
        <v>19360</v>
      </c>
      <c r="U39" s="4">
        <v>22760</v>
      </c>
      <c r="V39" s="4">
        <v>2.6</v>
      </c>
      <c r="W39" s="4">
        <v>3.1</v>
      </c>
      <c r="X39" s="4">
        <v>0.23100000000000001</v>
      </c>
      <c r="Y39" s="4">
        <v>59.7</v>
      </c>
      <c r="Z39" s="4">
        <v>52</v>
      </c>
      <c r="AA39" s="4">
        <v>6.1</v>
      </c>
      <c r="AB39" s="4">
        <v>1.6</v>
      </c>
      <c r="AC39" s="4">
        <v>17.3</v>
      </c>
      <c r="AD39" s="4">
        <v>1.7</v>
      </c>
      <c r="AE39" s="4">
        <v>28.9</v>
      </c>
      <c r="AF39" s="4">
        <v>7.6</v>
      </c>
      <c r="AG39" s="4">
        <v>14.5</v>
      </c>
      <c r="AH39" s="4">
        <v>6.8</v>
      </c>
      <c r="AI39" s="4" t="s">
        <v>578</v>
      </c>
      <c r="AJ39" s="4">
        <v>0</v>
      </c>
      <c r="AK39" s="43">
        <v>0.2</v>
      </c>
    </row>
    <row r="40" spans="1:37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51</v>
      </c>
      <c r="I40" s="51">
        <v>2</v>
      </c>
      <c r="J40" s="51">
        <v>10590</v>
      </c>
      <c r="K40" s="51">
        <v>13650</v>
      </c>
      <c r="L40" s="51">
        <v>18370</v>
      </c>
      <c r="M40" s="51">
        <v>0.56999999999999995</v>
      </c>
      <c r="N40" s="51">
        <v>8630</v>
      </c>
      <c r="O40" s="51">
        <v>9890</v>
      </c>
      <c r="P40" s="51">
        <v>11260</v>
      </c>
      <c r="Q40" s="51">
        <v>12310</v>
      </c>
      <c r="R40" s="51">
        <v>15010</v>
      </c>
      <c r="S40" s="51">
        <v>17250</v>
      </c>
      <c r="T40" s="51">
        <v>19500</v>
      </c>
      <c r="U40" s="51">
        <v>22510</v>
      </c>
      <c r="V40" s="51">
        <v>2.6</v>
      </c>
      <c r="W40" s="51">
        <v>3.1</v>
      </c>
      <c r="X40" s="51">
        <v>0.22600000000000001</v>
      </c>
      <c r="Y40" s="51">
        <v>56.2</v>
      </c>
      <c r="Z40" s="51">
        <v>49.5</v>
      </c>
      <c r="AA40" s="51">
        <v>5.9</v>
      </c>
      <c r="AB40" s="51">
        <v>0.8</v>
      </c>
      <c r="AC40" s="51">
        <v>19.600000000000001</v>
      </c>
      <c r="AD40" s="51">
        <v>2.6</v>
      </c>
      <c r="AE40" s="51">
        <v>28.8</v>
      </c>
      <c r="AF40" s="51">
        <v>7</v>
      </c>
      <c r="AG40" s="51">
        <v>15.3</v>
      </c>
      <c r="AH40" s="51">
        <v>6.5</v>
      </c>
      <c r="AI40" s="51" t="s">
        <v>579</v>
      </c>
      <c r="AJ40" s="51">
        <v>0</v>
      </c>
      <c r="AK40" s="52">
        <v>0.3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F1" workbookViewId="0">
      <pane xSplit="3" ySplit="2" topLeftCell="I3" activePane="bottomRight" state="frozen"/>
      <selection activeCell="F1" sqref="F1"/>
      <selection pane="topRight" activeCell="I1" sqref="I1"/>
      <selection pane="bottomLeft" activeCell="F3" sqref="F3"/>
      <selection pane="bottomRight" activeCell="F1" sqref="F1"/>
    </sheetView>
  </sheetViews>
  <sheetFormatPr baseColWidth="10" defaultColWidth="9.140625" defaultRowHeight="15"/>
  <cols>
    <col min="1" max="1" width="17" customWidth="1"/>
    <col min="2" max="2" width="10.140625" customWidth="1"/>
    <col min="3" max="3" width="20" customWidth="1"/>
    <col min="4" max="4" width="23.42578125" customWidth="1"/>
    <col min="5" max="5" width="17.5703125" customWidth="1"/>
    <col min="6" max="6" width="31.42578125" customWidth="1"/>
    <col min="7" max="7" width="19.85546875" customWidth="1"/>
    <col min="8" max="8" width="16.140625" customWidth="1"/>
    <col min="19" max="26" width="10" customWidth="1"/>
    <col min="27" max="27" width="12.85546875" customWidth="1"/>
  </cols>
  <sheetData>
    <row r="1" spans="1:27">
      <c r="A1" s="6"/>
      <c r="B1" s="6"/>
      <c r="C1" s="6"/>
      <c r="D1" s="6"/>
      <c r="E1" s="6"/>
      <c r="F1" s="6"/>
      <c r="G1" s="6"/>
      <c r="H1" s="7" t="s">
        <v>0</v>
      </c>
      <c r="I1" s="7">
        <f t="shared" ref="I1:AA1" si="0">SUBTOTAL(9,I3:I40)</f>
        <v>1474</v>
      </c>
      <c r="J1" s="7">
        <f t="shared" si="0"/>
        <v>1386</v>
      </c>
      <c r="K1" s="7">
        <f t="shared" si="0"/>
        <v>1500</v>
      </c>
      <c r="L1" s="7">
        <f t="shared" si="0"/>
        <v>1670</v>
      </c>
      <c r="M1" s="7">
        <f t="shared" si="0"/>
        <v>1636</v>
      </c>
      <c r="N1" s="7">
        <f t="shared" si="0"/>
        <v>1638</v>
      </c>
      <c r="O1" s="7">
        <f t="shared" si="0"/>
        <v>1719</v>
      </c>
      <c r="P1" s="7">
        <f t="shared" si="0"/>
        <v>1780</v>
      </c>
      <c r="Q1" s="7">
        <f t="shared" si="0"/>
        <v>1796</v>
      </c>
      <c r="R1" s="7">
        <f t="shared" si="0"/>
        <v>1697</v>
      </c>
      <c r="S1" s="7">
        <f t="shared" si="0"/>
        <v>1872</v>
      </c>
      <c r="T1" s="7">
        <f t="shared" si="0"/>
        <v>1656</v>
      </c>
      <c r="U1" s="7">
        <f t="shared" si="0"/>
        <v>1673</v>
      </c>
      <c r="V1" s="7">
        <f t="shared" si="0"/>
        <v>1598</v>
      </c>
      <c r="W1" s="7">
        <f t="shared" si="0"/>
        <v>1732</v>
      </c>
      <c r="X1" s="7">
        <f t="shared" si="0"/>
        <v>1577</v>
      </c>
      <c r="Y1" s="7">
        <f t="shared" si="0"/>
        <v>1533</v>
      </c>
      <c r="Z1" s="7">
        <f t="shared" si="0"/>
        <v>1591</v>
      </c>
      <c r="AA1" s="7">
        <f t="shared" si="0"/>
        <v>29528</v>
      </c>
    </row>
    <row r="2" spans="1:27">
      <c r="A2" s="56" t="s">
        <v>1</v>
      </c>
      <c r="B2" s="57" t="s">
        <v>580</v>
      </c>
      <c r="C2" s="57" t="s">
        <v>2</v>
      </c>
      <c r="D2" s="57" t="s">
        <v>581</v>
      </c>
      <c r="E2" s="57" t="s">
        <v>4</v>
      </c>
      <c r="F2" s="57" t="s">
        <v>582</v>
      </c>
      <c r="G2" s="57" t="s">
        <v>583</v>
      </c>
      <c r="H2" s="57" t="s">
        <v>7</v>
      </c>
      <c r="I2" s="58" t="s">
        <v>584</v>
      </c>
      <c r="J2" s="58" t="s">
        <v>585</v>
      </c>
      <c r="K2" s="58" t="s">
        <v>586</v>
      </c>
      <c r="L2" s="58" t="s">
        <v>587</v>
      </c>
      <c r="M2" s="58" t="s">
        <v>588</v>
      </c>
      <c r="N2" s="58" t="s">
        <v>589</v>
      </c>
      <c r="O2" s="58" t="s">
        <v>590</v>
      </c>
      <c r="P2" s="58" t="s">
        <v>591</v>
      </c>
      <c r="Q2" s="58" t="s">
        <v>592</v>
      </c>
      <c r="R2" s="58" t="s">
        <v>593</v>
      </c>
      <c r="S2" s="58" t="s">
        <v>594</v>
      </c>
      <c r="T2" s="58" t="s">
        <v>595</v>
      </c>
      <c r="U2" s="58" t="s">
        <v>596</v>
      </c>
      <c r="V2" s="58" t="s">
        <v>597</v>
      </c>
      <c r="W2" s="58" t="s">
        <v>598</v>
      </c>
      <c r="X2" s="58" t="s">
        <v>599</v>
      </c>
      <c r="Y2" s="58" t="s">
        <v>600</v>
      </c>
      <c r="Z2" s="58" t="s">
        <v>601</v>
      </c>
      <c r="AA2" s="59" t="s">
        <v>602</v>
      </c>
    </row>
    <row r="3" spans="1:27">
      <c r="A3" s="54" t="s">
        <v>99</v>
      </c>
      <c r="B3" s="8" t="s">
        <v>603</v>
      </c>
      <c r="C3" s="8" t="s">
        <v>99</v>
      </c>
      <c r="D3" s="8" t="s">
        <v>95</v>
      </c>
      <c r="E3" s="8" t="s">
        <v>95</v>
      </c>
      <c r="F3" s="8" t="s">
        <v>102</v>
      </c>
      <c r="G3" s="8" t="s">
        <v>95</v>
      </c>
      <c r="H3" s="8" t="s">
        <v>604</v>
      </c>
      <c r="I3" s="9">
        <v>10</v>
      </c>
      <c r="J3" s="9">
        <v>17</v>
      </c>
      <c r="K3" s="9">
        <v>9</v>
      </c>
      <c r="L3" s="9">
        <v>15</v>
      </c>
      <c r="M3" s="9">
        <v>39</v>
      </c>
      <c r="N3" s="9">
        <v>24</v>
      </c>
      <c r="O3" s="9">
        <v>24</v>
      </c>
      <c r="P3" s="9">
        <v>27</v>
      </c>
      <c r="Q3" s="9">
        <v>32</v>
      </c>
      <c r="R3" s="9">
        <v>32</v>
      </c>
      <c r="S3" s="9">
        <v>23</v>
      </c>
      <c r="T3" s="9">
        <v>11</v>
      </c>
      <c r="U3" s="9">
        <v>34</v>
      </c>
      <c r="V3" s="9">
        <v>34</v>
      </c>
      <c r="W3" s="9">
        <v>24</v>
      </c>
      <c r="X3" s="9">
        <v>41</v>
      </c>
      <c r="Y3" s="9">
        <v>34</v>
      </c>
      <c r="Z3" s="9">
        <v>32</v>
      </c>
      <c r="AA3" s="55">
        <v>462</v>
      </c>
    </row>
    <row r="4" spans="1:27">
      <c r="A4" s="54" t="s">
        <v>99</v>
      </c>
      <c r="B4" s="8" t="s">
        <v>603</v>
      </c>
      <c r="C4" s="8" t="s">
        <v>99</v>
      </c>
      <c r="D4" s="8" t="s">
        <v>95</v>
      </c>
      <c r="E4" s="8" t="s">
        <v>95</v>
      </c>
      <c r="F4" s="8" t="s">
        <v>102</v>
      </c>
      <c r="G4" s="8" t="s">
        <v>95</v>
      </c>
      <c r="H4" s="8" t="s">
        <v>605</v>
      </c>
      <c r="I4" s="9">
        <v>36</v>
      </c>
      <c r="J4" s="9">
        <v>57</v>
      </c>
      <c r="K4" s="9">
        <v>17</v>
      </c>
      <c r="L4" s="9">
        <v>56</v>
      </c>
      <c r="M4" s="9">
        <v>37</v>
      </c>
      <c r="N4" s="9">
        <v>32</v>
      </c>
      <c r="O4" s="9">
        <v>21</v>
      </c>
      <c r="P4" s="9">
        <v>60</v>
      </c>
      <c r="Q4" s="9">
        <v>43</v>
      </c>
      <c r="R4" s="9">
        <v>31</v>
      </c>
      <c r="S4" s="9">
        <v>75</v>
      </c>
      <c r="T4" s="9">
        <v>33</v>
      </c>
      <c r="U4" s="9">
        <v>32</v>
      </c>
      <c r="V4" s="9">
        <v>37</v>
      </c>
      <c r="W4" s="9">
        <v>37</v>
      </c>
      <c r="X4" s="9">
        <v>32</v>
      </c>
      <c r="Y4" s="9">
        <v>38</v>
      </c>
      <c r="Z4" s="9">
        <v>48</v>
      </c>
      <c r="AA4" s="55">
        <v>722</v>
      </c>
    </row>
    <row r="5" spans="1:27">
      <c r="A5" s="54" t="s">
        <v>112</v>
      </c>
      <c r="B5" s="8" t="s">
        <v>606</v>
      </c>
      <c r="C5" s="8"/>
      <c r="D5" s="8" t="s">
        <v>124</v>
      </c>
      <c r="E5" s="8" t="s">
        <v>128</v>
      </c>
      <c r="F5" s="8" t="s">
        <v>125</v>
      </c>
      <c r="G5" s="8" t="s">
        <v>124</v>
      </c>
      <c r="H5" s="8" t="s">
        <v>607</v>
      </c>
      <c r="I5" s="9">
        <v>70</v>
      </c>
      <c r="J5" s="9">
        <v>75</v>
      </c>
      <c r="K5" s="9">
        <v>63</v>
      </c>
      <c r="L5" s="9">
        <v>67</v>
      </c>
      <c r="M5" s="9">
        <v>51</v>
      </c>
      <c r="N5" s="9">
        <v>49</v>
      </c>
      <c r="O5" s="9">
        <v>50</v>
      </c>
      <c r="P5" s="9">
        <v>63</v>
      </c>
      <c r="Q5" s="9">
        <v>58</v>
      </c>
      <c r="R5" s="9">
        <v>43</v>
      </c>
      <c r="S5" s="9">
        <v>49</v>
      </c>
      <c r="T5" s="9">
        <v>44</v>
      </c>
      <c r="U5" s="9">
        <v>41</v>
      </c>
      <c r="V5" s="9">
        <v>49</v>
      </c>
      <c r="W5" s="9">
        <v>43</v>
      </c>
      <c r="X5" s="9">
        <v>38</v>
      </c>
      <c r="Y5" s="9">
        <v>65</v>
      </c>
      <c r="Z5" s="9">
        <v>44</v>
      </c>
      <c r="AA5" s="55">
        <v>962</v>
      </c>
    </row>
    <row r="6" spans="1:27">
      <c r="A6" s="54"/>
      <c r="B6" s="8" t="s">
        <v>608</v>
      </c>
      <c r="C6" s="8"/>
      <c r="D6" s="8" t="s">
        <v>131</v>
      </c>
      <c r="E6" s="8" t="s">
        <v>132</v>
      </c>
      <c r="F6" s="8" t="s">
        <v>133</v>
      </c>
      <c r="G6" s="8" t="s">
        <v>128</v>
      </c>
      <c r="H6" s="8" t="s">
        <v>609</v>
      </c>
      <c r="I6" s="9">
        <v>15</v>
      </c>
      <c r="J6" s="9">
        <v>4</v>
      </c>
      <c r="K6" s="9">
        <v>20</v>
      </c>
      <c r="L6" s="9">
        <v>53</v>
      </c>
      <c r="M6" s="9">
        <v>7</v>
      </c>
      <c r="N6" s="9">
        <v>22</v>
      </c>
      <c r="O6" s="9">
        <v>21</v>
      </c>
      <c r="P6" s="9">
        <v>33</v>
      </c>
      <c r="Q6" s="9">
        <v>5</v>
      </c>
      <c r="R6" s="9">
        <v>26</v>
      </c>
      <c r="S6" s="9">
        <v>13</v>
      </c>
      <c r="T6" s="9">
        <v>36</v>
      </c>
      <c r="U6" s="9">
        <v>13</v>
      </c>
      <c r="V6" s="9">
        <v>0</v>
      </c>
      <c r="W6" s="9">
        <v>7</v>
      </c>
      <c r="X6" s="9">
        <v>32</v>
      </c>
      <c r="Y6" s="9">
        <v>20</v>
      </c>
      <c r="Z6" s="9">
        <v>13</v>
      </c>
      <c r="AA6" s="55">
        <v>340</v>
      </c>
    </row>
    <row r="7" spans="1:27">
      <c r="A7" s="54"/>
      <c r="B7" s="8" t="s">
        <v>608</v>
      </c>
      <c r="C7" s="8"/>
      <c r="D7" s="8" t="s">
        <v>131</v>
      </c>
      <c r="E7" s="8" t="s">
        <v>132</v>
      </c>
      <c r="F7" s="8" t="s">
        <v>133</v>
      </c>
      <c r="G7" s="8" t="s">
        <v>124</v>
      </c>
      <c r="H7" s="8" t="s">
        <v>610</v>
      </c>
      <c r="I7" s="9">
        <v>38</v>
      </c>
      <c r="J7" s="9">
        <v>58</v>
      </c>
      <c r="K7" s="9">
        <v>25</v>
      </c>
      <c r="L7" s="9">
        <v>27</v>
      </c>
      <c r="M7" s="9">
        <v>47</v>
      </c>
      <c r="N7" s="9">
        <v>24</v>
      </c>
      <c r="O7" s="9">
        <v>49</v>
      </c>
      <c r="P7" s="9">
        <v>19</v>
      </c>
      <c r="Q7" s="9">
        <v>45</v>
      </c>
      <c r="R7" s="9">
        <v>21</v>
      </c>
      <c r="S7" s="9">
        <v>37</v>
      </c>
      <c r="T7" s="9">
        <v>27</v>
      </c>
      <c r="U7" s="9">
        <v>47</v>
      </c>
      <c r="V7" s="9">
        <v>15</v>
      </c>
      <c r="W7" s="9">
        <v>23</v>
      </c>
      <c r="X7" s="9">
        <v>41</v>
      </c>
      <c r="Y7" s="9">
        <v>30</v>
      </c>
      <c r="Z7" s="9">
        <v>59</v>
      </c>
      <c r="AA7" s="55">
        <v>632</v>
      </c>
    </row>
    <row r="8" spans="1:27">
      <c r="A8" s="54" t="s">
        <v>109</v>
      </c>
      <c r="B8" s="8" t="s">
        <v>603</v>
      </c>
      <c r="C8" s="8" t="s">
        <v>99</v>
      </c>
      <c r="D8" s="8" t="s">
        <v>95</v>
      </c>
      <c r="E8" s="8" t="s">
        <v>95</v>
      </c>
      <c r="F8" s="8" t="s">
        <v>110</v>
      </c>
      <c r="G8" s="8" t="s">
        <v>95</v>
      </c>
      <c r="H8" s="8" t="s">
        <v>110</v>
      </c>
      <c r="I8" s="9">
        <v>56</v>
      </c>
      <c r="J8" s="9">
        <v>34</v>
      </c>
      <c r="K8" s="9">
        <v>49</v>
      </c>
      <c r="L8" s="9">
        <v>62</v>
      </c>
      <c r="M8" s="9">
        <v>33</v>
      </c>
      <c r="N8" s="9">
        <v>86</v>
      </c>
      <c r="O8" s="9">
        <v>48</v>
      </c>
      <c r="P8" s="9">
        <v>63</v>
      </c>
      <c r="Q8" s="9">
        <v>89</v>
      </c>
      <c r="R8" s="9">
        <v>44</v>
      </c>
      <c r="S8" s="9">
        <v>84</v>
      </c>
      <c r="T8" s="9">
        <v>74</v>
      </c>
      <c r="U8" s="9">
        <v>77</v>
      </c>
      <c r="V8" s="9">
        <v>104</v>
      </c>
      <c r="W8" s="9">
        <v>64</v>
      </c>
      <c r="X8" s="9">
        <v>71</v>
      </c>
      <c r="Y8" s="9">
        <v>56</v>
      </c>
      <c r="Z8" s="9">
        <v>101</v>
      </c>
      <c r="AA8" s="55">
        <v>1195</v>
      </c>
    </row>
    <row r="9" spans="1:27">
      <c r="A9" s="54" t="s">
        <v>105</v>
      </c>
      <c r="B9" s="8" t="s">
        <v>603</v>
      </c>
      <c r="C9" s="8"/>
      <c r="D9" s="8" t="s">
        <v>95</v>
      </c>
      <c r="E9" s="8" t="s">
        <v>95</v>
      </c>
      <c r="F9" s="8" t="s">
        <v>106</v>
      </c>
      <c r="G9" s="8" t="s">
        <v>95</v>
      </c>
      <c r="H9" s="8" t="s">
        <v>611</v>
      </c>
      <c r="I9" s="9">
        <v>29</v>
      </c>
      <c r="J9" s="9">
        <v>34</v>
      </c>
      <c r="K9" s="9">
        <v>30</v>
      </c>
      <c r="L9" s="9">
        <v>42</v>
      </c>
      <c r="M9" s="9">
        <v>46</v>
      </c>
      <c r="N9" s="9">
        <v>67</v>
      </c>
      <c r="O9" s="9">
        <v>63</v>
      </c>
      <c r="P9" s="9">
        <v>70</v>
      </c>
      <c r="Q9" s="9">
        <v>44</v>
      </c>
      <c r="R9" s="9">
        <v>47</v>
      </c>
      <c r="S9" s="9">
        <v>76</v>
      </c>
      <c r="T9" s="9">
        <v>18</v>
      </c>
      <c r="U9" s="9">
        <v>77</v>
      </c>
      <c r="V9" s="9">
        <v>35</v>
      </c>
      <c r="W9" s="9">
        <v>47</v>
      </c>
      <c r="X9" s="9">
        <v>52</v>
      </c>
      <c r="Y9" s="9">
        <v>60</v>
      </c>
      <c r="Z9" s="9">
        <v>45</v>
      </c>
      <c r="AA9" s="55">
        <v>882</v>
      </c>
    </row>
    <row r="10" spans="1:27">
      <c r="A10" s="54" t="s">
        <v>117</v>
      </c>
      <c r="B10" s="8" t="s">
        <v>612</v>
      </c>
      <c r="C10" s="8"/>
      <c r="D10" s="8" t="s">
        <v>124</v>
      </c>
      <c r="E10" s="8" t="s">
        <v>95</v>
      </c>
      <c r="F10" s="8" t="s">
        <v>125</v>
      </c>
      <c r="G10" s="8" t="s">
        <v>124</v>
      </c>
      <c r="H10" s="8" t="s">
        <v>613</v>
      </c>
      <c r="I10" s="9">
        <v>58</v>
      </c>
      <c r="J10" s="9">
        <v>43</v>
      </c>
      <c r="K10" s="9">
        <v>51</v>
      </c>
      <c r="L10" s="9">
        <v>42</v>
      </c>
      <c r="M10" s="9">
        <v>107</v>
      </c>
      <c r="N10" s="9">
        <v>42</v>
      </c>
      <c r="O10" s="9">
        <v>50</v>
      </c>
      <c r="P10" s="9">
        <v>54</v>
      </c>
      <c r="Q10" s="9">
        <v>40</v>
      </c>
      <c r="R10" s="9">
        <v>28</v>
      </c>
      <c r="S10" s="9">
        <v>72</v>
      </c>
      <c r="T10" s="9">
        <v>50</v>
      </c>
      <c r="U10" s="9">
        <v>32</v>
      </c>
      <c r="V10" s="9">
        <v>44</v>
      </c>
      <c r="W10" s="9">
        <v>24</v>
      </c>
      <c r="X10" s="9">
        <v>44</v>
      </c>
      <c r="Y10" s="9">
        <v>54</v>
      </c>
      <c r="Z10" s="9">
        <v>41</v>
      </c>
      <c r="AA10" s="55">
        <v>876</v>
      </c>
    </row>
    <row r="11" spans="1:27">
      <c r="A11" s="54" t="s">
        <v>99</v>
      </c>
      <c r="B11" s="8" t="s">
        <v>603</v>
      </c>
      <c r="C11" s="8" t="s">
        <v>99</v>
      </c>
      <c r="D11" s="8"/>
      <c r="E11" s="8" t="s">
        <v>95</v>
      </c>
      <c r="F11" s="8" t="s">
        <v>100</v>
      </c>
      <c r="G11" s="8" t="s">
        <v>95</v>
      </c>
      <c r="H11" s="8" t="s">
        <v>614</v>
      </c>
      <c r="I11" s="9">
        <v>41</v>
      </c>
      <c r="J11" s="9">
        <v>68</v>
      </c>
      <c r="K11" s="9">
        <v>68</v>
      </c>
      <c r="L11" s="9">
        <v>44</v>
      </c>
      <c r="M11" s="9">
        <v>56</v>
      </c>
      <c r="N11" s="9">
        <v>48</v>
      </c>
      <c r="O11" s="9">
        <v>37</v>
      </c>
      <c r="P11" s="9">
        <v>46</v>
      </c>
      <c r="Q11" s="9">
        <v>38</v>
      </c>
      <c r="R11" s="9">
        <v>33</v>
      </c>
      <c r="S11" s="9">
        <v>37</v>
      </c>
      <c r="T11" s="9">
        <v>25</v>
      </c>
      <c r="U11" s="9">
        <v>42</v>
      </c>
      <c r="V11" s="9">
        <v>30</v>
      </c>
      <c r="W11" s="9">
        <v>41</v>
      </c>
      <c r="X11" s="9">
        <v>44</v>
      </c>
      <c r="Y11" s="9">
        <v>43</v>
      </c>
      <c r="Z11" s="9">
        <v>29</v>
      </c>
      <c r="AA11" s="55">
        <v>770</v>
      </c>
    </row>
    <row r="12" spans="1:27">
      <c r="A12" s="54" t="s">
        <v>615</v>
      </c>
      <c r="B12" s="8" t="s">
        <v>616</v>
      </c>
      <c r="C12" s="8"/>
      <c r="D12" s="8" t="s">
        <v>143</v>
      </c>
      <c r="E12" s="8" t="s">
        <v>128</v>
      </c>
      <c r="F12" s="8" t="s">
        <v>162</v>
      </c>
      <c r="G12" s="8" t="s">
        <v>143</v>
      </c>
      <c r="H12" s="8" t="s">
        <v>617</v>
      </c>
      <c r="I12" s="9">
        <v>41</v>
      </c>
      <c r="J12" s="9">
        <v>41</v>
      </c>
      <c r="K12" s="9">
        <v>29</v>
      </c>
      <c r="L12" s="9">
        <v>43</v>
      </c>
      <c r="M12" s="9">
        <v>17</v>
      </c>
      <c r="N12" s="9">
        <v>43</v>
      </c>
      <c r="O12" s="9">
        <v>51</v>
      </c>
      <c r="P12" s="9">
        <v>41</v>
      </c>
      <c r="Q12" s="9">
        <v>65</v>
      </c>
      <c r="R12" s="9">
        <v>42</v>
      </c>
      <c r="S12" s="9">
        <v>33</v>
      </c>
      <c r="T12" s="9">
        <v>67</v>
      </c>
      <c r="U12" s="9">
        <v>55</v>
      </c>
      <c r="V12" s="9">
        <v>38</v>
      </c>
      <c r="W12" s="9">
        <v>58</v>
      </c>
      <c r="X12" s="9">
        <v>34</v>
      </c>
      <c r="Y12" s="9">
        <v>29</v>
      </c>
      <c r="Z12" s="9">
        <v>50</v>
      </c>
      <c r="AA12" s="55">
        <v>777</v>
      </c>
    </row>
    <row r="13" spans="1:27">
      <c r="A13" s="54" t="s">
        <v>618</v>
      </c>
      <c r="B13" s="8" t="s">
        <v>612</v>
      </c>
      <c r="C13" s="8"/>
      <c r="D13" s="8" t="s">
        <v>94</v>
      </c>
      <c r="E13" s="8" t="s">
        <v>95</v>
      </c>
      <c r="F13" s="8" t="s">
        <v>96</v>
      </c>
      <c r="G13" s="8" t="s">
        <v>94</v>
      </c>
      <c r="H13" s="8" t="s">
        <v>619</v>
      </c>
      <c r="I13" s="9">
        <v>54</v>
      </c>
      <c r="J13" s="9">
        <v>38</v>
      </c>
      <c r="K13" s="9">
        <v>34</v>
      </c>
      <c r="L13" s="9">
        <v>71</v>
      </c>
      <c r="M13" s="9">
        <v>36</v>
      </c>
      <c r="N13" s="9">
        <v>40</v>
      </c>
      <c r="O13" s="9">
        <v>57</v>
      </c>
      <c r="P13" s="9">
        <v>76</v>
      </c>
      <c r="Q13" s="9">
        <v>58</v>
      </c>
      <c r="R13" s="9">
        <v>100</v>
      </c>
      <c r="S13" s="9">
        <v>59</v>
      </c>
      <c r="T13" s="9">
        <v>76</v>
      </c>
      <c r="U13" s="9">
        <v>31</v>
      </c>
      <c r="V13" s="9">
        <v>80</v>
      </c>
      <c r="W13" s="9">
        <v>94</v>
      </c>
      <c r="X13" s="9">
        <v>64</v>
      </c>
      <c r="Y13" s="9">
        <v>61</v>
      </c>
      <c r="Z13" s="9">
        <v>55</v>
      </c>
      <c r="AA13" s="55">
        <v>1084</v>
      </c>
    </row>
    <row r="14" spans="1:27">
      <c r="A14" s="54" t="s">
        <v>620</v>
      </c>
      <c r="B14" s="8" t="s">
        <v>608</v>
      </c>
      <c r="C14" s="8"/>
      <c r="D14" s="8" t="s">
        <v>128</v>
      </c>
      <c r="E14" s="8" t="s">
        <v>128</v>
      </c>
      <c r="F14" s="8" t="s">
        <v>621</v>
      </c>
      <c r="G14" s="8" t="s">
        <v>128</v>
      </c>
      <c r="H14" s="8" t="s">
        <v>622</v>
      </c>
      <c r="I14" s="9">
        <v>30</v>
      </c>
      <c r="J14" s="9">
        <v>21</v>
      </c>
      <c r="K14" s="9">
        <v>41</v>
      </c>
      <c r="L14" s="9">
        <v>28</v>
      </c>
      <c r="M14" s="9">
        <v>47</v>
      </c>
      <c r="N14" s="9">
        <v>51</v>
      </c>
      <c r="O14" s="9">
        <v>30</v>
      </c>
      <c r="P14" s="9">
        <v>47</v>
      </c>
      <c r="Q14" s="9">
        <v>24</v>
      </c>
      <c r="R14" s="9">
        <v>20</v>
      </c>
      <c r="S14" s="9">
        <v>40</v>
      </c>
      <c r="T14" s="9">
        <v>33</v>
      </c>
      <c r="U14" s="9">
        <v>59</v>
      </c>
      <c r="V14" s="9">
        <v>56</v>
      </c>
      <c r="W14" s="9">
        <v>21</v>
      </c>
      <c r="X14" s="9">
        <v>32</v>
      </c>
      <c r="Y14" s="9">
        <v>40</v>
      </c>
      <c r="Z14" s="9">
        <v>16</v>
      </c>
      <c r="AA14" s="55">
        <v>636</v>
      </c>
    </row>
    <row r="15" spans="1:27">
      <c r="A15" s="54" t="s">
        <v>112</v>
      </c>
      <c r="B15" s="8" t="s">
        <v>603</v>
      </c>
      <c r="C15" s="8"/>
      <c r="D15" s="8" t="s">
        <v>95</v>
      </c>
      <c r="E15" s="8" t="s">
        <v>95</v>
      </c>
      <c r="F15" s="8" t="s">
        <v>113</v>
      </c>
      <c r="G15" s="8" t="s">
        <v>95</v>
      </c>
      <c r="H15" s="8" t="s">
        <v>623</v>
      </c>
      <c r="I15" s="9">
        <v>26</v>
      </c>
      <c r="J15" s="9">
        <v>26</v>
      </c>
      <c r="K15" s="9">
        <v>47</v>
      </c>
      <c r="L15" s="9">
        <v>50</v>
      </c>
      <c r="M15" s="9">
        <v>57</v>
      </c>
      <c r="N15" s="9">
        <v>39</v>
      </c>
      <c r="O15" s="9">
        <v>44</v>
      </c>
      <c r="P15" s="9">
        <v>38</v>
      </c>
      <c r="Q15" s="9">
        <v>67</v>
      </c>
      <c r="R15" s="9">
        <v>66</v>
      </c>
      <c r="S15" s="9">
        <v>65</v>
      </c>
      <c r="T15" s="9">
        <v>50</v>
      </c>
      <c r="U15" s="9">
        <v>60</v>
      </c>
      <c r="V15" s="9">
        <v>69</v>
      </c>
      <c r="W15" s="9">
        <v>47</v>
      </c>
      <c r="X15" s="9">
        <v>62</v>
      </c>
      <c r="Y15" s="9">
        <v>64</v>
      </c>
      <c r="Z15" s="9">
        <v>72</v>
      </c>
      <c r="AA15" s="55">
        <v>949</v>
      </c>
    </row>
    <row r="16" spans="1:27">
      <c r="A16" s="54" t="s">
        <v>112</v>
      </c>
      <c r="B16" s="8" t="s">
        <v>603</v>
      </c>
      <c r="C16" s="8"/>
      <c r="D16" s="8" t="s">
        <v>95</v>
      </c>
      <c r="E16" s="8" t="s">
        <v>95</v>
      </c>
      <c r="F16" s="8" t="s">
        <v>113</v>
      </c>
      <c r="G16" s="8" t="s">
        <v>95</v>
      </c>
      <c r="H16" s="8" t="s">
        <v>624</v>
      </c>
      <c r="I16" s="9">
        <v>37</v>
      </c>
      <c r="J16" s="9">
        <v>59</v>
      </c>
      <c r="K16" s="9">
        <v>63</v>
      </c>
      <c r="L16" s="9">
        <v>59</v>
      </c>
      <c r="M16" s="9">
        <v>51</v>
      </c>
      <c r="N16" s="9">
        <v>56</v>
      </c>
      <c r="O16" s="9">
        <v>79</v>
      </c>
      <c r="P16" s="9">
        <v>34</v>
      </c>
      <c r="Q16" s="9">
        <v>62</v>
      </c>
      <c r="R16" s="9">
        <v>38</v>
      </c>
      <c r="S16" s="9">
        <v>70</v>
      </c>
      <c r="T16" s="9">
        <v>70</v>
      </c>
      <c r="U16" s="9">
        <v>40</v>
      </c>
      <c r="V16" s="9">
        <v>48</v>
      </c>
      <c r="W16" s="9">
        <v>66</v>
      </c>
      <c r="X16" s="9">
        <v>41</v>
      </c>
      <c r="Y16" s="9">
        <v>36</v>
      </c>
      <c r="Z16" s="9">
        <v>46</v>
      </c>
      <c r="AA16" s="55">
        <v>955</v>
      </c>
    </row>
    <row r="17" spans="1:27">
      <c r="A17" s="54" t="s">
        <v>112</v>
      </c>
      <c r="B17" s="8" t="s">
        <v>603</v>
      </c>
      <c r="C17" s="8"/>
      <c r="D17" s="8" t="s">
        <v>95</v>
      </c>
      <c r="E17" s="8" t="s">
        <v>95</v>
      </c>
      <c r="F17" s="8" t="s">
        <v>113</v>
      </c>
      <c r="G17" s="8" t="s">
        <v>95</v>
      </c>
      <c r="H17" s="8" t="s">
        <v>625</v>
      </c>
      <c r="I17" s="9">
        <v>28</v>
      </c>
      <c r="J17" s="9">
        <v>27</v>
      </c>
      <c r="K17" s="9">
        <v>43</v>
      </c>
      <c r="L17" s="9">
        <v>46</v>
      </c>
      <c r="M17" s="9">
        <v>50</v>
      </c>
      <c r="N17" s="9">
        <v>21</v>
      </c>
      <c r="O17" s="9">
        <v>25</v>
      </c>
      <c r="P17" s="9">
        <v>75</v>
      </c>
      <c r="Q17" s="9">
        <v>47</v>
      </c>
      <c r="R17" s="9">
        <v>37</v>
      </c>
      <c r="S17" s="9">
        <v>47</v>
      </c>
      <c r="T17" s="9">
        <v>17</v>
      </c>
      <c r="U17" s="9">
        <v>35</v>
      </c>
      <c r="V17" s="9">
        <v>51</v>
      </c>
      <c r="W17" s="9">
        <v>64</v>
      </c>
      <c r="X17" s="9">
        <v>45</v>
      </c>
      <c r="Y17" s="9">
        <v>54</v>
      </c>
      <c r="Z17" s="9">
        <v>42</v>
      </c>
      <c r="AA17" s="55">
        <v>754</v>
      </c>
    </row>
    <row r="18" spans="1:27">
      <c r="A18" s="54" t="s">
        <v>105</v>
      </c>
      <c r="B18" s="8" t="s">
        <v>603</v>
      </c>
      <c r="C18" s="8"/>
      <c r="D18" s="8" t="s">
        <v>95</v>
      </c>
      <c r="E18" s="8" t="s">
        <v>95</v>
      </c>
      <c r="F18" s="8" t="s">
        <v>106</v>
      </c>
      <c r="G18" s="8" t="s">
        <v>95</v>
      </c>
      <c r="H18" s="8" t="s">
        <v>626</v>
      </c>
      <c r="I18" s="9">
        <v>28</v>
      </c>
      <c r="J18" s="9">
        <v>24</v>
      </c>
      <c r="K18" s="9">
        <v>31</v>
      </c>
      <c r="L18" s="9">
        <v>26</v>
      </c>
      <c r="M18" s="9">
        <v>51</v>
      </c>
      <c r="N18" s="9">
        <v>38</v>
      </c>
      <c r="O18" s="9">
        <v>25</v>
      </c>
      <c r="P18" s="9">
        <v>42</v>
      </c>
      <c r="Q18" s="9">
        <v>41</v>
      </c>
      <c r="R18" s="9">
        <v>37</v>
      </c>
      <c r="S18" s="9">
        <v>53</v>
      </c>
      <c r="T18" s="9">
        <v>43</v>
      </c>
      <c r="U18" s="9">
        <v>56</v>
      </c>
      <c r="V18" s="9">
        <v>40</v>
      </c>
      <c r="W18" s="9">
        <v>60</v>
      </c>
      <c r="X18" s="9">
        <v>36</v>
      </c>
      <c r="Y18" s="9">
        <v>38</v>
      </c>
      <c r="Z18" s="9">
        <v>32</v>
      </c>
      <c r="AA18" s="55">
        <v>701</v>
      </c>
    </row>
    <row r="19" spans="1:27">
      <c r="A19" s="54"/>
      <c r="B19" s="8" t="s">
        <v>608</v>
      </c>
      <c r="C19" s="8"/>
      <c r="D19" s="8" t="s">
        <v>131</v>
      </c>
      <c r="E19" s="8" t="s">
        <v>128</v>
      </c>
      <c r="F19" s="8" t="s">
        <v>162</v>
      </c>
      <c r="G19" s="8" t="s">
        <v>128</v>
      </c>
      <c r="H19" s="8" t="s">
        <v>627</v>
      </c>
      <c r="I19" s="9">
        <v>16</v>
      </c>
      <c r="J19" s="9">
        <v>7</v>
      </c>
      <c r="K19" s="9">
        <v>34</v>
      </c>
      <c r="L19" s="9">
        <v>27</v>
      </c>
      <c r="M19" s="9">
        <v>27</v>
      </c>
      <c r="N19" s="9">
        <v>28</v>
      </c>
      <c r="O19" s="9">
        <v>20</v>
      </c>
      <c r="P19" s="9">
        <v>17</v>
      </c>
      <c r="Q19" s="9">
        <v>40</v>
      </c>
      <c r="R19" s="9">
        <v>50</v>
      </c>
      <c r="S19" s="9">
        <v>61</v>
      </c>
      <c r="T19" s="9">
        <v>39</v>
      </c>
      <c r="U19" s="9">
        <v>33</v>
      </c>
      <c r="V19" s="9">
        <v>29</v>
      </c>
      <c r="W19" s="9">
        <v>33</v>
      </c>
      <c r="X19" s="9">
        <v>38</v>
      </c>
      <c r="Y19" s="9">
        <v>23</v>
      </c>
      <c r="Z19" s="9">
        <v>37</v>
      </c>
      <c r="AA19" s="55">
        <v>559</v>
      </c>
    </row>
    <row r="20" spans="1:27">
      <c r="A20" s="54"/>
      <c r="B20" s="8" t="s">
        <v>608</v>
      </c>
      <c r="C20" s="8"/>
      <c r="D20" s="8" t="s">
        <v>131</v>
      </c>
      <c r="E20" s="8" t="s">
        <v>128</v>
      </c>
      <c r="F20" s="8" t="s">
        <v>160</v>
      </c>
      <c r="G20" s="8" t="s">
        <v>128</v>
      </c>
      <c r="H20" s="8" t="s">
        <v>628</v>
      </c>
      <c r="I20" s="9">
        <v>31</v>
      </c>
      <c r="J20" s="9">
        <v>32</v>
      </c>
      <c r="K20" s="9">
        <v>45</v>
      </c>
      <c r="L20" s="9">
        <v>45</v>
      </c>
      <c r="M20" s="9">
        <v>67</v>
      </c>
      <c r="N20" s="9">
        <v>51</v>
      </c>
      <c r="O20" s="9">
        <v>64</v>
      </c>
      <c r="P20" s="9">
        <v>58</v>
      </c>
      <c r="Q20" s="9">
        <v>63</v>
      </c>
      <c r="R20" s="9">
        <v>69</v>
      </c>
      <c r="S20" s="9">
        <v>64</v>
      </c>
      <c r="T20" s="9">
        <v>85</v>
      </c>
      <c r="U20" s="9">
        <v>66</v>
      </c>
      <c r="V20" s="9">
        <v>28</v>
      </c>
      <c r="W20" s="9">
        <v>88</v>
      </c>
      <c r="X20" s="9">
        <v>45</v>
      </c>
      <c r="Y20" s="9">
        <v>74</v>
      </c>
      <c r="Z20" s="9">
        <v>81</v>
      </c>
      <c r="AA20" s="55">
        <v>1056</v>
      </c>
    </row>
    <row r="21" spans="1:27">
      <c r="A21" s="54" t="s">
        <v>618</v>
      </c>
      <c r="B21" s="8" t="s">
        <v>612</v>
      </c>
      <c r="C21" s="8" t="s">
        <v>118</v>
      </c>
      <c r="D21" s="8" t="s">
        <v>94</v>
      </c>
      <c r="E21" s="8" t="s">
        <v>95</v>
      </c>
      <c r="F21" s="8" t="s">
        <v>96</v>
      </c>
      <c r="G21" s="8" t="s">
        <v>94</v>
      </c>
      <c r="H21" s="8" t="s">
        <v>629</v>
      </c>
      <c r="I21" s="9">
        <v>57</v>
      </c>
      <c r="J21" s="9">
        <v>42</v>
      </c>
      <c r="K21" s="9">
        <v>33</v>
      </c>
      <c r="L21" s="9">
        <v>64</v>
      </c>
      <c r="M21" s="9">
        <v>41</v>
      </c>
      <c r="N21" s="9">
        <v>47</v>
      </c>
      <c r="O21" s="9">
        <v>58</v>
      </c>
      <c r="P21" s="9">
        <v>34</v>
      </c>
      <c r="Q21" s="9">
        <v>45</v>
      </c>
      <c r="R21" s="9">
        <v>52</v>
      </c>
      <c r="S21" s="9">
        <v>49</v>
      </c>
      <c r="T21" s="9">
        <v>51</v>
      </c>
      <c r="U21" s="9">
        <v>50</v>
      </c>
      <c r="V21" s="9">
        <v>51</v>
      </c>
      <c r="W21" s="9">
        <v>39</v>
      </c>
      <c r="X21" s="9">
        <v>45</v>
      </c>
      <c r="Y21" s="9">
        <v>21</v>
      </c>
      <c r="Z21" s="9">
        <v>56</v>
      </c>
      <c r="AA21" s="55">
        <v>835</v>
      </c>
    </row>
    <row r="22" spans="1:27">
      <c r="A22" s="54" t="s">
        <v>137</v>
      </c>
      <c r="B22" s="8" t="s">
        <v>606</v>
      </c>
      <c r="C22" s="8"/>
      <c r="D22" s="8" t="s">
        <v>128</v>
      </c>
      <c r="E22" s="8" t="s">
        <v>128</v>
      </c>
      <c r="F22" s="8" t="s">
        <v>138</v>
      </c>
      <c r="G22" s="8" t="s">
        <v>128</v>
      </c>
      <c r="H22" s="8" t="s">
        <v>630</v>
      </c>
      <c r="I22" s="9">
        <v>31</v>
      </c>
      <c r="J22" s="9">
        <v>23</v>
      </c>
      <c r="K22" s="9">
        <v>54</v>
      </c>
      <c r="L22" s="9">
        <v>36</v>
      </c>
      <c r="M22" s="9">
        <v>43</v>
      </c>
      <c r="N22" s="9">
        <v>18</v>
      </c>
      <c r="O22" s="9">
        <v>60</v>
      </c>
      <c r="P22" s="9">
        <v>48</v>
      </c>
      <c r="Q22" s="9">
        <v>41</v>
      </c>
      <c r="R22" s="9">
        <v>25</v>
      </c>
      <c r="S22" s="9">
        <v>50</v>
      </c>
      <c r="T22" s="9">
        <v>45</v>
      </c>
      <c r="U22" s="9">
        <v>46</v>
      </c>
      <c r="V22" s="9">
        <v>67</v>
      </c>
      <c r="W22" s="9">
        <v>52</v>
      </c>
      <c r="X22" s="9">
        <v>41</v>
      </c>
      <c r="Y22" s="9">
        <v>79</v>
      </c>
      <c r="Z22" s="9">
        <v>41</v>
      </c>
      <c r="AA22" s="55">
        <v>800</v>
      </c>
    </row>
    <row r="23" spans="1:27">
      <c r="A23" s="54" t="s">
        <v>137</v>
      </c>
      <c r="B23" s="8" t="s">
        <v>606</v>
      </c>
      <c r="C23" s="8"/>
      <c r="D23" s="8" t="s">
        <v>128</v>
      </c>
      <c r="E23" s="8" t="s">
        <v>128</v>
      </c>
      <c r="F23" s="8" t="s">
        <v>138</v>
      </c>
      <c r="G23" s="8" t="s">
        <v>128</v>
      </c>
      <c r="H23" s="8" t="s">
        <v>631</v>
      </c>
      <c r="I23" s="9">
        <v>35</v>
      </c>
      <c r="J23" s="9">
        <v>43</v>
      </c>
      <c r="K23" s="9">
        <v>65</v>
      </c>
      <c r="L23" s="9">
        <v>44</v>
      </c>
      <c r="M23" s="9">
        <v>48</v>
      </c>
      <c r="N23" s="9">
        <v>53</v>
      </c>
      <c r="O23" s="9">
        <v>31</v>
      </c>
      <c r="P23" s="9">
        <v>56</v>
      </c>
      <c r="Q23" s="9">
        <v>61</v>
      </c>
      <c r="R23" s="9">
        <v>47</v>
      </c>
      <c r="S23" s="9">
        <v>41</v>
      </c>
      <c r="T23" s="9">
        <v>41</v>
      </c>
      <c r="U23" s="9">
        <v>42</v>
      </c>
      <c r="V23" s="9">
        <v>28</v>
      </c>
      <c r="W23" s="9">
        <v>26</v>
      </c>
      <c r="X23" s="9">
        <v>31</v>
      </c>
      <c r="Y23" s="9">
        <v>27</v>
      </c>
      <c r="Z23" s="9">
        <v>43</v>
      </c>
      <c r="AA23" s="55">
        <v>762</v>
      </c>
    </row>
    <row r="24" spans="1:27">
      <c r="A24" s="54" t="s">
        <v>112</v>
      </c>
      <c r="B24" s="8" t="s">
        <v>603</v>
      </c>
      <c r="C24" s="8"/>
      <c r="D24" s="8" t="s">
        <v>124</v>
      </c>
      <c r="E24" s="8" t="s">
        <v>95</v>
      </c>
      <c r="F24" s="8" t="s">
        <v>125</v>
      </c>
      <c r="G24" s="8" t="s">
        <v>124</v>
      </c>
      <c r="H24" s="8" t="s">
        <v>632</v>
      </c>
      <c r="I24" s="9">
        <v>40</v>
      </c>
      <c r="J24" s="9">
        <v>50</v>
      </c>
      <c r="K24" s="9">
        <v>38</v>
      </c>
      <c r="L24" s="9">
        <v>38</v>
      </c>
      <c r="M24" s="9">
        <v>30</v>
      </c>
      <c r="N24" s="9">
        <v>31</v>
      </c>
      <c r="O24" s="9">
        <v>62</v>
      </c>
      <c r="P24" s="9">
        <v>76</v>
      </c>
      <c r="Q24" s="9">
        <v>36</v>
      </c>
      <c r="R24" s="9">
        <v>52</v>
      </c>
      <c r="S24" s="9">
        <v>48</v>
      </c>
      <c r="T24" s="9">
        <v>45</v>
      </c>
      <c r="U24" s="9">
        <v>35</v>
      </c>
      <c r="V24" s="9">
        <v>43</v>
      </c>
      <c r="W24" s="9">
        <v>24</v>
      </c>
      <c r="X24" s="9">
        <v>13</v>
      </c>
      <c r="Y24" s="9">
        <v>6</v>
      </c>
      <c r="Z24" s="9">
        <v>18</v>
      </c>
      <c r="AA24" s="55">
        <v>685</v>
      </c>
    </row>
    <row r="25" spans="1:27">
      <c r="A25" s="54"/>
      <c r="B25" s="8" t="s">
        <v>608</v>
      </c>
      <c r="C25" s="8"/>
      <c r="D25" s="8" t="s">
        <v>128</v>
      </c>
      <c r="E25" s="8" t="s">
        <v>128</v>
      </c>
      <c r="F25" s="8" t="s">
        <v>160</v>
      </c>
      <c r="G25" s="8" t="s">
        <v>128</v>
      </c>
      <c r="H25" s="8" t="s">
        <v>633</v>
      </c>
      <c r="I25" s="9">
        <v>49</v>
      </c>
      <c r="J25" s="9">
        <v>41</v>
      </c>
      <c r="K25" s="9">
        <v>59</v>
      </c>
      <c r="L25" s="9">
        <v>34</v>
      </c>
      <c r="M25" s="9">
        <v>65</v>
      </c>
      <c r="N25" s="9">
        <v>61</v>
      </c>
      <c r="O25" s="9">
        <v>70</v>
      </c>
      <c r="P25" s="9">
        <v>81</v>
      </c>
      <c r="Q25" s="9">
        <v>56</v>
      </c>
      <c r="R25" s="9">
        <v>62</v>
      </c>
      <c r="S25" s="9">
        <v>78</v>
      </c>
      <c r="T25" s="9">
        <v>30</v>
      </c>
      <c r="U25" s="9">
        <v>56</v>
      </c>
      <c r="V25" s="9">
        <v>52</v>
      </c>
      <c r="W25" s="9">
        <v>46</v>
      </c>
      <c r="X25" s="9">
        <v>35</v>
      </c>
      <c r="Y25" s="9">
        <v>66</v>
      </c>
      <c r="Z25" s="9">
        <v>42</v>
      </c>
      <c r="AA25" s="55">
        <v>983</v>
      </c>
    </row>
    <row r="26" spans="1:27">
      <c r="A26" s="54" t="s">
        <v>634</v>
      </c>
      <c r="B26" s="8" t="s">
        <v>606</v>
      </c>
      <c r="C26" s="8" t="s">
        <v>148</v>
      </c>
      <c r="D26" s="8" t="s">
        <v>143</v>
      </c>
      <c r="E26" s="8" t="s">
        <v>128</v>
      </c>
      <c r="F26" s="8" t="s">
        <v>149</v>
      </c>
      <c r="G26" s="8" t="s">
        <v>143</v>
      </c>
      <c r="H26" s="8" t="s">
        <v>635</v>
      </c>
      <c r="I26" s="9">
        <v>47</v>
      </c>
      <c r="J26" s="9">
        <v>62</v>
      </c>
      <c r="K26" s="9">
        <v>52</v>
      </c>
      <c r="L26" s="9">
        <v>70</v>
      </c>
      <c r="M26" s="9">
        <v>58</v>
      </c>
      <c r="N26" s="9">
        <v>50</v>
      </c>
      <c r="O26" s="9">
        <v>85</v>
      </c>
      <c r="P26" s="9">
        <v>51</v>
      </c>
      <c r="Q26" s="9">
        <v>64</v>
      </c>
      <c r="R26" s="9">
        <v>43</v>
      </c>
      <c r="S26" s="9">
        <v>52</v>
      </c>
      <c r="T26" s="9">
        <v>61</v>
      </c>
      <c r="U26" s="9">
        <v>38</v>
      </c>
      <c r="V26" s="9">
        <v>38</v>
      </c>
      <c r="W26" s="9">
        <v>71</v>
      </c>
      <c r="X26" s="9">
        <v>60</v>
      </c>
      <c r="Y26" s="9">
        <v>28</v>
      </c>
      <c r="Z26" s="9">
        <v>41</v>
      </c>
      <c r="AA26" s="55">
        <v>971</v>
      </c>
    </row>
    <row r="27" spans="1:27">
      <c r="A27" s="54" t="s">
        <v>634</v>
      </c>
      <c r="B27" s="8" t="s">
        <v>606</v>
      </c>
      <c r="C27" s="8" t="s">
        <v>148</v>
      </c>
      <c r="D27" s="8" t="s">
        <v>143</v>
      </c>
      <c r="E27" s="8" t="s">
        <v>128</v>
      </c>
      <c r="F27" s="8" t="s">
        <v>149</v>
      </c>
      <c r="G27" s="8" t="s">
        <v>143</v>
      </c>
      <c r="H27" s="8" t="s">
        <v>636</v>
      </c>
      <c r="I27" s="9">
        <v>55</v>
      </c>
      <c r="J27" s="9">
        <v>23</v>
      </c>
      <c r="K27" s="9">
        <v>13</v>
      </c>
      <c r="L27" s="9">
        <v>52</v>
      </c>
      <c r="M27" s="9">
        <v>47</v>
      </c>
      <c r="N27" s="9">
        <v>37</v>
      </c>
      <c r="O27" s="9">
        <v>56</v>
      </c>
      <c r="P27" s="9">
        <v>52</v>
      </c>
      <c r="Q27" s="9">
        <v>80</v>
      </c>
      <c r="R27" s="9">
        <v>51</v>
      </c>
      <c r="S27" s="9">
        <v>61</v>
      </c>
      <c r="T27" s="9">
        <v>30</v>
      </c>
      <c r="U27" s="9">
        <v>60</v>
      </c>
      <c r="V27" s="9">
        <v>56</v>
      </c>
      <c r="W27" s="9">
        <v>50</v>
      </c>
      <c r="X27" s="9">
        <v>44</v>
      </c>
      <c r="Y27" s="9">
        <v>39</v>
      </c>
      <c r="Z27" s="9">
        <v>27</v>
      </c>
      <c r="AA27" s="55">
        <v>833</v>
      </c>
    </row>
    <row r="28" spans="1:27">
      <c r="A28" s="54" t="s">
        <v>634</v>
      </c>
      <c r="B28" s="8" t="s">
        <v>606</v>
      </c>
      <c r="C28" s="8" t="s">
        <v>148</v>
      </c>
      <c r="D28" s="8" t="s">
        <v>143</v>
      </c>
      <c r="E28" s="8" t="s">
        <v>128</v>
      </c>
      <c r="F28" s="8" t="s">
        <v>149</v>
      </c>
      <c r="G28" s="8" t="s">
        <v>143</v>
      </c>
      <c r="H28" s="8" t="s">
        <v>637</v>
      </c>
      <c r="I28" s="9">
        <v>32</v>
      </c>
      <c r="J28" s="9">
        <v>21</v>
      </c>
      <c r="K28" s="9">
        <v>37</v>
      </c>
      <c r="L28" s="9">
        <v>23</v>
      </c>
      <c r="M28" s="9">
        <v>16</v>
      </c>
      <c r="N28" s="9">
        <v>36</v>
      </c>
      <c r="O28" s="9">
        <v>27</v>
      </c>
      <c r="P28" s="9">
        <v>39</v>
      </c>
      <c r="Q28" s="9">
        <v>21</v>
      </c>
      <c r="R28" s="9">
        <v>38</v>
      </c>
      <c r="S28" s="9">
        <v>47</v>
      </c>
      <c r="T28" s="9">
        <v>16</v>
      </c>
      <c r="U28" s="9">
        <v>35</v>
      </c>
      <c r="V28" s="9">
        <v>34</v>
      </c>
      <c r="W28" s="9">
        <v>33</v>
      </c>
      <c r="X28" s="9">
        <v>47</v>
      </c>
      <c r="Y28" s="9">
        <v>31</v>
      </c>
      <c r="Z28" s="9">
        <v>41</v>
      </c>
      <c r="AA28" s="55">
        <v>574</v>
      </c>
    </row>
    <row r="29" spans="1:27">
      <c r="A29" s="54" t="s">
        <v>137</v>
      </c>
      <c r="B29" s="8" t="s">
        <v>606</v>
      </c>
      <c r="C29" s="8"/>
      <c r="D29" s="8" t="s">
        <v>128</v>
      </c>
      <c r="E29" s="8" t="s">
        <v>128</v>
      </c>
      <c r="F29" s="8" t="s">
        <v>138</v>
      </c>
      <c r="G29" s="8" t="s">
        <v>128</v>
      </c>
      <c r="H29" s="8" t="s">
        <v>638</v>
      </c>
      <c r="I29" s="9">
        <v>58</v>
      </c>
      <c r="J29" s="9">
        <v>42</v>
      </c>
      <c r="K29" s="9">
        <v>36</v>
      </c>
      <c r="L29" s="9">
        <v>100</v>
      </c>
      <c r="M29" s="9">
        <v>49</v>
      </c>
      <c r="N29" s="9">
        <v>45</v>
      </c>
      <c r="O29" s="9">
        <v>46</v>
      </c>
      <c r="P29" s="9">
        <v>61</v>
      </c>
      <c r="Q29" s="9">
        <v>51</v>
      </c>
      <c r="R29" s="9">
        <v>49</v>
      </c>
      <c r="S29" s="9">
        <v>43</v>
      </c>
      <c r="T29" s="9">
        <v>57</v>
      </c>
      <c r="U29" s="9">
        <v>32</v>
      </c>
      <c r="V29" s="9">
        <v>43</v>
      </c>
      <c r="W29" s="9">
        <v>42</v>
      </c>
      <c r="X29" s="9">
        <v>51</v>
      </c>
      <c r="Y29" s="9">
        <v>33</v>
      </c>
      <c r="Z29" s="9">
        <v>51</v>
      </c>
      <c r="AA29" s="55">
        <v>889</v>
      </c>
    </row>
    <row r="30" spans="1:27">
      <c r="A30" s="54" t="s">
        <v>634</v>
      </c>
      <c r="B30" s="8" t="s">
        <v>606</v>
      </c>
      <c r="C30" s="8"/>
      <c r="D30" s="8" t="s">
        <v>143</v>
      </c>
      <c r="E30" s="8" t="s">
        <v>128</v>
      </c>
      <c r="F30" s="8" t="s">
        <v>144</v>
      </c>
      <c r="G30" s="8" t="s">
        <v>143</v>
      </c>
      <c r="H30" s="8" t="s">
        <v>639</v>
      </c>
      <c r="I30" s="9">
        <v>37</v>
      </c>
      <c r="J30" s="9">
        <v>33</v>
      </c>
      <c r="K30" s="9">
        <v>8</v>
      </c>
      <c r="L30" s="9">
        <v>36</v>
      </c>
      <c r="M30" s="9">
        <v>40</v>
      </c>
      <c r="N30" s="9">
        <v>34</v>
      </c>
      <c r="O30" s="9">
        <v>38</v>
      </c>
      <c r="P30" s="9">
        <v>40</v>
      </c>
      <c r="Q30" s="9">
        <v>56</v>
      </c>
      <c r="R30" s="9">
        <v>39</v>
      </c>
      <c r="S30" s="9">
        <v>57</v>
      </c>
      <c r="T30" s="9">
        <v>42</v>
      </c>
      <c r="U30" s="9">
        <v>29</v>
      </c>
      <c r="V30" s="9">
        <v>54</v>
      </c>
      <c r="W30" s="9">
        <v>56</v>
      </c>
      <c r="X30" s="9">
        <v>51</v>
      </c>
      <c r="Y30" s="9">
        <v>41</v>
      </c>
      <c r="Z30" s="9">
        <v>60</v>
      </c>
      <c r="AA30" s="55">
        <v>751</v>
      </c>
    </row>
    <row r="31" spans="1:27">
      <c r="A31" s="54" t="s">
        <v>634</v>
      </c>
      <c r="B31" s="8" t="s">
        <v>606</v>
      </c>
      <c r="C31" s="8"/>
      <c r="D31" s="8" t="s">
        <v>143</v>
      </c>
      <c r="E31" s="8" t="s">
        <v>128</v>
      </c>
      <c r="F31" s="8" t="s">
        <v>144</v>
      </c>
      <c r="G31" s="8" t="s">
        <v>143</v>
      </c>
      <c r="H31" s="8" t="s">
        <v>640</v>
      </c>
      <c r="I31" s="9">
        <v>50</v>
      </c>
      <c r="J31" s="9">
        <v>25</v>
      </c>
      <c r="K31" s="9">
        <v>52</v>
      </c>
      <c r="L31" s="9">
        <v>47</v>
      </c>
      <c r="M31" s="9">
        <v>24</v>
      </c>
      <c r="N31" s="9">
        <v>34</v>
      </c>
      <c r="O31" s="9">
        <v>49</v>
      </c>
      <c r="P31" s="9">
        <v>50</v>
      </c>
      <c r="Q31" s="9">
        <v>46</v>
      </c>
      <c r="R31" s="9">
        <v>39</v>
      </c>
      <c r="S31" s="9">
        <v>58</v>
      </c>
      <c r="T31" s="9">
        <v>78</v>
      </c>
      <c r="U31" s="9">
        <v>58</v>
      </c>
      <c r="V31" s="9">
        <v>43</v>
      </c>
      <c r="W31" s="9">
        <v>66</v>
      </c>
      <c r="X31" s="9">
        <v>40</v>
      </c>
      <c r="Y31" s="9">
        <v>45</v>
      </c>
      <c r="Z31" s="9">
        <v>36</v>
      </c>
      <c r="AA31" s="55">
        <v>840</v>
      </c>
    </row>
    <row r="32" spans="1:27">
      <c r="A32" s="54" t="s">
        <v>634</v>
      </c>
      <c r="B32" s="8" t="s">
        <v>606</v>
      </c>
      <c r="C32" s="8"/>
      <c r="D32" s="8" t="s">
        <v>143</v>
      </c>
      <c r="E32" s="8" t="s">
        <v>128</v>
      </c>
      <c r="F32" s="8" t="s">
        <v>144</v>
      </c>
      <c r="G32" s="8" t="s">
        <v>143</v>
      </c>
      <c r="H32" s="8" t="s">
        <v>641</v>
      </c>
      <c r="I32" s="9">
        <v>63</v>
      </c>
      <c r="J32" s="9">
        <v>41</v>
      </c>
      <c r="K32" s="9">
        <v>37</v>
      </c>
      <c r="L32" s="9">
        <v>43</v>
      </c>
      <c r="M32" s="9">
        <v>90</v>
      </c>
      <c r="N32" s="9">
        <v>62</v>
      </c>
      <c r="O32" s="9">
        <v>53</v>
      </c>
      <c r="P32" s="9">
        <v>68</v>
      </c>
      <c r="Q32" s="9">
        <v>48</v>
      </c>
      <c r="R32" s="9">
        <v>64</v>
      </c>
      <c r="S32" s="9">
        <v>24</v>
      </c>
      <c r="T32" s="9">
        <v>41</v>
      </c>
      <c r="U32" s="9">
        <v>71</v>
      </c>
      <c r="V32" s="9">
        <v>43</v>
      </c>
      <c r="W32" s="9">
        <v>46</v>
      </c>
      <c r="X32" s="9">
        <v>42</v>
      </c>
      <c r="Y32" s="9">
        <v>14</v>
      </c>
      <c r="Z32" s="9">
        <v>39</v>
      </c>
      <c r="AA32" s="55">
        <v>889</v>
      </c>
    </row>
    <row r="33" spans="1:27">
      <c r="A33" s="54" t="s">
        <v>615</v>
      </c>
      <c r="B33" s="8" t="s">
        <v>616</v>
      </c>
      <c r="C33" s="8" t="s">
        <v>154</v>
      </c>
      <c r="D33" s="8" t="s">
        <v>143</v>
      </c>
      <c r="E33" s="8" t="s">
        <v>128</v>
      </c>
      <c r="F33" s="8" t="s">
        <v>158</v>
      </c>
      <c r="G33" s="8" t="s">
        <v>143</v>
      </c>
      <c r="H33" s="8" t="s">
        <v>642</v>
      </c>
      <c r="I33" s="9">
        <v>34</v>
      </c>
      <c r="J33" s="9">
        <v>12</v>
      </c>
      <c r="K33" s="9">
        <v>18</v>
      </c>
      <c r="L33" s="9">
        <v>21</v>
      </c>
      <c r="M33" s="9">
        <v>18</v>
      </c>
      <c r="N33" s="9">
        <v>35</v>
      </c>
      <c r="O33" s="9">
        <v>20</v>
      </c>
      <c r="P33" s="9">
        <v>23</v>
      </c>
      <c r="Q33" s="9">
        <v>28</v>
      </c>
      <c r="R33" s="9">
        <v>24</v>
      </c>
      <c r="S33" s="9">
        <v>19</v>
      </c>
      <c r="T33" s="9">
        <v>25</v>
      </c>
      <c r="U33" s="9">
        <v>29</v>
      </c>
      <c r="V33" s="9">
        <v>26</v>
      </c>
      <c r="W33" s="9">
        <v>20</v>
      </c>
      <c r="X33" s="9">
        <v>34</v>
      </c>
      <c r="Y33" s="9">
        <v>33</v>
      </c>
      <c r="Z33" s="9">
        <v>23</v>
      </c>
      <c r="AA33" s="55">
        <v>442</v>
      </c>
    </row>
    <row r="34" spans="1:27">
      <c r="A34" s="54" t="s">
        <v>117</v>
      </c>
      <c r="B34" s="8" t="s">
        <v>612</v>
      </c>
      <c r="C34" s="8" t="s">
        <v>118</v>
      </c>
      <c r="D34" s="8" t="s">
        <v>94</v>
      </c>
      <c r="E34" s="8" t="s">
        <v>95</v>
      </c>
      <c r="F34" s="8" t="s">
        <v>119</v>
      </c>
      <c r="G34" s="8" t="s">
        <v>94</v>
      </c>
      <c r="H34" s="8" t="s">
        <v>643</v>
      </c>
      <c r="I34" s="9">
        <v>36</v>
      </c>
      <c r="J34" s="9">
        <v>67</v>
      </c>
      <c r="K34" s="9">
        <v>48</v>
      </c>
      <c r="L34" s="9">
        <v>36</v>
      </c>
      <c r="M34" s="9">
        <v>41</v>
      </c>
      <c r="N34" s="9">
        <v>72</v>
      </c>
      <c r="O34" s="9">
        <v>60</v>
      </c>
      <c r="P34" s="9">
        <v>35</v>
      </c>
      <c r="Q34" s="9">
        <v>69</v>
      </c>
      <c r="R34" s="9">
        <v>94</v>
      </c>
      <c r="S34" s="9">
        <v>67</v>
      </c>
      <c r="T34" s="9">
        <v>70</v>
      </c>
      <c r="U34" s="9">
        <v>68</v>
      </c>
      <c r="V34" s="9">
        <v>56</v>
      </c>
      <c r="W34" s="9">
        <v>65</v>
      </c>
      <c r="X34" s="9">
        <v>32</v>
      </c>
      <c r="Y34" s="9">
        <v>57</v>
      </c>
      <c r="Z34" s="9">
        <v>54</v>
      </c>
      <c r="AA34" s="55">
        <v>1027</v>
      </c>
    </row>
    <row r="35" spans="1:27">
      <c r="A35" s="54" t="s">
        <v>615</v>
      </c>
      <c r="B35" s="8" t="s">
        <v>616</v>
      </c>
      <c r="C35" s="8" t="s">
        <v>154</v>
      </c>
      <c r="D35" s="8" t="s">
        <v>143</v>
      </c>
      <c r="E35" s="8" t="s">
        <v>128</v>
      </c>
      <c r="F35" s="8" t="s">
        <v>155</v>
      </c>
      <c r="G35" s="8" t="s">
        <v>143</v>
      </c>
      <c r="H35" s="8" t="s">
        <v>644</v>
      </c>
      <c r="I35" s="9">
        <v>15</v>
      </c>
      <c r="J35" s="9">
        <v>14</v>
      </c>
      <c r="K35" s="9">
        <v>7</v>
      </c>
      <c r="L35" s="9">
        <v>9</v>
      </c>
      <c r="M35" s="9">
        <v>10</v>
      </c>
      <c r="N35" s="9">
        <v>8</v>
      </c>
      <c r="O35" s="9">
        <v>19</v>
      </c>
      <c r="P35" s="9">
        <v>13</v>
      </c>
      <c r="Q35" s="9">
        <v>3</v>
      </c>
      <c r="R35" s="9">
        <v>4</v>
      </c>
      <c r="S35" s="9">
        <v>3</v>
      </c>
      <c r="T35" s="9">
        <v>7</v>
      </c>
      <c r="U35" s="9">
        <v>0</v>
      </c>
      <c r="V35" s="9">
        <v>10</v>
      </c>
      <c r="W35" s="9">
        <v>3</v>
      </c>
      <c r="X35" s="9">
        <v>10</v>
      </c>
      <c r="Y35" s="9">
        <v>2</v>
      </c>
      <c r="Z35" s="9">
        <v>9</v>
      </c>
      <c r="AA35" s="55">
        <v>146</v>
      </c>
    </row>
    <row r="36" spans="1:27">
      <c r="A36" s="54" t="s">
        <v>615</v>
      </c>
      <c r="B36" s="8" t="s">
        <v>616</v>
      </c>
      <c r="C36" s="8" t="s">
        <v>154</v>
      </c>
      <c r="D36" s="8" t="s">
        <v>143</v>
      </c>
      <c r="E36" s="8" t="s">
        <v>128</v>
      </c>
      <c r="F36" s="8" t="s">
        <v>155</v>
      </c>
      <c r="G36" s="8" t="s">
        <v>143</v>
      </c>
      <c r="H36" s="8" t="s">
        <v>645</v>
      </c>
      <c r="I36" s="9">
        <v>49</v>
      </c>
      <c r="J36" s="9">
        <v>52</v>
      </c>
      <c r="K36" s="9">
        <v>59</v>
      </c>
      <c r="L36" s="9">
        <v>62</v>
      </c>
      <c r="M36" s="9">
        <v>38</v>
      </c>
      <c r="N36" s="9">
        <v>55</v>
      </c>
      <c r="O36" s="9">
        <v>49</v>
      </c>
      <c r="P36" s="9">
        <v>61</v>
      </c>
      <c r="Q36" s="9">
        <v>45</v>
      </c>
      <c r="R36" s="9">
        <v>100</v>
      </c>
      <c r="S36" s="9">
        <v>54</v>
      </c>
      <c r="T36" s="9">
        <v>44</v>
      </c>
      <c r="U36" s="9">
        <v>37</v>
      </c>
      <c r="V36" s="9">
        <v>35</v>
      </c>
      <c r="W36" s="9">
        <v>51</v>
      </c>
      <c r="X36" s="9">
        <v>54</v>
      </c>
      <c r="Y36" s="9">
        <v>42</v>
      </c>
      <c r="Z36" s="9">
        <v>25</v>
      </c>
      <c r="AA36" s="55">
        <v>912</v>
      </c>
    </row>
    <row r="37" spans="1:27">
      <c r="A37" s="54" t="s">
        <v>99</v>
      </c>
      <c r="B37" s="8" t="s">
        <v>608</v>
      </c>
      <c r="C37" s="8"/>
      <c r="D37" s="8" t="s">
        <v>131</v>
      </c>
      <c r="E37" s="8" t="s">
        <v>132</v>
      </c>
      <c r="F37" s="8" t="s">
        <v>133</v>
      </c>
      <c r="G37" s="8" t="s">
        <v>128</v>
      </c>
      <c r="H37" s="8" t="s">
        <v>646</v>
      </c>
      <c r="I37" s="9">
        <v>66</v>
      </c>
      <c r="J37" s="9">
        <v>64</v>
      </c>
      <c r="K37" s="9">
        <v>92</v>
      </c>
      <c r="L37" s="9">
        <v>39</v>
      </c>
      <c r="M37" s="9">
        <v>68</v>
      </c>
      <c r="N37" s="9">
        <v>103</v>
      </c>
      <c r="O37" s="9">
        <v>77</v>
      </c>
      <c r="P37" s="9">
        <v>37</v>
      </c>
      <c r="Q37" s="9">
        <v>74</v>
      </c>
      <c r="R37" s="9">
        <v>62</v>
      </c>
      <c r="S37" s="9">
        <v>54</v>
      </c>
      <c r="T37" s="9">
        <v>45</v>
      </c>
      <c r="U37" s="9">
        <v>83</v>
      </c>
      <c r="V37" s="9">
        <v>37</v>
      </c>
      <c r="W37" s="9">
        <v>71</v>
      </c>
      <c r="X37" s="9">
        <v>43</v>
      </c>
      <c r="Y37" s="9">
        <v>65</v>
      </c>
      <c r="Z37" s="9">
        <v>38</v>
      </c>
      <c r="AA37" s="55">
        <v>1118</v>
      </c>
    </row>
    <row r="38" spans="1:27">
      <c r="A38" s="54" t="s">
        <v>117</v>
      </c>
      <c r="B38" s="8" t="s">
        <v>612</v>
      </c>
      <c r="C38" s="8" t="s">
        <v>118</v>
      </c>
      <c r="D38" s="8" t="s">
        <v>94</v>
      </c>
      <c r="E38" s="8" t="s">
        <v>95</v>
      </c>
      <c r="F38" s="8" t="s">
        <v>119</v>
      </c>
      <c r="G38" s="8" t="s">
        <v>94</v>
      </c>
      <c r="H38" s="8" t="s">
        <v>647</v>
      </c>
      <c r="I38" s="9">
        <v>42</v>
      </c>
      <c r="J38" s="9">
        <v>39</v>
      </c>
      <c r="K38" s="9">
        <v>33</v>
      </c>
      <c r="L38" s="9">
        <v>60</v>
      </c>
      <c r="M38" s="9">
        <v>57</v>
      </c>
      <c r="N38" s="9">
        <v>63</v>
      </c>
      <c r="O38" s="9">
        <v>56</v>
      </c>
      <c r="P38" s="9">
        <v>51</v>
      </c>
      <c r="Q38" s="9">
        <v>53</v>
      </c>
      <c r="R38" s="9">
        <v>61</v>
      </c>
      <c r="S38" s="9">
        <v>41</v>
      </c>
      <c r="T38" s="9">
        <v>63</v>
      </c>
      <c r="U38" s="9">
        <v>36</v>
      </c>
      <c r="V38" s="9">
        <v>71</v>
      </c>
      <c r="W38" s="9">
        <v>38</v>
      </c>
      <c r="X38" s="9">
        <v>47</v>
      </c>
      <c r="Y38" s="9">
        <v>35</v>
      </c>
      <c r="Z38" s="9">
        <v>35</v>
      </c>
      <c r="AA38" s="55">
        <v>881</v>
      </c>
    </row>
    <row r="39" spans="1:27">
      <c r="A39" s="54" t="s">
        <v>117</v>
      </c>
      <c r="B39" s="8" t="s">
        <v>612</v>
      </c>
      <c r="C39" s="8"/>
      <c r="D39" s="8" t="s">
        <v>94</v>
      </c>
      <c r="E39" s="8" t="s">
        <v>95</v>
      </c>
      <c r="F39" s="8" t="s">
        <v>119</v>
      </c>
      <c r="G39" s="8" t="s">
        <v>94</v>
      </c>
      <c r="H39" s="8" t="s">
        <v>648</v>
      </c>
      <c r="I39" s="9">
        <v>9</v>
      </c>
      <c r="J39" s="9">
        <v>23</v>
      </c>
      <c r="K39" s="9">
        <v>38</v>
      </c>
      <c r="L39" s="9">
        <v>47</v>
      </c>
      <c r="M39" s="9">
        <v>8</v>
      </c>
      <c r="N39" s="9">
        <v>22</v>
      </c>
      <c r="O39" s="9">
        <v>33</v>
      </c>
      <c r="P39" s="9">
        <v>30</v>
      </c>
      <c r="Q39" s="9">
        <v>32</v>
      </c>
      <c r="R39" s="9">
        <v>13</v>
      </c>
      <c r="S39" s="9">
        <v>36</v>
      </c>
      <c r="T39" s="9">
        <v>31</v>
      </c>
      <c r="U39" s="9">
        <v>28</v>
      </c>
      <c r="V39" s="9">
        <v>7</v>
      </c>
      <c r="W39" s="9">
        <v>54</v>
      </c>
      <c r="X39" s="9">
        <v>23</v>
      </c>
      <c r="Y39" s="9">
        <v>35</v>
      </c>
      <c r="Z39" s="9">
        <v>39</v>
      </c>
      <c r="AA39" s="55">
        <v>508</v>
      </c>
    </row>
    <row r="40" spans="1:27">
      <c r="A40" s="60" t="s">
        <v>99</v>
      </c>
      <c r="B40" s="61" t="s">
        <v>612</v>
      </c>
      <c r="C40" s="61" t="s">
        <v>118</v>
      </c>
      <c r="D40" s="61" t="s">
        <v>94</v>
      </c>
      <c r="E40" s="61" t="s">
        <v>95</v>
      </c>
      <c r="F40" s="61" t="s">
        <v>119</v>
      </c>
      <c r="G40" s="61" t="s">
        <v>94</v>
      </c>
      <c r="H40" s="61" t="s">
        <v>649</v>
      </c>
      <c r="I40" s="62">
        <v>25</v>
      </c>
      <c r="J40" s="62">
        <v>4</v>
      </c>
      <c r="K40" s="62">
        <v>22</v>
      </c>
      <c r="L40" s="62">
        <v>6</v>
      </c>
      <c r="M40" s="62">
        <v>19</v>
      </c>
      <c r="N40" s="62">
        <v>11</v>
      </c>
      <c r="O40" s="62">
        <v>12</v>
      </c>
      <c r="P40" s="62">
        <v>11</v>
      </c>
      <c r="Q40" s="62">
        <v>26</v>
      </c>
      <c r="R40" s="62">
        <v>14</v>
      </c>
      <c r="S40" s="62">
        <v>32</v>
      </c>
      <c r="T40" s="62">
        <v>36</v>
      </c>
      <c r="U40" s="62">
        <v>10</v>
      </c>
      <c r="V40" s="62">
        <v>17</v>
      </c>
      <c r="W40" s="62">
        <v>38</v>
      </c>
      <c r="X40" s="62">
        <v>42</v>
      </c>
      <c r="Y40" s="62">
        <v>15</v>
      </c>
      <c r="Z40" s="62">
        <v>30</v>
      </c>
      <c r="AA40" s="53">
        <v>370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1" sqref="C1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27.28515625" customWidth="1"/>
    <col min="9" max="9" width="21.5703125" customWidth="1"/>
    <col min="10" max="10" width="29.7109375" customWidth="1"/>
    <col min="11" max="11" width="25.7109375" customWidth="1"/>
    <col min="12" max="12" width="31.42578125" customWidth="1"/>
    <col min="13" max="13" width="33.85546875" customWidth="1"/>
    <col min="14" max="14" width="50" customWidth="1"/>
    <col min="15" max="15" width="46.140625" customWidth="1"/>
    <col min="16" max="16" width="25.85546875" customWidth="1"/>
    <col min="17" max="17" width="28.7109375" customWidth="1"/>
    <col min="18" max="18" width="29.7109375" customWidth="1"/>
    <col min="19" max="21" width="30.7109375" customWidth="1"/>
    <col min="22" max="22" width="22.42578125" customWidth="1"/>
    <col min="23" max="23" width="43.42578125" customWidth="1"/>
    <col min="24" max="24" width="42.5703125" customWidth="1"/>
    <col min="25" max="25" width="64.85546875" customWidth="1"/>
    <col min="26" max="26" width="49.5703125" customWidth="1"/>
    <col min="27" max="27" width="39.28515625" customWidth="1"/>
    <col min="28" max="28" width="33.85546875" customWidth="1"/>
    <col min="29" max="29" width="18.7109375" customWidth="1"/>
    <col min="30" max="30" width="18.140625" customWidth="1"/>
    <col min="31" max="31" width="53.42578125" customWidth="1"/>
    <col min="32" max="32" width="36.42578125" customWidth="1"/>
    <col min="33" max="33" width="38.42578125" customWidth="1"/>
    <col min="34" max="34" width="39" customWidth="1"/>
    <col min="35" max="35" width="46.42578125" customWidth="1"/>
  </cols>
  <sheetData>
    <row r="1" spans="1:35">
      <c r="A1" s="10" t="s">
        <v>809</v>
      </c>
      <c r="B1" s="1"/>
      <c r="C1" s="1"/>
      <c r="D1" s="1"/>
      <c r="E1" s="1"/>
      <c r="F1" s="1"/>
      <c r="G1" s="2" t="s">
        <v>0</v>
      </c>
      <c r="H1" s="2">
        <f t="shared" ref="H1:AD1" si="0">SUBTOTAL(9,H3:H40)</f>
        <v>31740</v>
      </c>
      <c r="I1" s="2">
        <f t="shared" si="0"/>
        <v>70944</v>
      </c>
      <c r="J1" s="2">
        <f t="shared" si="0"/>
        <v>17107</v>
      </c>
      <c r="K1" s="2">
        <f t="shared" si="0"/>
        <v>5302</v>
      </c>
      <c r="L1" s="2">
        <f t="shared" si="0"/>
        <v>2065</v>
      </c>
      <c r="M1" s="2">
        <f t="shared" si="0"/>
        <v>7279</v>
      </c>
      <c r="N1" s="2">
        <f t="shared" si="0"/>
        <v>3450</v>
      </c>
      <c r="O1" s="2">
        <f t="shared" si="0"/>
        <v>30074</v>
      </c>
      <c r="P1" s="2">
        <f t="shared" si="0"/>
        <v>3685</v>
      </c>
      <c r="Q1" s="2">
        <f t="shared" si="0"/>
        <v>4007</v>
      </c>
      <c r="R1" s="2">
        <f t="shared" si="0"/>
        <v>7570</v>
      </c>
      <c r="S1" s="2">
        <f t="shared" si="0"/>
        <v>6284</v>
      </c>
      <c r="T1" s="2">
        <f t="shared" si="0"/>
        <v>4572</v>
      </c>
      <c r="U1" s="2">
        <f t="shared" si="0"/>
        <v>3973</v>
      </c>
      <c r="V1" s="2">
        <f t="shared" si="0"/>
        <v>2929</v>
      </c>
      <c r="W1" s="2">
        <f t="shared" si="0"/>
        <v>2552</v>
      </c>
      <c r="X1" s="2">
        <f t="shared" si="0"/>
        <v>19487</v>
      </c>
      <c r="Y1" s="2">
        <f t="shared" si="0"/>
        <v>9843</v>
      </c>
      <c r="Z1" s="2">
        <f t="shared" si="0"/>
        <v>3676</v>
      </c>
      <c r="AA1" s="2">
        <f t="shared" si="0"/>
        <v>10818</v>
      </c>
      <c r="AB1" s="2">
        <f t="shared" si="0"/>
        <v>8210</v>
      </c>
      <c r="AC1" s="2">
        <f t="shared" si="0"/>
        <v>13.399999999999995</v>
      </c>
      <c r="AD1" s="2">
        <f t="shared" si="0"/>
        <v>99506</v>
      </c>
      <c r="AE1" s="2">
        <f>SUBTOTAL(1,AE3:AE40)</f>
        <v>71.88684210526317</v>
      </c>
      <c r="AF1" s="2">
        <f t="shared" ref="AF1:AI1" si="1">SUBTOTAL(1,AF3:AF40)</f>
        <v>17.236842105263158</v>
      </c>
      <c r="AG1" s="2">
        <f t="shared" si="1"/>
        <v>31.947368421052637</v>
      </c>
      <c r="AH1" s="2">
        <f t="shared" si="1"/>
        <v>11.823684210526318</v>
      </c>
      <c r="AI1" s="2">
        <f t="shared" si="1"/>
        <v>27.01052631578947</v>
      </c>
    </row>
    <row r="2" spans="1:35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650</v>
      </c>
      <c r="I2" s="46" t="s">
        <v>651</v>
      </c>
      <c r="J2" s="46" t="s">
        <v>652</v>
      </c>
      <c r="K2" s="46" t="s">
        <v>653</v>
      </c>
      <c r="L2" s="46" t="s">
        <v>654</v>
      </c>
      <c r="M2" s="46" t="s">
        <v>655</v>
      </c>
      <c r="N2" s="46" t="s">
        <v>656</v>
      </c>
      <c r="O2" s="46" t="s">
        <v>657</v>
      </c>
      <c r="P2" s="46" t="s">
        <v>658</v>
      </c>
      <c r="Q2" s="46" t="s">
        <v>659</v>
      </c>
      <c r="R2" s="46" t="s">
        <v>660</v>
      </c>
      <c r="S2" s="46" t="s">
        <v>661</v>
      </c>
      <c r="T2" s="46" t="s">
        <v>662</v>
      </c>
      <c r="U2" s="46" t="s">
        <v>663</v>
      </c>
      <c r="V2" s="46" t="s">
        <v>664</v>
      </c>
      <c r="W2" s="46" t="s">
        <v>665</v>
      </c>
      <c r="X2" s="46" t="s">
        <v>666</v>
      </c>
      <c r="Y2" s="46" t="s">
        <v>667</v>
      </c>
      <c r="Z2" s="46" t="s">
        <v>668</v>
      </c>
      <c r="AA2" s="46" t="s">
        <v>669</v>
      </c>
      <c r="AB2" s="46" t="s">
        <v>670</v>
      </c>
      <c r="AC2" s="47" t="s">
        <v>80</v>
      </c>
      <c r="AD2" s="47" t="s">
        <v>671</v>
      </c>
      <c r="AE2" s="47" t="s">
        <v>672</v>
      </c>
      <c r="AF2" s="47" t="s">
        <v>673</v>
      </c>
      <c r="AG2" s="47" t="s">
        <v>674</v>
      </c>
      <c r="AH2" s="47" t="s">
        <v>675</v>
      </c>
      <c r="AI2" s="48" t="s">
        <v>676</v>
      </c>
    </row>
    <row r="3" spans="1:35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64">
        <v>865</v>
      </c>
      <c r="I3" s="64">
        <v>1931</v>
      </c>
      <c r="J3" s="64">
        <v>482</v>
      </c>
      <c r="K3" s="64">
        <v>149</v>
      </c>
      <c r="L3" s="64">
        <v>49</v>
      </c>
      <c r="M3" s="64">
        <v>196</v>
      </c>
      <c r="N3" s="64">
        <v>87</v>
      </c>
      <c r="O3" s="64">
        <v>834</v>
      </c>
      <c r="P3" s="64">
        <v>118</v>
      </c>
      <c r="Q3" s="64">
        <v>112</v>
      </c>
      <c r="R3" s="64">
        <v>203</v>
      </c>
      <c r="S3" s="64">
        <v>179</v>
      </c>
      <c r="T3" s="64">
        <v>118</v>
      </c>
      <c r="U3" s="64">
        <v>108</v>
      </c>
      <c r="V3" s="64">
        <v>136</v>
      </c>
      <c r="W3" s="64">
        <v>70</v>
      </c>
      <c r="X3" s="64">
        <v>532</v>
      </c>
      <c r="Y3" s="64">
        <v>135</v>
      </c>
      <c r="Z3" s="64">
        <v>84</v>
      </c>
      <c r="AA3" s="64">
        <v>296</v>
      </c>
      <c r="AB3" s="64">
        <v>249</v>
      </c>
      <c r="AC3" s="64">
        <v>0.3</v>
      </c>
      <c r="AD3" s="64">
        <v>2497</v>
      </c>
      <c r="AE3" s="64">
        <v>77.3</v>
      </c>
      <c r="AF3" s="64">
        <v>17.2</v>
      </c>
      <c r="AG3" s="64">
        <v>15.6</v>
      </c>
      <c r="AH3" s="64">
        <v>9.6999999999999993</v>
      </c>
      <c r="AI3" s="64">
        <v>28.8</v>
      </c>
    </row>
    <row r="4" spans="1:35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64">
        <v>1810</v>
      </c>
      <c r="I4" s="64">
        <v>3130</v>
      </c>
      <c r="J4" s="64">
        <v>1317</v>
      </c>
      <c r="K4" s="64">
        <v>179</v>
      </c>
      <c r="L4" s="64">
        <v>59</v>
      </c>
      <c r="M4" s="64">
        <v>251</v>
      </c>
      <c r="N4" s="64">
        <v>101</v>
      </c>
      <c r="O4" s="64">
        <v>1009</v>
      </c>
      <c r="P4" s="64">
        <v>126</v>
      </c>
      <c r="Q4" s="64">
        <v>122</v>
      </c>
      <c r="R4" s="64">
        <v>243</v>
      </c>
      <c r="S4" s="64">
        <v>214</v>
      </c>
      <c r="T4" s="64">
        <v>169</v>
      </c>
      <c r="U4" s="64">
        <v>139</v>
      </c>
      <c r="V4" s="64">
        <v>662</v>
      </c>
      <c r="W4" s="64">
        <v>198</v>
      </c>
      <c r="X4" s="64">
        <v>1330</v>
      </c>
      <c r="Y4" s="64">
        <v>450</v>
      </c>
      <c r="Z4" s="64">
        <v>127</v>
      </c>
      <c r="AA4" s="64">
        <v>441</v>
      </c>
      <c r="AB4" s="64">
        <v>278</v>
      </c>
      <c r="AC4" s="64">
        <v>0.1</v>
      </c>
      <c r="AD4" s="64">
        <v>4255</v>
      </c>
      <c r="AE4" s="64">
        <v>73.599999999999994</v>
      </c>
      <c r="AF4" s="64">
        <v>9.9</v>
      </c>
      <c r="AG4" s="64">
        <v>24.9</v>
      </c>
      <c r="AH4" s="64">
        <v>7</v>
      </c>
      <c r="AI4" s="64">
        <v>15.4</v>
      </c>
    </row>
    <row r="5" spans="1:35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64">
        <v>1135</v>
      </c>
      <c r="I5" s="64">
        <v>2393</v>
      </c>
      <c r="J5" s="64">
        <v>658</v>
      </c>
      <c r="K5" s="64">
        <v>173</v>
      </c>
      <c r="L5" s="64">
        <v>81</v>
      </c>
      <c r="M5" s="64">
        <v>218</v>
      </c>
      <c r="N5" s="64">
        <v>119</v>
      </c>
      <c r="O5" s="64">
        <v>983</v>
      </c>
      <c r="P5" s="64">
        <v>120</v>
      </c>
      <c r="Q5" s="64">
        <v>143</v>
      </c>
      <c r="R5" s="64">
        <v>242</v>
      </c>
      <c r="S5" s="64">
        <v>211</v>
      </c>
      <c r="T5" s="64">
        <v>141</v>
      </c>
      <c r="U5" s="64">
        <v>122</v>
      </c>
      <c r="V5" s="64">
        <v>36</v>
      </c>
      <c r="W5" s="64">
        <v>75</v>
      </c>
      <c r="X5" s="64">
        <v>756</v>
      </c>
      <c r="Y5" s="64">
        <v>488</v>
      </c>
      <c r="Z5" s="64">
        <v>168</v>
      </c>
      <c r="AA5" s="64">
        <v>396</v>
      </c>
      <c r="AB5" s="64">
        <v>320</v>
      </c>
      <c r="AC5" s="64">
        <v>0.4</v>
      </c>
      <c r="AD5" s="64">
        <v>3027</v>
      </c>
      <c r="AE5" s="64">
        <v>79.099999999999994</v>
      </c>
      <c r="AF5" s="64">
        <v>15.2</v>
      </c>
      <c r="AG5" s="64">
        <v>43</v>
      </c>
      <c r="AH5" s="64">
        <v>14.8</v>
      </c>
      <c r="AI5" s="64">
        <v>28.2</v>
      </c>
    </row>
    <row r="6" spans="1:35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64">
        <v>333</v>
      </c>
      <c r="I6" s="64">
        <v>747</v>
      </c>
      <c r="J6" s="64">
        <v>178</v>
      </c>
      <c r="K6" s="64">
        <v>55</v>
      </c>
      <c r="L6" s="64">
        <v>35</v>
      </c>
      <c r="M6" s="64">
        <v>69</v>
      </c>
      <c r="N6" s="64">
        <v>42</v>
      </c>
      <c r="O6" s="64">
        <v>321</v>
      </c>
      <c r="P6" s="64">
        <v>25</v>
      </c>
      <c r="Q6" s="64">
        <v>44</v>
      </c>
      <c r="R6" s="64">
        <v>74</v>
      </c>
      <c r="S6" s="64">
        <v>71</v>
      </c>
      <c r="T6" s="64">
        <v>55</v>
      </c>
      <c r="U6" s="64">
        <v>51</v>
      </c>
      <c r="V6" s="64">
        <v>0</v>
      </c>
      <c r="W6" s="64">
        <v>8</v>
      </c>
      <c r="X6" s="64">
        <v>221</v>
      </c>
      <c r="Y6" s="64">
        <v>211</v>
      </c>
      <c r="Z6" s="64">
        <v>49</v>
      </c>
      <c r="AA6" s="64">
        <v>105</v>
      </c>
      <c r="AB6" s="64">
        <v>121</v>
      </c>
      <c r="AC6" s="64">
        <v>0.1</v>
      </c>
      <c r="AD6" s="64">
        <v>2019</v>
      </c>
      <c r="AE6" s="64">
        <v>37</v>
      </c>
      <c r="AF6" s="64">
        <v>16.5</v>
      </c>
      <c r="AG6" s="64">
        <v>63.4</v>
      </c>
      <c r="AH6" s="64">
        <v>14.7</v>
      </c>
      <c r="AI6" s="64">
        <v>36.299999999999997</v>
      </c>
    </row>
    <row r="7" spans="1:35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64">
        <v>541</v>
      </c>
      <c r="I7" s="64">
        <v>1172</v>
      </c>
      <c r="J7" s="64">
        <v>324</v>
      </c>
      <c r="K7" s="64">
        <v>79</v>
      </c>
      <c r="L7" s="64">
        <v>28</v>
      </c>
      <c r="M7" s="64">
        <v>114</v>
      </c>
      <c r="N7" s="64">
        <v>71</v>
      </c>
      <c r="O7" s="64">
        <v>503</v>
      </c>
      <c r="P7" s="64">
        <v>63</v>
      </c>
      <c r="Q7" s="64">
        <v>61</v>
      </c>
      <c r="R7" s="64">
        <v>125</v>
      </c>
      <c r="S7" s="64">
        <v>110</v>
      </c>
      <c r="T7" s="64">
        <v>71</v>
      </c>
      <c r="U7" s="64">
        <v>74</v>
      </c>
      <c r="V7" s="64">
        <v>99</v>
      </c>
      <c r="W7" s="64">
        <v>55</v>
      </c>
      <c r="X7" s="64">
        <v>382</v>
      </c>
      <c r="Y7" s="64">
        <v>219</v>
      </c>
      <c r="Z7" s="64">
        <v>53</v>
      </c>
      <c r="AA7" s="64">
        <v>144</v>
      </c>
      <c r="AB7" s="64">
        <v>150</v>
      </c>
      <c r="AC7" s="64">
        <v>0.4</v>
      </c>
      <c r="AD7" s="64">
        <v>1683</v>
      </c>
      <c r="AE7" s="64">
        <v>69.599999999999994</v>
      </c>
      <c r="AF7" s="64">
        <v>14.6</v>
      </c>
      <c r="AG7" s="64">
        <v>40.5</v>
      </c>
      <c r="AH7" s="64">
        <v>9.8000000000000007</v>
      </c>
      <c r="AI7" s="64">
        <v>27.7</v>
      </c>
    </row>
    <row r="8" spans="1:35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64">
        <v>731</v>
      </c>
      <c r="I8" s="64">
        <v>1889</v>
      </c>
      <c r="J8" s="64">
        <v>339</v>
      </c>
      <c r="K8" s="64">
        <v>137</v>
      </c>
      <c r="L8" s="64">
        <v>39</v>
      </c>
      <c r="M8" s="64">
        <v>219</v>
      </c>
      <c r="N8" s="64">
        <v>118</v>
      </c>
      <c r="O8" s="64">
        <v>895</v>
      </c>
      <c r="P8" s="64">
        <v>96</v>
      </c>
      <c r="Q8" s="64">
        <v>86</v>
      </c>
      <c r="R8" s="64">
        <v>226</v>
      </c>
      <c r="S8" s="64">
        <v>201</v>
      </c>
      <c r="T8" s="64">
        <v>147</v>
      </c>
      <c r="U8" s="64">
        <v>137</v>
      </c>
      <c r="V8" s="64">
        <v>14</v>
      </c>
      <c r="W8" s="64">
        <v>73</v>
      </c>
      <c r="X8" s="64">
        <v>388</v>
      </c>
      <c r="Y8" s="64">
        <v>197</v>
      </c>
      <c r="Z8" s="64">
        <v>106</v>
      </c>
      <c r="AA8" s="64">
        <v>269</v>
      </c>
      <c r="AB8" s="64">
        <v>229</v>
      </c>
      <c r="AC8" s="64">
        <v>0.9</v>
      </c>
      <c r="AD8" s="64">
        <v>2609</v>
      </c>
      <c r="AE8" s="64">
        <v>72.400000000000006</v>
      </c>
      <c r="AF8" s="64">
        <v>18.7</v>
      </c>
      <c r="AG8" s="64">
        <v>26.9</v>
      </c>
      <c r="AH8" s="64">
        <v>14.5</v>
      </c>
      <c r="AI8" s="64">
        <v>31.3</v>
      </c>
    </row>
    <row r="9" spans="1:35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64">
        <v>682</v>
      </c>
      <c r="I9" s="64">
        <v>1787</v>
      </c>
      <c r="J9" s="64">
        <v>298</v>
      </c>
      <c r="K9" s="64">
        <v>120</v>
      </c>
      <c r="L9" s="64">
        <v>37</v>
      </c>
      <c r="M9" s="64">
        <v>232</v>
      </c>
      <c r="N9" s="64">
        <v>103</v>
      </c>
      <c r="O9" s="64">
        <v>835</v>
      </c>
      <c r="P9" s="64">
        <v>99</v>
      </c>
      <c r="Q9" s="64">
        <v>100</v>
      </c>
      <c r="R9" s="64">
        <v>187</v>
      </c>
      <c r="S9" s="64">
        <v>204</v>
      </c>
      <c r="T9" s="64">
        <v>141</v>
      </c>
      <c r="U9" s="64">
        <v>110</v>
      </c>
      <c r="V9" s="64">
        <v>5</v>
      </c>
      <c r="W9" s="64">
        <v>33</v>
      </c>
      <c r="X9" s="64">
        <v>375</v>
      </c>
      <c r="Y9" s="64">
        <v>224</v>
      </c>
      <c r="Z9" s="64">
        <v>81</v>
      </c>
      <c r="AA9" s="64">
        <v>258</v>
      </c>
      <c r="AB9" s="64">
        <v>194</v>
      </c>
      <c r="AC9" s="64">
        <v>0.4</v>
      </c>
      <c r="AD9" s="64">
        <v>2224</v>
      </c>
      <c r="AE9" s="64">
        <v>80.400000000000006</v>
      </c>
      <c r="AF9" s="64">
        <v>17.600000000000001</v>
      </c>
      <c r="AG9" s="64">
        <v>32.799999999999997</v>
      </c>
      <c r="AH9" s="64">
        <v>11.9</v>
      </c>
      <c r="AI9" s="64">
        <v>28.4</v>
      </c>
    </row>
    <row r="10" spans="1:35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64">
        <v>914</v>
      </c>
      <c r="I10" s="64">
        <v>2426</v>
      </c>
      <c r="J10" s="64">
        <v>411</v>
      </c>
      <c r="K10" s="64">
        <v>188</v>
      </c>
      <c r="L10" s="64">
        <v>71</v>
      </c>
      <c r="M10" s="64">
        <v>251</v>
      </c>
      <c r="N10" s="64">
        <v>133</v>
      </c>
      <c r="O10" s="64">
        <v>1184</v>
      </c>
      <c r="P10" s="64">
        <v>115</v>
      </c>
      <c r="Q10" s="64">
        <v>146</v>
      </c>
      <c r="R10" s="64">
        <v>283</v>
      </c>
      <c r="S10" s="64">
        <v>253</v>
      </c>
      <c r="T10" s="64">
        <v>189</v>
      </c>
      <c r="U10" s="64">
        <v>184</v>
      </c>
      <c r="V10" s="64">
        <v>11</v>
      </c>
      <c r="W10" s="64">
        <v>62</v>
      </c>
      <c r="X10" s="64">
        <v>531</v>
      </c>
      <c r="Y10" s="64">
        <v>282</v>
      </c>
      <c r="Z10" s="64">
        <v>119</v>
      </c>
      <c r="AA10" s="64">
        <v>357</v>
      </c>
      <c r="AB10" s="64">
        <v>318</v>
      </c>
      <c r="AC10" s="64">
        <v>0.6</v>
      </c>
      <c r="AD10" s="64">
        <v>3518</v>
      </c>
      <c r="AE10" s="64">
        <v>69</v>
      </c>
      <c r="AF10" s="64">
        <v>20.6</v>
      </c>
      <c r="AG10" s="64">
        <v>30.9</v>
      </c>
      <c r="AH10" s="64">
        <v>13</v>
      </c>
      <c r="AI10" s="64">
        <v>34.799999999999997</v>
      </c>
    </row>
    <row r="11" spans="1:35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64">
        <v>735</v>
      </c>
      <c r="I11" s="64">
        <v>1960</v>
      </c>
      <c r="J11" s="64">
        <v>305</v>
      </c>
      <c r="K11" s="64">
        <v>156</v>
      </c>
      <c r="L11" s="64">
        <v>47</v>
      </c>
      <c r="M11" s="64">
        <v>223</v>
      </c>
      <c r="N11" s="64">
        <v>120</v>
      </c>
      <c r="O11" s="64">
        <v>960</v>
      </c>
      <c r="P11" s="64">
        <v>130</v>
      </c>
      <c r="Q11" s="64">
        <v>140</v>
      </c>
      <c r="R11" s="64">
        <v>240</v>
      </c>
      <c r="S11" s="64">
        <v>175</v>
      </c>
      <c r="T11" s="64">
        <v>151</v>
      </c>
      <c r="U11" s="64">
        <v>132</v>
      </c>
      <c r="V11" s="64">
        <v>10</v>
      </c>
      <c r="W11" s="64">
        <v>57</v>
      </c>
      <c r="X11" s="64">
        <v>440</v>
      </c>
      <c r="Y11" s="64">
        <v>195</v>
      </c>
      <c r="Z11" s="64">
        <v>97</v>
      </c>
      <c r="AA11" s="64">
        <v>262</v>
      </c>
      <c r="AB11" s="64">
        <v>263</v>
      </c>
      <c r="AC11" s="64">
        <v>0.2</v>
      </c>
      <c r="AD11" s="64">
        <v>2462</v>
      </c>
      <c r="AE11" s="64">
        <v>79.599999999999994</v>
      </c>
      <c r="AF11" s="64">
        <v>21.2</v>
      </c>
      <c r="AG11" s="64">
        <v>26.5</v>
      </c>
      <c r="AH11" s="64">
        <v>13.2</v>
      </c>
      <c r="AI11" s="64">
        <v>35.799999999999997</v>
      </c>
    </row>
    <row r="12" spans="1:35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64">
        <v>934</v>
      </c>
      <c r="I12" s="64">
        <v>2185</v>
      </c>
      <c r="J12" s="64">
        <v>482</v>
      </c>
      <c r="K12" s="64">
        <v>175</v>
      </c>
      <c r="L12" s="64">
        <v>67</v>
      </c>
      <c r="M12" s="64">
        <v>214</v>
      </c>
      <c r="N12" s="64">
        <v>110</v>
      </c>
      <c r="O12" s="64">
        <v>961</v>
      </c>
      <c r="P12" s="64">
        <v>96</v>
      </c>
      <c r="Q12" s="64">
        <v>147</v>
      </c>
      <c r="R12" s="64">
        <v>232</v>
      </c>
      <c r="S12" s="64">
        <v>205</v>
      </c>
      <c r="T12" s="64">
        <v>138</v>
      </c>
      <c r="U12" s="64">
        <v>132</v>
      </c>
      <c r="V12" s="64">
        <v>19</v>
      </c>
      <c r="W12" s="64">
        <v>64</v>
      </c>
      <c r="X12" s="64">
        <v>588</v>
      </c>
      <c r="Y12" s="64">
        <v>379</v>
      </c>
      <c r="Z12" s="64">
        <v>134</v>
      </c>
      <c r="AA12" s="64">
        <v>312</v>
      </c>
      <c r="AB12" s="64">
        <v>278</v>
      </c>
      <c r="AC12" s="64">
        <v>0.3</v>
      </c>
      <c r="AD12" s="64">
        <v>2783</v>
      </c>
      <c r="AE12" s="64">
        <v>78.5</v>
      </c>
      <c r="AF12" s="64">
        <v>18.7</v>
      </c>
      <c r="AG12" s="64">
        <v>40.6</v>
      </c>
      <c r="AH12" s="64">
        <v>14.3</v>
      </c>
      <c r="AI12" s="64">
        <v>29.8</v>
      </c>
    </row>
    <row r="13" spans="1:35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64">
        <v>751</v>
      </c>
      <c r="I13" s="64">
        <v>1665</v>
      </c>
      <c r="J13" s="64">
        <v>419</v>
      </c>
      <c r="K13" s="64">
        <v>122</v>
      </c>
      <c r="L13" s="64">
        <v>53</v>
      </c>
      <c r="M13" s="64">
        <v>156</v>
      </c>
      <c r="N13" s="64">
        <v>75</v>
      </c>
      <c r="O13" s="64">
        <v>713</v>
      </c>
      <c r="P13" s="64">
        <v>88</v>
      </c>
      <c r="Q13" s="64">
        <v>94</v>
      </c>
      <c r="R13" s="64">
        <v>162</v>
      </c>
      <c r="S13" s="64">
        <v>136</v>
      </c>
      <c r="T13" s="64">
        <v>112</v>
      </c>
      <c r="U13" s="64">
        <v>114</v>
      </c>
      <c r="V13" s="64">
        <v>42</v>
      </c>
      <c r="W13" s="64">
        <v>56</v>
      </c>
      <c r="X13" s="64">
        <v>467</v>
      </c>
      <c r="Y13" s="64">
        <v>217</v>
      </c>
      <c r="Z13" s="64">
        <v>87</v>
      </c>
      <c r="AA13" s="64">
        <v>289</v>
      </c>
      <c r="AB13" s="64">
        <v>211</v>
      </c>
      <c r="AC13" s="64">
        <v>0.2</v>
      </c>
      <c r="AD13" s="64">
        <v>2293</v>
      </c>
      <c r="AE13" s="64">
        <v>72.599999999999994</v>
      </c>
      <c r="AF13" s="64">
        <v>16.2</v>
      </c>
      <c r="AG13" s="64">
        <v>28.9</v>
      </c>
      <c r="AH13" s="64">
        <v>11.6</v>
      </c>
      <c r="AI13" s="64">
        <v>28.1</v>
      </c>
    </row>
    <row r="14" spans="1:35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64">
        <v>471</v>
      </c>
      <c r="I14" s="64">
        <v>1107</v>
      </c>
      <c r="J14" s="64">
        <v>242</v>
      </c>
      <c r="K14" s="64">
        <v>83</v>
      </c>
      <c r="L14" s="64">
        <v>39</v>
      </c>
      <c r="M14" s="64">
        <v>103</v>
      </c>
      <c r="N14" s="64">
        <v>62</v>
      </c>
      <c r="O14" s="64">
        <v>487</v>
      </c>
      <c r="P14" s="64">
        <v>45</v>
      </c>
      <c r="Q14" s="64">
        <v>64</v>
      </c>
      <c r="R14" s="64">
        <v>116</v>
      </c>
      <c r="S14" s="64">
        <v>113</v>
      </c>
      <c r="T14" s="64">
        <v>79</v>
      </c>
      <c r="U14" s="64">
        <v>68</v>
      </c>
      <c r="V14" s="64">
        <v>13</v>
      </c>
      <c r="W14" s="64">
        <v>17</v>
      </c>
      <c r="X14" s="64">
        <v>308</v>
      </c>
      <c r="Y14" s="64">
        <v>198</v>
      </c>
      <c r="Z14" s="64">
        <v>75</v>
      </c>
      <c r="AA14" s="64">
        <v>153</v>
      </c>
      <c r="AB14" s="64">
        <v>150</v>
      </c>
      <c r="AC14" s="64">
        <v>0.3</v>
      </c>
      <c r="AD14" s="64">
        <v>1973</v>
      </c>
      <c r="AE14" s="64">
        <v>56.1</v>
      </c>
      <c r="AF14" s="64">
        <v>17.600000000000001</v>
      </c>
      <c r="AG14" s="64">
        <v>42</v>
      </c>
      <c r="AH14" s="64">
        <v>15.9</v>
      </c>
      <c r="AI14" s="64">
        <v>31.8</v>
      </c>
    </row>
    <row r="15" spans="1:35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64">
        <v>835</v>
      </c>
      <c r="I15" s="64">
        <v>1981</v>
      </c>
      <c r="J15" s="64">
        <v>412</v>
      </c>
      <c r="K15" s="64">
        <v>147</v>
      </c>
      <c r="L15" s="64">
        <v>61</v>
      </c>
      <c r="M15" s="64">
        <v>211</v>
      </c>
      <c r="N15" s="64">
        <v>104</v>
      </c>
      <c r="O15" s="64">
        <v>876</v>
      </c>
      <c r="P15" s="64">
        <v>95</v>
      </c>
      <c r="Q15" s="64">
        <v>121</v>
      </c>
      <c r="R15" s="64">
        <v>215</v>
      </c>
      <c r="S15" s="64">
        <v>201</v>
      </c>
      <c r="T15" s="64">
        <v>130</v>
      </c>
      <c r="U15" s="64">
        <v>121</v>
      </c>
      <c r="V15" s="64">
        <v>50</v>
      </c>
      <c r="W15" s="64">
        <v>55</v>
      </c>
      <c r="X15" s="64">
        <v>543</v>
      </c>
      <c r="Y15" s="64">
        <v>322</v>
      </c>
      <c r="Z15" s="64">
        <v>106</v>
      </c>
      <c r="AA15" s="64">
        <v>272</v>
      </c>
      <c r="AB15" s="64">
        <v>243</v>
      </c>
      <c r="AC15" s="64">
        <v>0.5</v>
      </c>
      <c r="AD15" s="64">
        <v>2533</v>
      </c>
      <c r="AE15" s="64">
        <v>78.2</v>
      </c>
      <c r="AF15" s="64">
        <v>17.600000000000001</v>
      </c>
      <c r="AG15" s="64">
        <v>38.6</v>
      </c>
      <c r="AH15" s="64">
        <v>12.7</v>
      </c>
      <c r="AI15" s="64">
        <v>29.1</v>
      </c>
    </row>
    <row r="16" spans="1:35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64">
        <v>704</v>
      </c>
      <c r="I16" s="64">
        <v>1297</v>
      </c>
      <c r="J16" s="64">
        <v>465</v>
      </c>
      <c r="K16" s="64">
        <v>90</v>
      </c>
      <c r="L16" s="64">
        <v>44</v>
      </c>
      <c r="M16" s="64">
        <v>108</v>
      </c>
      <c r="N16" s="64">
        <v>46</v>
      </c>
      <c r="O16" s="64">
        <v>445</v>
      </c>
      <c r="P16" s="64">
        <v>53</v>
      </c>
      <c r="Q16" s="64">
        <v>37</v>
      </c>
      <c r="R16" s="64">
        <v>100</v>
      </c>
      <c r="S16" s="64">
        <v>98</v>
      </c>
      <c r="T16" s="64">
        <v>86</v>
      </c>
      <c r="U16" s="64">
        <v>71</v>
      </c>
      <c r="V16" s="64">
        <v>94</v>
      </c>
      <c r="W16" s="64">
        <v>86</v>
      </c>
      <c r="X16" s="64">
        <v>409</v>
      </c>
      <c r="Y16" s="64">
        <v>131</v>
      </c>
      <c r="Z16" s="64">
        <v>101</v>
      </c>
      <c r="AA16" s="64">
        <v>211</v>
      </c>
      <c r="AB16" s="64">
        <v>157</v>
      </c>
      <c r="AC16" s="64">
        <v>0.2</v>
      </c>
      <c r="AD16" s="64">
        <v>2057</v>
      </c>
      <c r="AE16" s="64">
        <v>63.1</v>
      </c>
      <c r="AF16" s="64">
        <v>12.8</v>
      </c>
      <c r="AG16" s="64">
        <v>18.600000000000001</v>
      </c>
      <c r="AH16" s="64">
        <v>14.3</v>
      </c>
      <c r="AI16" s="64">
        <v>22.3</v>
      </c>
    </row>
    <row r="17" spans="1:35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64">
        <v>1139</v>
      </c>
      <c r="I17" s="64">
        <v>2349</v>
      </c>
      <c r="J17" s="64">
        <v>681</v>
      </c>
      <c r="K17" s="64">
        <v>200</v>
      </c>
      <c r="L17" s="64">
        <v>65</v>
      </c>
      <c r="M17" s="64">
        <v>197</v>
      </c>
      <c r="N17" s="64">
        <v>101</v>
      </c>
      <c r="O17" s="64">
        <v>955</v>
      </c>
      <c r="P17" s="64">
        <v>130</v>
      </c>
      <c r="Q17" s="64">
        <v>121</v>
      </c>
      <c r="R17" s="64">
        <v>239</v>
      </c>
      <c r="S17" s="64">
        <v>191</v>
      </c>
      <c r="T17" s="64">
        <v>158</v>
      </c>
      <c r="U17" s="64">
        <v>128</v>
      </c>
      <c r="V17" s="64">
        <v>133</v>
      </c>
      <c r="W17" s="64">
        <v>123</v>
      </c>
      <c r="X17" s="64">
        <v>749</v>
      </c>
      <c r="Y17" s="64">
        <v>246</v>
      </c>
      <c r="Z17" s="64">
        <v>112</v>
      </c>
      <c r="AA17" s="64">
        <v>395</v>
      </c>
      <c r="AB17" s="64">
        <v>269</v>
      </c>
      <c r="AC17" s="64">
        <v>0.2</v>
      </c>
      <c r="AD17" s="64">
        <v>3039</v>
      </c>
      <c r="AE17" s="64">
        <v>77.3</v>
      </c>
      <c r="AF17" s="64">
        <v>17.600000000000001</v>
      </c>
      <c r="AG17" s="64">
        <v>21.6</v>
      </c>
      <c r="AH17" s="64">
        <v>9.8000000000000007</v>
      </c>
      <c r="AI17" s="64">
        <v>23.6</v>
      </c>
    </row>
    <row r="18" spans="1:35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64">
        <v>1691</v>
      </c>
      <c r="I18" s="64">
        <v>2653</v>
      </c>
      <c r="J18" s="64">
        <v>1256</v>
      </c>
      <c r="K18" s="64">
        <v>175</v>
      </c>
      <c r="L18" s="64">
        <v>96</v>
      </c>
      <c r="M18" s="64">
        <v>158</v>
      </c>
      <c r="N18" s="64">
        <v>66</v>
      </c>
      <c r="O18" s="64">
        <v>696</v>
      </c>
      <c r="P18" s="64">
        <v>116</v>
      </c>
      <c r="Q18" s="64">
        <v>101</v>
      </c>
      <c r="R18" s="64">
        <v>189</v>
      </c>
      <c r="S18" s="64">
        <v>124</v>
      </c>
      <c r="T18" s="64">
        <v>82</v>
      </c>
      <c r="U18" s="64">
        <v>77</v>
      </c>
      <c r="V18" s="64">
        <v>481</v>
      </c>
      <c r="W18" s="64">
        <v>235</v>
      </c>
      <c r="X18" s="64">
        <v>1242</v>
      </c>
      <c r="Y18" s="64">
        <v>307</v>
      </c>
      <c r="Z18" s="64">
        <v>120</v>
      </c>
      <c r="AA18" s="64">
        <v>525</v>
      </c>
      <c r="AB18" s="64">
        <v>281</v>
      </c>
      <c r="AC18" s="64">
        <v>0.5</v>
      </c>
      <c r="AD18" s="64">
        <v>3534</v>
      </c>
      <c r="AE18" s="64">
        <v>75.099999999999994</v>
      </c>
      <c r="AF18" s="64">
        <v>10.3</v>
      </c>
      <c r="AG18" s="64">
        <v>18.2</v>
      </c>
      <c r="AH18" s="64">
        <v>7.1</v>
      </c>
      <c r="AI18" s="64">
        <v>16.600000000000001</v>
      </c>
    </row>
    <row r="19" spans="1:35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64">
        <v>1367</v>
      </c>
      <c r="I19" s="64">
        <v>2536</v>
      </c>
      <c r="J19" s="64">
        <v>846</v>
      </c>
      <c r="K19" s="64">
        <v>184</v>
      </c>
      <c r="L19" s="64">
        <v>117</v>
      </c>
      <c r="M19" s="64">
        <v>225</v>
      </c>
      <c r="N19" s="64">
        <v>89</v>
      </c>
      <c r="O19" s="64">
        <v>837</v>
      </c>
      <c r="P19" s="64">
        <v>159</v>
      </c>
      <c r="Q19" s="64">
        <v>129</v>
      </c>
      <c r="R19" s="64">
        <v>188</v>
      </c>
      <c r="S19" s="64">
        <v>158</v>
      </c>
      <c r="T19" s="64">
        <v>106</v>
      </c>
      <c r="U19" s="64">
        <v>101</v>
      </c>
      <c r="V19" s="64">
        <v>135</v>
      </c>
      <c r="W19" s="64">
        <v>140</v>
      </c>
      <c r="X19" s="64">
        <v>955</v>
      </c>
      <c r="Y19" s="64">
        <v>457</v>
      </c>
      <c r="Z19" s="64">
        <v>172</v>
      </c>
      <c r="AA19" s="64">
        <v>478</v>
      </c>
      <c r="AB19" s="64">
        <v>340</v>
      </c>
      <c r="AC19" s="64">
        <v>0.3</v>
      </c>
      <c r="AD19" s="64">
        <v>2878</v>
      </c>
      <c r="AE19" s="64">
        <v>88.1</v>
      </c>
      <c r="AF19" s="64">
        <v>13.5</v>
      </c>
      <c r="AG19" s="64">
        <v>33.4</v>
      </c>
      <c r="AH19" s="64">
        <v>12.6</v>
      </c>
      <c r="AI19" s="64">
        <v>24.9</v>
      </c>
    </row>
    <row r="20" spans="1:35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64">
        <v>1580</v>
      </c>
      <c r="I20" s="64">
        <v>3353</v>
      </c>
      <c r="J20" s="64">
        <v>872</v>
      </c>
      <c r="K20" s="64">
        <v>239</v>
      </c>
      <c r="L20" s="64">
        <v>115</v>
      </c>
      <c r="M20" s="64">
        <v>349</v>
      </c>
      <c r="N20" s="64">
        <v>157</v>
      </c>
      <c r="O20" s="64">
        <v>1334</v>
      </c>
      <c r="P20" s="64">
        <v>209</v>
      </c>
      <c r="Q20" s="64">
        <v>207</v>
      </c>
      <c r="R20" s="64">
        <v>358</v>
      </c>
      <c r="S20" s="64">
        <v>258</v>
      </c>
      <c r="T20" s="64">
        <v>157</v>
      </c>
      <c r="U20" s="64">
        <v>146</v>
      </c>
      <c r="V20" s="64">
        <v>125</v>
      </c>
      <c r="W20" s="64">
        <v>123</v>
      </c>
      <c r="X20" s="64">
        <v>1164</v>
      </c>
      <c r="Y20" s="64">
        <v>810</v>
      </c>
      <c r="Z20" s="64">
        <v>183</v>
      </c>
      <c r="AA20" s="64">
        <v>596</v>
      </c>
      <c r="AB20" s="64">
        <v>393</v>
      </c>
      <c r="AC20" s="64">
        <v>0.3</v>
      </c>
      <c r="AD20" s="64">
        <v>3649</v>
      </c>
      <c r="AE20" s="64">
        <v>91.9</v>
      </c>
      <c r="AF20" s="64">
        <v>15.1</v>
      </c>
      <c r="AG20" s="64">
        <v>51.3</v>
      </c>
      <c r="AH20" s="64">
        <v>11.6</v>
      </c>
      <c r="AI20" s="64">
        <v>24.9</v>
      </c>
    </row>
    <row r="21" spans="1:35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64">
        <v>879</v>
      </c>
      <c r="I21" s="64">
        <v>1729</v>
      </c>
      <c r="J21" s="64">
        <v>536</v>
      </c>
      <c r="K21" s="64">
        <v>97</v>
      </c>
      <c r="L21" s="64">
        <v>51</v>
      </c>
      <c r="M21" s="64">
        <v>197</v>
      </c>
      <c r="N21" s="64">
        <v>68</v>
      </c>
      <c r="O21" s="64">
        <v>613</v>
      </c>
      <c r="P21" s="64">
        <v>70</v>
      </c>
      <c r="Q21" s="64">
        <v>75</v>
      </c>
      <c r="R21" s="64">
        <v>157</v>
      </c>
      <c r="S21" s="64">
        <v>150</v>
      </c>
      <c r="T21" s="64">
        <v>91</v>
      </c>
      <c r="U21" s="64">
        <v>59</v>
      </c>
      <c r="V21" s="64">
        <v>164</v>
      </c>
      <c r="W21" s="64">
        <v>114</v>
      </c>
      <c r="X21" s="64">
        <v>442</v>
      </c>
      <c r="Y21" s="64">
        <v>56</v>
      </c>
      <c r="Z21" s="64">
        <v>72</v>
      </c>
      <c r="AA21" s="64">
        <v>275</v>
      </c>
      <c r="AB21" s="64">
        <v>102</v>
      </c>
      <c r="AC21" s="64">
        <v>0.9</v>
      </c>
      <c r="AD21" s="64">
        <v>3613</v>
      </c>
      <c r="AE21" s="64">
        <v>47.9</v>
      </c>
      <c r="AF21" s="64">
        <v>11</v>
      </c>
      <c r="AG21" s="64">
        <v>6.4</v>
      </c>
      <c r="AH21" s="64">
        <v>8.1999999999999993</v>
      </c>
      <c r="AI21" s="64">
        <v>11.6</v>
      </c>
    </row>
    <row r="22" spans="1:35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64">
        <v>480</v>
      </c>
      <c r="I22" s="64">
        <v>972</v>
      </c>
      <c r="J22" s="64">
        <v>296</v>
      </c>
      <c r="K22" s="64">
        <v>45</v>
      </c>
      <c r="L22" s="64">
        <v>27</v>
      </c>
      <c r="M22" s="64">
        <v>124</v>
      </c>
      <c r="N22" s="64">
        <v>39</v>
      </c>
      <c r="O22" s="64">
        <v>346</v>
      </c>
      <c r="P22" s="64">
        <v>48</v>
      </c>
      <c r="Q22" s="64">
        <v>39</v>
      </c>
      <c r="R22" s="64">
        <v>98</v>
      </c>
      <c r="S22" s="64">
        <v>96</v>
      </c>
      <c r="T22" s="64">
        <v>35</v>
      </c>
      <c r="U22" s="64">
        <v>31</v>
      </c>
      <c r="V22" s="64">
        <v>107</v>
      </c>
      <c r="W22" s="64">
        <v>39</v>
      </c>
      <c r="X22" s="64">
        <v>248</v>
      </c>
      <c r="Y22" s="64">
        <v>30</v>
      </c>
      <c r="Z22" s="64">
        <v>26</v>
      </c>
      <c r="AA22" s="64">
        <v>141</v>
      </c>
      <c r="AB22" s="64">
        <v>41</v>
      </c>
      <c r="AC22" s="64">
        <v>0.6</v>
      </c>
      <c r="AD22" s="64">
        <v>2324</v>
      </c>
      <c r="AE22" s="64">
        <v>41.8</v>
      </c>
      <c r="AF22" s="64">
        <v>9.4</v>
      </c>
      <c r="AG22" s="64">
        <v>6.2</v>
      </c>
      <c r="AH22" s="64">
        <v>5.4</v>
      </c>
      <c r="AI22" s="64">
        <v>8.5</v>
      </c>
    </row>
    <row r="23" spans="1:35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64">
        <v>1075</v>
      </c>
      <c r="I23" s="64">
        <v>2326</v>
      </c>
      <c r="J23" s="64">
        <v>609</v>
      </c>
      <c r="K23" s="64">
        <v>123</v>
      </c>
      <c r="L23" s="64">
        <v>56</v>
      </c>
      <c r="M23" s="64">
        <v>300</v>
      </c>
      <c r="N23" s="64">
        <v>114</v>
      </c>
      <c r="O23" s="64">
        <v>917</v>
      </c>
      <c r="P23" s="64">
        <v>115</v>
      </c>
      <c r="Q23" s="64">
        <v>142</v>
      </c>
      <c r="R23" s="64">
        <v>259</v>
      </c>
      <c r="S23" s="64">
        <v>166</v>
      </c>
      <c r="T23" s="64">
        <v>139</v>
      </c>
      <c r="U23" s="64">
        <v>89</v>
      </c>
      <c r="V23" s="64">
        <v>224</v>
      </c>
      <c r="W23" s="64">
        <v>56</v>
      </c>
      <c r="X23" s="64">
        <v>551</v>
      </c>
      <c r="Y23" s="64">
        <v>218</v>
      </c>
      <c r="Z23" s="64">
        <v>108</v>
      </c>
      <c r="AA23" s="64">
        <v>307</v>
      </c>
      <c r="AB23" s="64">
        <v>140</v>
      </c>
      <c r="AC23" s="64">
        <v>0.5</v>
      </c>
      <c r="AD23" s="64">
        <v>4341</v>
      </c>
      <c r="AE23" s="64">
        <v>53.6</v>
      </c>
      <c r="AF23" s="64">
        <v>11.4</v>
      </c>
      <c r="AG23" s="64">
        <v>20.3</v>
      </c>
      <c r="AH23" s="64">
        <v>10</v>
      </c>
      <c r="AI23" s="64">
        <v>13</v>
      </c>
    </row>
    <row r="24" spans="1:35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64">
        <v>786</v>
      </c>
      <c r="I24" s="64">
        <v>1838</v>
      </c>
      <c r="J24" s="64">
        <v>408</v>
      </c>
      <c r="K24" s="64">
        <v>140</v>
      </c>
      <c r="L24" s="64">
        <v>58</v>
      </c>
      <c r="M24" s="64">
        <v>176</v>
      </c>
      <c r="N24" s="64">
        <v>93</v>
      </c>
      <c r="O24" s="64">
        <v>827</v>
      </c>
      <c r="P24" s="64">
        <v>89</v>
      </c>
      <c r="Q24" s="64">
        <v>96</v>
      </c>
      <c r="R24" s="64">
        <v>214</v>
      </c>
      <c r="S24" s="64">
        <v>169</v>
      </c>
      <c r="T24" s="64">
        <v>125</v>
      </c>
      <c r="U24" s="64">
        <v>135</v>
      </c>
      <c r="V24" s="64">
        <v>80</v>
      </c>
      <c r="W24" s="64">
        <v>77</v>
      </c>
      <c r="X24" s="64">
        <v>437</v>
      </c>
      <c r="Y24" s="64">
        <v>90</v>
      </c>
      <c r="Z24" s="64">
        <v>101</v>
      </c>
      <c r="AA24" s="64">
        <v>254</v>
      </c>
      <c r="AB24" s="64">
        <v>196</v>
      </c>
      <c r="AC24" s="64">
        <v>0.2</v>
      </c>
      <c r="AD24" s="64">
        <v>2461</v>
      </c>
      <c r="AE24" s="64">
        <v>74.7</v>
      </c>
      <c r="AF24" s="64">
        <v>17.8</v>
      </c>
      <c r="AG24" s="64">
        <v>11.5</v>
      </c>
      <c r="AH24" s="64">
        <v>12.8</v>
      </c>
      <c r="AI24" s="64">
        <v>24.9</v>
      </c>
    </row>
    <row r="25" spans="1:35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64">
        <v>666</v>
      </c>
      <c r="I25" s="64">
        <v>1736</v>
      </c>
      <c r="J25" s="64">
        <v>294</v>
      </c>
      <c r="K25" s="64">
        <v>141</v>
      </c>
      <c r="L25" s="64">
        <v>51</v>
      </c>
      <c r="M25" s="64">
        <v>175</v>
      </c>
      <c r="N25" s="64">
        <v>93</v>
      </c>
      <c r="O25" s="64">
        <v>843</v>
      </c>
      <c r="P25" s="64">
        <v>81</v>
      </c>
      <c r="Q25" s="64">
        <v>108</v>
      </c>
      <c r="R25" s="64">
        <v>219</v>
      </c>
      <c r="S25" s="64">
        <v>190</v>
      </c>
      <c r="T25" s="64">
        <v>134</v>
      </c>
      <c r="U25" s="64">
        <v>117</v>
      </c>
      <c r="V25" s="64">
        <v>27</v>
      </c>
      <c r="W25" s="64">
        <v>55</v>
      </c>
      <c r="X25" s="64">
        <v>370</v>
      </c>
      <c r="Y25" s="64">
        <v>131</v>
      </c>
      <c r="Z25" s="64">
        <v>89</v>
      </c>
      <c r="AA25" s="64">
        <v>237</v>
      </c>
      <c r="AB25" s="64">
        <v>186</v>
      </c>
      <c r="AC25" s="64">
        <v>0.2</v>
      </c>
      <c r="AD25" s="64">
        <v>2349</v>
      </c>
      <c r="AE25" s="64">
        <v>73.900000000000006</v>
      </c>
      <c r="AF25" s="64">
        <v>21.2</v>
      </c>
      <c r="AG25" s="64">
        <v>19.7</v>
      </c>
      <c r="AH25" s="64">
        <v>13.4</v>
      </c>
      <c r="AI25" s="64">
        <v>27.9</v>
      </c>
    </row>
    <row r="26" spans="1:35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64">
        <v>911</v>
      </c>
      <c r="I26" s="64">
        <v>1971</v>
      </c>
      <c r="J26" s="64">
        <v>459</v>
      </c>
      <c r="K26" s="64">
        <v>168</v>
      </c>
      <c r="L26" s="64">
        <v>66</v>
      </c>
      <c r="M26" s="64">
        <v>214</v>
      </c>
      <c r="N26" s="64">
        <v>78</v>
      </c>
      <c r="O26" s="64">
        <v>789</v>
      </c>
      <c r="P26" s="64">
        <v>129</v>
      </c>
      <c r="Q26" s="64">
        <v>125</v>
      </c>
      <c r="R26" s="64">
        <v>193</v>
      </c>
      <c r="S26" s="64">
        <v>167</v>
      </c>
      <c r="T26" s="64">
        <v>100</v>
      </c>
      <c r="U26" s="64">
        <v>79</v>
      </c>
      <c r="V26" s="64">
        <v>66</v>
      </c>
      <c r="W26" s="64">
        <v>59</v>
      </c>
      <c r="X26" s="64">
        <v>509</v>
      </c>
      <c r="Y26" s="64">
        <v>341</v>
      </c>
      <c r="Z26" s="64">
        <v>96</v>
      </c>
      <c r="AA26" s="64">
        <v>296</v>
      </c>
      <c r="AB26" s="64">
        <v>221</v>
      </c>
      <c r="AC26" s="64">
        <v>0.4</v>
      </c>
      <c r="AD26" s="64">
        <v>3195</v>
      </c>
      <c r="AE26" s="64">
        <v>61.7</v>
      </c>
      <c r="AF26" s="64">
        <v>18.399999999999999</v>
      </c>
      <c r="AG26" s="64">
        <v>37.4</v>
      </c>
      <c r="AH26" s="64">
        <v>10.5</v>
      </c>
      <c r="AI26" s="64">
        <v>24.3</v>
      </c>
    </row>
    <row r="27" spans="1:35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64">
        <v>682</v>
      </c>
      <c r="I27" s="64">
        <v>1827</v>
      </c>
      <c r="J27" s="64">
        <v>283</v>
      </c>
      <c r="K27" s="64">
        <v>161</v>
      </c>
      <c r="L27" s="64">
        <v>54</v>
      </c>
      <c r="M27" s="64">
        <v>180</v>
      </c>
      <c r="N27" s="64">
        <v>105</v>
      </c>
      <c r="O27" s="64">
        <v>916</v>
      </c>
      <c r="P27" s="64">
        <v>106</v>
      </c>
      <c r="Q27" s="64">
        <v>109</v>
      </c>
      <c r="R27" s="64">
        <v>239</v>
      </c>
      <c r="S27" s="64">
        <v>181</v>
      </c>
      <c r="T27" s="64">
        <v>150</v>
      </c>
      <c r="U27" s="64">
        <v>129</v>
      </c>
      <c r="V27" s="64">
        <v>25</v>
      </c>
      <c r="W27" s="64">
        <v>59</v>
      </c>
      <c r="X27" s="64">
        <v>383</v>
      </c>
      <c r="Y27" s="64">
        <v>139</v>
      </c>
      <c r="Z27" s="64">
        <v>89</v>
      </c>
      <c r="AA27" s="64">
        <v>238</v>
      </c>
      <c r="AB27" s="64">
        <v>248</v>
      </c>
      <c r="AC27" s="64">
        <v>0.2</v>
      </c>
      <c r="AD27" s="64">
        <v>2342</v>
      </c>
      <c r="AE27" s="64">
        <v>78</v>
      </c>
      <c r="AF27" s="64">
        <v>23.6</v>
      </c>
      <c r="AG27" s="64">
        <v>20.399999999999999</v>
      </c>
      <c r="AH27" s="64">
        <v>13</v>
      </c>
      <c r="AI27" s="64">
        <v>36.4</v>
      </c>
    </row>
    <row r="28" spans="1:35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64">
        <v>655</v>
      </c>
      <c r="I28" s="64">
        <v>1737</v>
      </c>
      <c r="J28" s="64">
        <v>247</v>
      </c>
      <c r="K28" s="64">
        <v>169</v>
      </c>
      <c r="L28" s="64">
        <v>55</v>
      </c>
      <c r="M28" s="64">
        <v>188</v>
      </c>
      <c r="N28" s="64">
        <v>89</v>
      </c>
      <c r="O28" s="64">
        <v>853</v>
      </c>
      <c r="P28" s="64">
        <v>125</v>
      </c>
      <c r="Q28" s="64">
        <v>107</v>
      </c>
      <c r="R28" s="64">
        <v>208</v>
      </c>
      <c r="S28" s="64">
        <v>174</v>
      </c>
      <c r="T28" s="64">
        <v>134</v>
      </c>
      <c r="U28" s="64">
        <v>113</v>
      </c>
      <c r="V28" s="64">
        <v>16</v>
      </c>
      <c r="W28" s="64">
        <v>62</v>
      </c>
      <c r="X28" s="64">
        <v>374</v>
      </c>
      <c r="Y28" s="64">
        <v>171</v>
      </c>
      <c r="Z28" s="64">
        <v>63</v>
      </c>
      <c r="AA28" s="64">
        <v>262</v>
      </c>
      <c r="AB28" s="64">
        <v>219</v>
      </c>
      <c r="AC28" s="64">
        <v>0.1</v>
      </c>
      <c r="AD28" s="64">
        <v>2163</v>
      </c>
      <c r="AE28" s="64">
        <v>80.3</v>
      </c>
      <c r="AF28" s="64">
        <v>25.8</v>
      </c>
      <c r="AG28" s="64">
        <v>26.1</v>
      </c>
      <c r="AH28" s="64">
        <v>9.6</v>
      </c>
      <c r="AI28" s="64">
        <v>33.4</v>
      </c>
    </row>
    <row r="29" spans="1:35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64">
        <v>1030</v>
      </c>
      <c r="I29" s="64">
        <v>2258</v>
      </c>
      <c r="J29" s="64">
        <v>567</v>
      </c>
      <c r="K29" s="64">
        <v>178</v>
      </c>
      <c r="L29" s="64">
        <v>71</v>
      </c>
      <c r="M29" s="64">
        <v>217</v>
      </c>
      <c r="N29" s="64">
        <v>108</v>
      </c>
      <c r="O29" s="64">
        <v>953</v>
      </c>
      <c r="P29" s="64">
        <v>110</v>
      </c>
      <c r="Q29" s="64">
        <v>134</v>
      </c>
      <c r="R29" s="64">
        <v>225</v>
      </c>
      <c r="S29" s="64">
        <v>188</v>
      </c>
      <c r="T29" s="64">
        <v>157</v>
      </c>
      <c r="U29" s="64">
        <v>145</v>
      </c>
      <c r="V29" s="64">
        <v>56</v>
      </c>
      <c r="W29" s="64">
        <v>70</v>
      </c>
      <c r="X29" s="64">
        <v>624</v>
      </c>
      <c r="Y29" s="64">
        <v>285</v>
      </c>
      <c r="Z29" s="64">
        <v>156</v>
      </c>
      <c r="AA29" s="64">
        <v>361</v>
      </c>
      <c r="AB29" s="64">
        <v>289</v>
      </c>
      <c r="AC29" s="64">
        <v>0.2</v>
      </c>
      <c r="AD29" s="64">
        <v>2876</v>
      </c>
      <c r="AE29" s="64">
        <v>78.5</v>
      </c>
      <c r="AF29" s="64">
        <v>17.3</v>
      </c>
      <c r="AG29" s="64">
        <v>27.7</v>
      </c>
      <c r="AH29" s="64">
        <v>15.1</v>
      </c>
      <c r="AI29" s="64">
        <v>28.1</v>
      </c>
    </row>
    <row r="30" spans="1:35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64">
        <v>625</v>
      </c>
      <c r="I30" s="64">
        <v>1599</v>
      </c>
      <c r="J30" s="64">
        <v>278</v>
      </c>
      <c r="K30" s="64">
        <v>120</v>
      </c>
      <c r="L30" s="64">
        <v>53</v>
      </c>
      <c r="M30" s="64">
        <v>178</v>
      </c>
      <c r="N30" s="64">
        <v>98</v>
      </c>
      <c r="O30" s="64">
        <v>754</v>
      </c>
      <c r="P30" s="64">
        <v>88</v>
      </c>
      <c r="Q30" s="64">
        <v>93</v>
      </c>
      <c r="R30" s="64">
        <v>186</v>
      </c>
      <c r="S30" s="64">
        <v>154</v>
      </c>
      <c r="T30" s="64">
        <v>114</v>
      </c>
      <c r="U30" s="64">
        <v>120</v>
      </c>
      <c r="V30" s="64">
        <v>5</v>
      </c>
      <c r="W30" s="64">
        <v>52</v>
      </c>
      <c r="X30" s="64">
        <v>324</v>
      </c>
      <c r="Y30" s="64">
        <v>139</v>
      </c>
      <c r="Z30" s="64">
        <v>93</v>
      </c>
      <c r="AA30" s="64">
        <v>215</v>
      </c>
      <c r="AB30" s="64">
        <v>225</v>
      </c>
      <c r="AC30" s="64">
        <v>0.2</v>
      </c>
      <c r="AD30" s="64">
        <v>2270</v>
      </c>
      <c r="AE30" s="64">
        <v>70.400000000000006</v>
      </c>
      <c r="AF30" s="64">
        <v>19.2</v>
      </c>
      <c r="AG30" s="64">
        <v>22.2</v>
      </c>
      <c r="AH30" s="64">
        <v>14.9</v>
      </c>
      <c r="AI30" s="64">
        <v>36</v>
      </c>
    </row>
    <row r="31" spans="1:35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64">
        <v>760</v>
      </c>
      <c r="I31" s="64">
        <v>2121</v>
      </c>
      <c r="J31" s="64">
        <v>294</v>
      </c>
      <c r="K31" s="64">
        <v>190</v>
      </c>
      <c r="L31" s="64">
        <v>45</v>
      </c>
      <c r="M31" s="64">
        <v>228</v>
      </c>
      <c r="N31" s="64">
        <v>121</v>
      </c>
      <c r="O31" s="64">
        <v>1087</v>
      </c>
      <c r="P31" s="64">
        <v>118</v>
      </c>
      <c r="Q31" s="64">
        <v>155</v>
      </c>
      <c r="R31" s="64">
        <v>302</v>
      </c>
      <c r="S31" s="64">
        <v>211</v>
      </c>
      <c r="T31" s="64">
        <v>161</v>
      </c>
      <c r="U31" s="64">
        <v>148</v>
      </c>
      <c r="V31" s="64">
        <v>7</v>
      </c>
      <c r="W31" s="64">
        <v>55</v>
      </c>
      <c r="X31" s="64">
        <v>416</v>
      </c>
      <c r="Y31" s="64">
        <v>176</v>
      </c>
      <c r="Z31" s="64">
        <v>86</v>
      </c>
      <c r="AA31" s="64">
        <v>285</v>
      </c>
      <c r="AB31" s="64">
        <v>268</v>
      </c>
      <c r="AC31" s="64">
        <v>0.2</v>
      </c>
      <c r="AD31" s="64">
        <v>2635</v>
      </c>
      <c r="AE31" s="64">
        <v>80.5</v>
      </c>
      <c r="AF31" s="64">
        <v>25</v>
      </c>
      <c r="AG31" s="64">
        <v>23.2</v>
      </c>
      <c r="AH31" s="64">
        <v>11.3</v>
      </c>
      <c r="AI31" s="64">
        <v>35.299999999999997</v>
      </c>
    </row>
    <row r="32" spans="1:35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64">
        <v>704</v>
      </c>
      <c r="I32" s="64">
        <v>1598</v>
      </c>
      <c r="J32" s="64">
        <v>407</v>
      </c>
      <c r="K32" s="64">
        <v>128</v>
      </c>
      <c r="L32" s="64">
        <v>29</v>
      </c>
      <c r="M32" s="64">
        <v>137</v>
      </c>
      <c r="N32" s="64">
        <v>80</v>
      </c>
      <c r="O32" s="64">
        <v>737</v>
      </c>
      <c r="P32" s="64">
        <v>81</v>
      </c>
      <c r="Q32" s="64">
        <v>96</v>
      </c>
      <c r="R32" s="64">
        <v>166</v>
      </c>
      <c r="S32" s="64">
        <v>167</v>
      </c>
      <c r="T32" s="64">
        <v>127</v>
      </c>
      <c r="U32" s="64">
        <v>104</v>
      </c>
      <c r="V32" s="64">
        <v>26</v>
      </c>
      <c r="W32" s="64">
        <v>45</v>
      </c>
      <c r="X32" s="64">
        <v>415</v>
      </c>
      <c r="Y32" s="64">
        <v>158</v>
      </c>
      <c r="Z32" s="64">
        <v>101</v>
      </c>
      <c r="AA32" s="64">
        <v>235</v>
      </c>
      <c r="AB32" s="64">
        <v>262</v>
      </c>
      <c r="AC32" s="64">
        <v>0.3</v>
      </c>
      <c r="AD32" s="64">
        <v>2081</v>
      </c>
      <c r="AE32" s="64">
        <v>76.8</v>
      </c>
      <c r="AF32" s="64">
        <v>18.2</v>
      </c>
      <c r="AG32" s="64">
        <v>22.4</v>
      </c>
      <c r="AH32" s="64">
        <v>14.3</v>
      </c>
      <c r="AI32" s="64">
        <v>37.200000000000003</v>
      </c>
    </row>
    <row r="33" spans="1:35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64">
        <v>280</v>
      </c>
      <c r="I33" s="64">
        <v>544</v>
      </c>
      <c r="J33" s="64">
        <v>166</v>
      </c>
      <c r="K33" s="64">
        <v>43</v>
      </c>
      <c r="L33" s="64">
        <v>24</v>
      </c>
      <c r="M33" s="64">
        <v>53</v>
      </c>
      <c r="N33" s="64">
        <v>22</v>
      </c>
      <c r="O33" s="64">
        <v>202</v>
      </c>
      <c r="P33" s="64">
        <v>20</v>
      </c>
      <c r="Q33" s="64">
        <v>32</v>
      </c>
      <c r="R33" s="64">
        <v>50</v>
      </c>
      <c r="S33" s="64">
        <v>41</v>
      </c>
      <c r="T33" s="64">
        <v>31</v>
      </c>
      <c r="U33" s="64">
        <v>31</v>
      </c>
      <c r="V33" s="64">
        <v>0</v>
      </c>
      <c r="W33" s="64">
        <v>9</v>
      </c>
      <c r="X33" s="64">
        <v>201</v>
      </c>
      <c r="Y33" s="64">
        <v>198</v>
      </c>
      <c r="Z33" s="64">
        <v>25</v>
      </c>
      <c r="AA33" s="64">
        <v>101</v>
      </c>
      <c r="AB33" s="64">
        <v>97</v>
      </c>
      <c r="AC33" s="64">
        <v>0.1</v>
      </c>
      <c r="AD33" s="64">
        <v>554</v>
      </c>
      <c r="AE33" s="64">
        <v>98.2</v>
      </c>
      <c r="AF33" s="64">
        <v>15.4</v>
      </c>
      <c r="AG33" s="64">
        <v>70.7</v>
      </c>
      <c r="AH33" s="64">
        <v>8.9</v>
      </c>
      <c r="AI33" s="64">
        <v>34.6</v>
      </c>
    </row>
    <row r="34" spans="1:35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64">
        <v>712</v>
      </c>
      <c r="I34" s="64">
        <v>1937</v>
      </c>
      <c r="J34" s="64">
        <v>250</v>
      </c>
      <c r="K34" s="64">
        <v>167</v>
      </c>
      <c r="L34" s="64">
        <v>67</v>
      </c>
      <c r="M34" s="64">
        <v>223</v>
      </c>
      <c r="N34" s="64">
        <v>121</v>
      </c>
      <c r="O34" s="64">
        <v>950</v>
      </c>
      <c r="P34" s="64">
        <v>110</v>
      </c>
      <c r="Q34" s="64">
        <v>124</v>
      </c>
      <c r="R34" s="64">
        <v>262</v>
      </c>
      <c r="S34" s="64">
        <v>214</v>
      </c>
      <c r="T34" s="64">
        <v>130</v>
      </c>
      <c r="U34" s="64">
        <v>114</v>
      </c>
      <c r="V34" s="64">
        <v>0</v>
      </c>
      <c r="W34" s="64">
        <v>32</v>
      </c>
      <c r="X34" s="64">
        <v>486</v>
      </c>
      <c r="Y34" s="64">
        <v>457</v>
      </c>
      <c r="Z34" s="64">
        <v>104</v>
      </c>
      <c r="AA34" s="64">
        <v>278</v>
      </c>
      <c r="AB34" s="64">
        <v>198</v>
      </c>
      <c r="AC34" s="64">
        <v>0.2</v>
      </c>
      <c r="AD34" s="64">
        <v>2341</v>
      </c>
      <c r="AE34" s="64">
        <v>82.7</v>
      </c>
      <c r="AF34" s="64">
        <v>23.5</v>
      </c>
      <c r="AG34" s="64">
        <v>64.2</v>
      </c>
      <c r="AH34" s="64">
        <v>14.6</v>
      </c>
      <c r="AI34" s="64">
        <v>27.8</v>
      </c>
    </row>
    <row r="35" spans="1:35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64">
        <v>531</v>
      </c>
      <c r="I35" s="64">
        <v>1256</v>
      </c>
      <c r="J35" s="64">
        <v>266</v>
      </c>
      <c r="K35" s="64">
        <v>82</v>
      </c>
      <c r="L35" s="64">
        <v>35</v>
      </c>
      <c r="M35" s="64">
        <v>145</v>
      </c>
      <c r="N35" s="64">
        <v>64</v>
      </c>
      <c r="O35" s="64">
        <v>548</v>
      </c>
      <c r="P35" s="64">
        <v>60</v>
      </c>
      <c r="Q35" s="64">
        <v>82</v>
      </c>
      <c r="R35" s="64">
        <v>145</v>
      </c>
      <c r="S35" s="64">
        <v>119</v>
      </c>
      <c r="T35" s="64">
        <v>78</v>
      </c>
      <c r="U35" s="64">
        <v>53</v>
      </c>
      <c r="V35" s="64">
        <v>6</v>
      </c>
      <c r="W35" s="64">
        <v>25</v>
      </c>
      <c r="X35" s="64">
        <v>305</v>
      </c>
      <c r="Y35" s="64">
        <v>206</v>
      </c>
      <c r="Z35" s="64">
        <v>63</v>
      </c>
      <c r="AA35" s="64">
        <v>161</v>
      </c>
      <c r="AB35" s="64">
        <v>143</v>
      </c>
      <c r="AC35" s="64">
        <v>1</v>
      </c>
      <c r="AD35" s="64">
        <v>1697</v>
      </c>
      <c r="AE35" s="64">
        <v>74</v>
      </c>
      <c r="AF35" s="64">
        <v>15.4</v>
      </c>
      <c r="AG35" s="64">
        <v>38.799999999999997</v>
      </c>
      <c r="AH35" s="64">
        <v>11.9</v>
      </c>
      <c r="AI35" s="64">
        <v>26.9</v>
      </c>
    </row>
    <row r="36" spans="1:35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64">
        <v>904</v>
      </c>
      <c r="I36" s="64">
        <v>2159</v>
      </c>
      <c r="J36" s="64">
        <v>405</v>
      </c>
      <c r="K36" s="64">
        <v>164</v>
      </c>
      <c r="L36" s="64">
        <v>59</v>
      </c>
      <c r="M36" s="64">
        <v>274</v>
      </c>
      <c r="N36" s="64">
        <v>113</v>
      </c>
      <c r="O36" s="64">
        <v>924</v>
      </c>
      <c r="P36" s="64">
        <v>122</v>
      </c>
      <c r="Q36" s="64">
        <v>127</v>
      </c>
      <c r="R36" s="64">
        <v>250</v>
      </c>
      <c r="S36" s="64">
        <v>181</v>
      </c>
      <c r="T36" s="64">
        <v>158</v>
      </c>
      <c r="U36" s="64">
        <v>91</v>
      </c>
      <c r="V36" s="64">
        <v>21</v>
      </c>
      <c r="W36" s="64">
        <v>47</v>
      </c>
      <c r="X36" s="64">
        <v>408</v>
      </c>
      <c r="Y36" s="64">
        <v>276</v>
      </c>
      <c r="Z36" s="64">
        <v>87</v>
      </c>
      <c r="AA36" s="64">
        <v>335</v>
      </c>
      <c r="AB36" s="64">
        <v>179</v>
      </c>
      <c r="AC36" s="64">
        <v>0.5</v>
      </c>
      <c r="AD36" s="64">
        <v>3515</v>
      </c>
      <c r="AE36" s="64">
        <v>61.4</v>
      </c>
      <c r="AF36" s="64">
        <v>18.100000000000001</v>
      </c>
      <c r="AG36" s="64">
        <v>30.5</v>
      </c>
      <c r="AH36" s="64">
        <v>9.6</v>
      </c>
      <c r="AI36" s="64">
        <v>19.8</v>
      </c>
    </row>
    <row r="37" spans="1:35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64">
        <v>485</v>
      </c>
      <c r="I37" s="64">
        <v>1250</v>
      </c>
      <c r="J37" s="64">
        <v>208</v>
      </c>
      <c r="K37" s="64">
        <v>70</v>
      </c>
      <c r="L37" s="64">
        <v>28</v>
      </c>
      <c r="M37" s="64">
        <v>175</v>
      </c>
      <c r="N37" s="64">
        <v>74</v>
      </c>
      <c r="O37" s="64">
        <v>563</v>
      </c>
      <c r="P37" s="64">
        <v>46</v>
      </c>
      <c r="Q37" s="64">
        <v>82</v>
      </c>
      <c r="R37" s="64">
        <v>147</v>
      </c>
      <c r="S37" s="64">
        <v>115</v>
      </c>
      <c r="T37" s="64">
        <v>97</v>
      </c>
      <c r="U37" s="64">
        <v>75</v>
      </c>
      <c r="V37" s="64">
        <v>0</v>
      </c>
      <c r="W37" s="64">
        <v>36</v>
      </c>
      <c r="X37" s="64">
        <v>169</v>
      </c>
      <c r="Y37" s="64">
        <v>114</v>
      </c>
      <c r="Z37" s="64">
        <v>49</v>
      </c>
      <c r="AA37" s="64">
        <v>206</v>
      </c>
      <c r="AB37" s="64">
        <v>96</v>
      </c>
      <c r="AC37" s="64">
        <v>0.5</v>
      </c>
      <c r="AD37" s="64">
        <v>2279</v>
      </c>
      <c r="AE37" s="64">
        <v>54.8</v>
      </c>
      <c r="AF37" s="64">
        <v>14.4</v>
      </c>
      <c r="AG37" s="64">
        <v>23.5</v>
      </c>
      <c r="AH37" s="64">
        <v>10.1</v>
      </c>
      <c r="AI37" s="64">
        <v>19.8</v>
      </c>
    </row>
    <row r="38" spans="1:35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64">
        <v>699</v>
      </c>
      <c r="I38" s="64">
        <v>1824</v>
      </c>
      <c r="J38" s="64">
        <v>317</v>
      </c>
      <c r="K38" s="64">
        <v>127</v>
      </c>
      <c r="L38" s="64">
        <v>28</v>
      </c>
      <c r="M38" s="64">
        <v>224</v>
      </c>
      <c r="N38" s="64">
        <v>103</v>
      </c>
      <c r="O38" s="64">
        <v>872</v>
      </c>
      <c r="P38" s="64">
        <v>100</v>
      </c>
      <c r="Q38" s="64">
        <v>102</v>
      </c>
      <c r="R38" s="64">
        <v>219</v>
      </c>
      <c r="S38" s="64">
        <v>191</v>
      </c>
      <c r="T38" s="64">
        <v>140</v>
      </c>
      <c r="U38" s="64">
        <v>115</v>
      </c>
      <c r="V38" s="64">
        <v>23</v>
      </c>
      <c r="W38" s="64">
        <v>48</v>
      </c>
      <c r="X38" s="64">
        <v>291</v>
      </c>
      <c r="Y38" s="64">
        <v>69</v>
      </c>
      <c r="Z38" s="64">
        <v>79</v>
      </c>
      <c r="AA38" s="64">
        <v>228</v>
      </c>
      <c r="AB38" s="64">
        <v>181</v>
      </c>
      <c r="AC38" s="64">
        <v>0.4</v>
      </c>
      <c r="AD38" s="64">
        <v>2646</v>
      </c>
      <c r="AE38" s="64">
        <v>68.900000000000006</v>
      </c>
      <c r="AF38" s="64">
        <v>18.2</v>
      </c>
      <c r="AG38" s="64">
        <v>9.9</v>
      </c>
      <c r="AH38" s="64">
        <v>11.3</v>
      </c>
      <c r="AI38" s="64">
        <v>25.9</v>
      </c>
    </row>
    <row r="39" spans="1:35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64">
        <v>851</v>
      </c>
      <c r="I39" s="64">
        <v>1916</v>
      </c>
      <c r="J39" s="64">
        <v>426</v>
      </c>
      <c r="K39" s="64">
        <v>168</v>
      </c>
      <c r="L39" s="64">
        <v>51</v>
      </c>
      <c r="M39" s="64">
        <v>202</v>
      </c>
      <c r="N39" s="64">
        <v>91</v>
      </c>
      <c r="O39" s="64">
        <v>813</v>
      </c>
      <c r="P39" s="64">
        <v>86</v>
      </c>
      <c r="Q39" s="64">
        <v>94</v>
      </c>
      <c r="R39" s="64">
        <v>208</v>
      </c>
      <c r="S39" s="64">
        <v>178</v>
      </c>
      <c r="T39" s="64">
        <v>137</v>
      </c>
      <c r="U39" s="64">
        <v>112</v>
      </c>
      <c r="V39" s="64">
        <v>5</v>
      </c>
      <c r="W39" s="64">
        <v>43</v>
      </c>
      <c r="X39" s="64">
        <v>594</v>
      </c>
      <c r="Y39" s="64">
        <v>582</v>
      </c>
      <c r="Z39" s="64">
        <v>105</v>
      </c>
      <c r="AA39" s="64">
        <v>322</v>
      </c>
      <c r="AB39" s="64">
        <v>257</v>
      </c>
      <c r="AC39" s="64">
        <v>0.2</v>
      </c>
      <c r="AD39" s="64">
        <v>2532</v>
      </c>
      <c r="AE39" s="64">
        <v>75.7</v>
      </c>
      <c r="AF39" s="64">
        <v>19.7</v>
      </c>
      <c r="AG39" s="64">
        <v>68.400000000000006</v>
      </c>
      <c r="AH39" s="64">
        <v>12.3</v>
      </c>
      <c r="AI39" s="64">
        <v>30.2</v>
      </c>
    </row>
    <row r="40" spans="1:35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64">
        <v>807</v>
      </c>
      <c r="I40" s="64">
        <v>1785</v>
      </c>
      <c r="J40" s="64">
        <v>404</v>
      </c>
      <c r="K40" s="64">
        <v>170</v>
      </c>
      <c r="L40" s="64">
        <v>54</v>
      </c>
      <c r="M40" s="64">
        <v>175</v>
      </c>
      <c r="N40" s="64">
        <v>72</v>
      </c>
      <c r="O40" s="64">
        <v>739</v>
      </c>
      <c r="P40" s="64">
        <v>98</v>
      </c>
      <c r="Q40" s="64">
        <v>110</v>
      </c>
      <c r="R40" s="64">
        <v>201</v>
      </c>
      <c r="S40" s="64">
        <v>130</v>
      </c>
      <c r="T40" s="64">
        <v>104</v>
      </c>
      <c r="U40" s="64">
        <v>98</v>
      </c>
      <c r="V40" s="64">
        <v>6</v>
      </c>
      <c r="W40" s="64">
        <v>39</v>
      </c>
      <c r="X40" s="64">
        <v>560</v>
      </c>
      <c r="Y40" s="64">
        <v>539</v>
      </c>
      <c r="Z40" s="64">
        <v>110</v>
      </c>
      <c r="AA40" s="64">
        <v>322</v>
      </c>
      <c r="AB40" s="64">
        <v>218</v>
      </c>
      <c r="AC40" s="64">
        <v>0.3</v>
      </c>
      <c r="AD40" s="64">
        <v>2259</v>
      </c>
      <c r="AE40" s="64">
        <v>79</v>
      </c>
      <c r="AF40" s="64">
        <v>21.1</v>
      </c>
      <c r="AG40" s="64">
        <v>66.8</v>
      </c>
      <c r="AH40" s="64">
        <v>13.6</v>
      </c>
      <c r="AI40" s="64">
        <v>27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21.140625" customWidth="1"/>
    <col min="9" max="10" width="15" customWidth="1"/>
    <col min="11" max="11" width="17.28515625" customWidth="1"/>
    <col min="12" max="15" width="27.140625" customWidth="1"/>
    <col min="16" max="16" width="15.42578125" customWidth="1"/>
    <col min="17" max="17" width="56" customWidth="1"/>
    <col min="18" max="18" width="46.7109375" customWidth="1"/>
    <col min="19" max="19" width="46.42578125" customWidth="1"/>
    <col min="20" max="20" width="55.5703125" customWidth="1"/>
    <col min="21" max="23" width="62.85546875" customWidth="1"/>
    <col min="24" max="24" width="53.85546875" customWidth="1"/>
    <col min="25" max="25" width="52.140625" customWidth="1"/>
    <col min="26" max="26" width="42.85546875" customWidth="1"/>
    <col min="27" max="27" width="42.5703125" customWidth="1"/>
    <col min="28" max="28" width="51.7109375" customWidth="1"/>
    <col min="29" max="31" width="59" customWidth="1"/>
    <col min="32" max="32" width="50" customWidth="1"/>
    <col min="33" max="33" width="18.7109375" customWidth="1"/>
    <col min="34" max="34" width="68.140625" customWidth="1"/>
    <col min="35" max="35" width="66.5703125" customWidth="1"/>
    <col min="36" max="36" width="63.42578125" customWidth="1"/>
    <col min="37" max="37" width="64.28515625" customWidth="1"/>
    <col min="38" max="38" width="62.7109375" customWidth="1"/>
    <col min="39" max="39" width="60" customWidth="1"/>
  </cols>
  <sheetData>
    <row r="1" spans="1:39">
      <c r="A1" s="10" t="s">
        <v>810</v>
      </c>
      <c r="B1" s="1"/>
      <c r="C1" s="1"/>
      <c r="D1" s="1"/>
      <c r="E1" s="1"/>
      <c r="F1" s="1"/>
      <c r="G1" s="2" t="s">
        <v>0</v>
      </c>
      <c r="H1" s="2">
        <f t="shared" ref="H1:AG1" si="0">SUBTOTAL(9,H3:H40)</f>
        <v>97610</v>
      </c>
      <c r="I1" s="2">
        <f t="shared" si="0"/>
        <v>49064</v>
      </c>
      <c r="J1" s="2">
        <f t="shared" si="0"/>
        <v>48522</v>
      </c>
      <c r="K1" s="2">
        <f t="shared" si="0"/>
        <v>25961</v>
      </c>
      <c r="L1" s="2">
        <f t="shared" si="0"/>
        <v>11607</v>
      </c>
      <c r="M1" s="2">
        <f t="shared" si="0"/>
        <v>32401</v>
      </c>
      <c r="N1" s="2">
        <f t="shared" si="0"/>
        <v>11346</v>
      </c>
      <c r="O1" s="2">
        <f t="shared" si="0"/>
        <v>10873</v>
      </c>
      <c r="P1" s="2">
        <f t="shared" si="0"/>
        <v>5506</v>
      </c>
      <c r="Q1" s="2">
        <f t="shared" si="0"/>
        <v>30609</v>
      </c>
      <c r="R1" s="2">
        <f t="shared" si="0"/>
        <v>15072</v>
      </c>
      <c r="S1" s="2">
        <f t="shared" si="0"/>
        <v>15584</v>
      </c>
      <c r="T1" s="2">
        <f t="shared" si="0"/>
        <v>12223</v>
      </c>
      <c r="U1" s="2">
        <f t="shared" si="0"/>
        <v>3525</v>
      </c>
      <c r="V1" s="2">
        <f t="shared" si="0"/>
        <v>10134</v>
      </c>
      <c r="W1" s="2">
        <f t="shared" si="0"/>
        <v>2878</v>
      </c>
      <c r="X1" s="2">
        <f t="shared" si="0"/>
        <v>1838</v>
      </c>
      <c r="Y1" s="2">
        <f t="shared" si="0"/>
        <v>6154</v>
      </c>
      <c r="Z1" s="2">
        <f t="shared" si="0"/>
        <v>2777</v>
      </c>
      <c r="AA1" s="2">
        <f t="shared" si="0"/>
        <v>3365</v>
      </c>
      <c r="AB1" s="2">
        <f t="shared" si="0"/>
        <v>1653</v>
      </c>
      <c r="AC1" s="2">
        <f t="shared" si="0"/>
        <v>625</v>
      </c>
      <c r="AD1" s="2">
        <f t="shared" si="0"/>
        <v>1364</v>
      </c>
      <c r="AE1" s="2">
        <f t="shared" si="0"/>
        <v>760</v>
      </c>
      <c r="AF1" s="2">
        <f t="shared" si="0"/>
        <v>1679</v>
      </c>
      <c r="AG1" s="2">
        <f t="shared" si="0"/>
        <v>13.399999999999995</v>
      </c>
      <c r="AH1" s="2">
        <f>SUBTOTAL(1,AH3:AH40)</f>
        <v>32.492105263157896</v>
      </c>
      <c r="AI1" s="2">
        <f t="shared" ref="AI1:AM1" si="1">SUBTOTAL(1,AI3:AI40)</f>
        <v>38.928947368421042</v>
      </c>
      <c r="AJ1" s="2">
        <f t="shared" si="1"/>
        <v>46.778947368421065</v>
      </c>
      <c r="AK1" s="2">
        <f t="shared" si="1"/>
        <v>6.5236842105263149</v>
      </c>
      <c r="AL1" s="2">
        <f t="shared" si="1"/>
        <v>25.873684210526321</v>
      </c>
      <c r="AM1" s="2">
        <f t="shared" si="1"/>
        <v>6.2500000000000009</v>
      </c>
    </row>
    <row r="2" spans="1:39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677</v>
      </c>
      <c r="I2" s="46" t="s">
        <v>678</v>
      </c>
      <c r="J2" s="46" t="s">
        <v>679</v>
      </c>
      <c r="K2" s="46" t="s">
        <v>680</v>
      </c>
      <c r="L2" s="46" t="s">
        <v>681</v>
      </c>
      <c r="M2" s="46" t="s">
        <v>682</v>
      </c>
      <c r="N2" s="46" t="s">
        <v>683</v>
      </c>
      <c r="O2" s="46" t="s">
        <v>684</v>
      </c>
      <c r="P2" s="46" t="s">
        <v>685</v>
      </c>
      <c r="Q2" s="46" t="s">
        <v>686</v>
      </c>
      <c r="R2" s="46" t="s">
        <v>687</v>
      </c>
      <c r="S2" s="46" t="s">
        <v>688</v>
      </c>
      <c r="T2" s="46" t="s">
        <v>689</v>
      </c>
      <c r="U2" s="46" t="s">
        <v>690</v>
      </c>
      <c r="V2" s="46" t="s">
        <v>691</v>
      </c>
      <c r="W2" s="46" t="s">
        <v>692</v>
      </c>
      <c r="X2" s="46" t="s">
        <v>693</v>
      </c>
      <c r="Y2" s="46" t="s">
        <v>694</v>
      </c>
      <c r="Z2" s="46" t="s">
        <v>695</v>
      </c>
      <c r="AA2" s="46" t="s">
        <v>696</v>
      </c>
      <c r="AB2" s="46" t="s">
        <v>697</v>
      </c>
      <c r="AC2" s="46" t="s">
        <v>698</v>
      </c>
      <c r="AD2" s="46" t="s">
        <v>699</v>
      </c>
      <c r="AE2" s="46" t="s">
        <v>700</v>
      </c>
      <c r="AF2" s="46" t="s">
        <v>701</v>
      </c>
      <c r="AG2" s="47" t="s">
        <v>80</v>
      </c>
      <c r="AH2" s="47" t="s">
        <v>702</v>
      </c>
      <c r="AI2" s="47" t="s">
        <v>703</v>
      </c>
      <c r="AJ2" s="47" t="s">
        <v>704</v>
      </c>
      <c r="AK2" s="47" t="s">
        <v>705</v>
      </c>
      <c r="AL2" s="47" t="s">
        <v>706</v>
      </c>
      <c r="AM2" s="48" t="s">
        <v>707</v>
      </c>
    </row>
    <row r="3" spans="1:39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2477</v>
      </c>
      <c r="I3" s="4">
        <v>1251</v>
      </c>
      <c r="J3" s="4">
        <v>1218</v>
      </c>
      <c r="K3" s="4">
        <v>713</v>
      </c>
      <c r="L3" s="4">
        <v>341</v>
      </c>
      <c r="M3" s="4">
        <v>845</v>
      </c>
      <c r="N3" s="4">
        <v>301</v>
      </c>
      <c r="O3" s="4">
        <v>213</v>
      </c>
      <c r="P3" s="4">
        <v>90</v>
      </c>
      <c r="Q3" s="4">
        <v>892</v>
      </c>
      <c r="R3" s="4">
        <v>433</v>
      </c>
      <c r="S3" s="4">
        <v>449</v>
      </c>
      <c r="T3" s="4">
        <v>342</v>
      </c>
      <c r="U3" s="4">
        <v>122</v>
      </c>
      <c r="V3" s="4">
        <v>276</v>
      </c>
      <c r="W3" s="4">
        <v>94</v>
      </c>
      <c r="X3" s="4">
        <v>53</v>
      </c>
      <c r="Y3" s="4">
        <v>125</v>
      </c>
      <c r="Z3" s="4">
        <v>64</v>
      </c>
      <c r="AA3" s="4">
        <v>52</v>
      </c>
      <c r="AB3" s="4">
        <v>32</v>
      </c>
      <c r="AC3" s="4">
        <v>27</v>
      </c>
      <c r="AD3" s="4">
        <v>32</v>
      </c>
      <c r="AE3" s="4">
        <v>17</v>
      </c>
      <c r="AF3" s="4">
        <v>20</v>
      </c>
      <c r="AG3" s="4">
        <v>0.3</v>
      </c>
      <c r="AH3" s="4">
        <v>36</v>
      </c>
      <c r="AI3" s="4">
        <v>38.299999999999997</v>
      </c>
      <c r="AJ3" s="4">
        <v>48</v>
      </c>
      <c r="AK3" s="4">
        <v>5</v>
      </c>
      <c r="AL3" s="4">
        <v>25.6</v>
      </c>
      <c r="AM3" s="43">
        <v>4.5</v>
      </c>
    </row>
    <row r="4" spans="1:39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3757</v>
      </c>
      <c r="I4" s="4">
        <v>1878</v>
      </c>
      <c r="J4" s="4">
        <v>1872</v>
      </c>
      <c r="K4" s="4">
        <v>853</v>
      </c>
      <c r="L4" s="4">
        <v>587</v>
      </c>
      <c r="M4" s="4">
        <v>1378</v>
      </c>
      <c r="N4" s="4">
        <v>417</v>
      </c>
      <c r="O4" s="4">
        <v>379</v>
      </c>
      <c r="P4" s="4">
        <v>154</v>
      </c>
      <c r="Q4" s="4">
        <v>959</v>
      </c>
      <c r="R4" s="4">
        <v>459</v>
      </c>
      <c r="S4" s="4">
        <v>507</v>
      </c>
      <c r="T4" s="4">
        <v>334</v>
      </c>
      <c r="U4" s="4">
        <v>140</v>
      </c>
      <c r="V4" s="4">
        <v>327</v>
      </c>
      <c r="W4" s="4">
        <v>92</v>
      </c>
      <c r="X4" s="4">
        <v>45</v>
      </c>
      <c r="Y4" s="4">
        <v>155</v>
      </c>
      <c r="Z4" s="4">
        <v>72</v>
      </c>
      <c r="AA4" s="4">
        <v>90</v>
      </c>
      <c r="AB4" s="4">
        <v>39</v>
      </c>
      <c r="AC4" s="4">
        <v>23</v>
      </c>
      <c r="AD4" s="4">
        <v>44</v>
      </c>
      <c r="AE4" s="4">
        <v>35</v>
      </c>
      <c r="AF4" s="4">
        <v>31</v>
      </c>
      <c r="AG4" s="4">
        <v>0.1</v>
      </c>
      <c r="AH4" s="4">
        <v>25.5</v>
      </c>
      <c r="AI4" s="4">
        <v>34.799999999999997</v>
      </c>
      <c r="AJ4" s="4">
        <v>39.200000000000003</v>
      </c>
      <c r="AK4" s="4">
        <v>4.0999999999999996</v>
      </c>
      <c r="AL4" s="4">
        <v>25.2</v>
      </c>
      <c r="AM4" s="43">
        <v>4.5999999999999996</v>
      </c>
    </row>
    <row r="5" spans="1:39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2933</v>
      </c>
      <c r="I5" s="4">
        <v>1475</v>
      </c>
      <c r="J5" s="4">
        <v>1464</v>
      </c>
      <c r="K5" s="4">
        <v>826</v>
      </c>
      <c r="L5" s="4">
        <v>335</v>
      </c>
      <c r="M5" s="4">
        <v>1002</v>
      </c>
      <c r="N5" s="4">
        <v>348</v>
      </c>
      <c r="O5" s="4">
        <v>277</v>
      </c>
      <c r="P5" s="4">
        <v>156</v>
      </c>
      <c r="Q5" s="4">
        <v>1192</v>
      </c>
      <c r="R5" s="4">
        <v>575</v>
      </c>
      <c r="S5" s="4">
        <v>624</v>
      </c>
      <c r="T5" s="4">
        <v>481</v>
      </c>
      <c r="U5" s="4">
        <v>134</v>
      </c>
      <c r="V5" s="4">
        <v>397</v>
      </c>
      <c r="W5" s="4">
        <v>121</v>
      </c>
      <c r="X5" s="4">
        <v>76</v>
      </c>
      <c r="Y5" s="4">
        <v>212</v>
      </c>
      <c r="Z5" s="4">
        <v>90</v>
      </c>
      <c r="AA5" s="4">
        <v>114</v>
      </c>
      <c r="AB5" s="4">
        <v>51</v>
      </c>
      <c r="AC5" s="4">
        <v>22</v>
      </c>
      <c r="AD5" s="4">
        <v>53</v>
      </c>
      <c r="AE5" s="4">
        <v>24</v>
      </c>
      <c r="AF5" s="4">
        <v>62</v>
      </c>
      <c r="AG5" s="4">
        <v>0.4</v>
      </c>
      <c r="AH5" s="4">
        <v>40.6</v>
      </c>
      <c r="AI5" s="4">
        <v>40.4</v>
      </c>
      <c r="AJ5" s="4">
        <v>58.2</v>
      </c>
      <c r="AK5" s="4">
        <v>7.2</v>
      </c>
      <c r="AL5" s="4">
        <v>24.1</v>
      </c>
      <c r="AM5" s="43">
        <v>6.2</v>
      </c>
    </row>
    <row r="6" spans="1:39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1285</v>
      </c>
      <c r="I6" s="4">
        <v>684</v>
      </c>
      <c r="J6" s="4">
        <v>608</v>
      </c>
      <c r="K6" s="4">
        <v>359</v>
      </c>
      <c r="L6" s="4">
        <v>166</v>
      </c>
      <c r="M6" s="4">
        <v>363</v>
      </c>
      <c r="N6" s="4">
        <v>155</v>
      </c>
      <c r="O6" s="4">
        <v>151</v>
      </c>
      <c r="P6" s="4">
        <v>84</v>
      </c>
      <c r="Q6" s="4">
        <v>646</v>
      </c>
      <c r="R6" s="4">
        <v>323</v>
      </c>
      <c r="S6" s="4">
        <v>316</v>
      </c>
      <c r="T6" s="4">
        <v>254</v>
      </c>
      <c r="U6" s="4">
        <v>79</v>
      </c>
      <c r="V6" s="4">
        <v>192</v>
      </c>
      <c r="W6" s="4">
        <v>77</v>
      </c>
      <c r="X6" s="4">
        <v>57</v>
      </c>
      <c r="Y6" s="4">
        <v>129</v>
      </c>
      <c r="Z6" s="4">
        <v>61</v>
      </c>
      <c r="AA6" s="4">
        <v>75</v>
      </c>
      <c r="AB6" s="4">
        <v>22</v>
      </c>
      <c r="AC6" s="4">
        <v>10</v>
      </c>
      <c r="AD6" s="4">
        <v>21</v>
      </c>
      <c r="AE6" s="4">
        <v>17</v>
      </c>
      <c r="AF6" s="4">
        <v>61</v>
      </c>
      <c r="AG6" s="4">
        <v>0.1</v>
      </c>
      <c r="AH6" s="4">
        <v>50.3</v>
      </c>
      <c r="AI6" s="4">
        <v>39.299999999999997</v>
      </c>
      <c r="AJ6" s="4">
        <v>70.8</v>
      </c>
      <c r="AK6" s="4">
        <v>10</v>
      </c>
      <c r="AL6" s="4">
        <v>17.100000000000001</v>
      </c>
      <c r="AM6" s="43">
        <v>6.1</v>
      </c>
    </row>
    <row r="7" spans="1:39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1603</v>
      </c>
      <c r="I7" s="4">
        <v>857</v>
      </c>
      <c r="J7" s="4">
        <v>755</v>
      </c>
      <c r="K7" s="4">
        <v>441</v>
      </c>
      <c r="L7" s="4">
        <v>229</v>
      </c>
      <c r="M7" s="4">
        <v>492</v>
      </c>
      <c r="N7" s="4">
        <v>182</v>
      </c>
      <c r="O7" s="4">
        <v>176</v>
      </c>
      <c r="P7" s="4">
        <v>75</v>
      </c>
      <c r="Q7" s="4">
        <v>677</v>
      </c>
      <c r="R7" s="4">
        <v>356</v>
      </c>
      <c r="S7" s="4">
        <v>328</v>
      </c>
      <c r="T7" s="4">
        <v>276</v>
      </c>
      <c r="U7" s="4">
        <v>86</v>
      </c>
      <c r="V7" s="4">
        <v>206</v>
      </c>
      <c r="W7" s="4">
        <v>63</v>
      </c>
      <c r="X7" s="4">
        <v>64</v>
      </c>
      <c r="Y7" s="4">
        <v>128</v>
      </c>
      <c r="Z7" s="4">
        <v>48</v>
      </c>
      <c r="AA7" s="4">
        <v>71</v>
      </c>
      <c r="AB7" s="4">
        <v>46</v>
      </c>
      <c r="AC7" s="4">
        <v>18</v>
      </c>
      <c r="AD7" s="4">
        <v>26</v>
      </c>
      <c r="AE7" s="4">
        <v>15</v>
      </c>
      <c r="AF7" s="4">
        <v>21</v>
      </c>
      <c r="AG7" s="4">
        <v>0.4</v>
      </c>
      <c r="AH7" s="4">
        <v>42.2</v>
      </c>
      <c r="AI7" s="4">
        <v>40.799999999999997</v>
      </c>
      <c r="AJ7" s="4">
        <v>62.6</v>
      </c>
      <c r="AK7" s="4">
        <v>8</v>
      </c>
      <c r="AL7" s="4">
        <v>35.9</v>
      </c>
      <c r="AM7" s="43">
        <v>10.4</v>
      </c>
    </row>
    <row r="8" spans="1:39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2623</v>
      </c>
      <c r="I8" s="4">
        <v>1366</v>
      </c>
      <c r="J8" s="4">
        <v>1265</v>
      </c>
      <c r="K8" s="4">
        <v>757</v>
      </c>
      <c r="L8" s="4">
        <v>364</v>
      </c>
      <c r="M8" s="4">
        <v>851</v>
      </c>
      <c r="N8" s="4">
        <v>271</v>
      </c>
      <c r="O8" s="4">
        <v>256</v>
      </c>
      <c r="P8" s="4">
        <v>131</v>
      </c>
      <c r="Q8" s="4">
        <v>896</v>
      </c>
      <c r="R8" s="4">
        <v>471</v>
      </c>
      <c r="S8" s="4">
        <v>416</v>
      </c>
      <c r="T8" s="4">
        <v>317</v>
      </c>
      <c r="U8" s="4">
        <v>135</v>
      </c>
      <c r="V8" s="4">
        <v>303</v>
      </c>
      <c r="W8" s="4">
        <v>96</v>
      </c>
      <c r="X8" s="4">
        <v>67</v>
      </c>
      <c r="Y8" s="4">
        <v>138</v>
      </c>
      <c r="Z8" s="4">
        <v>68</v>
      </c>
      <c r="AA8" s="4">
        <v>78</v>
      </c>
      <c r="AB8" s="4">
        <v>41</v>
      </c>
      <c r="AC8" s="4">
        <v>16</v>
      </c>
      <c r="AD8" s="4">
        <v>32</v>
      </c>
      <c r="AE8" s="4">
        <v>24</v>
      </c>
      <c r="AF8" s="4">
        <v>26</v>
      </c>
      <c r="AG8" s="4">
        <v>0.9</v>
      </c>
      <c r="AH8" s="4">
        <v>34.200000000000003</v>
      </c>
      <c r="AI8" s="4">
        <v>35.4</v>
      </c>
      <c r="AJ8" s="4">
        <v>41.9</v>
      </c>
      <c r="AK8" s="4">
        <v>5.3</v>
      </c>
      <c r="AL8" s="4">
        <v>29.7</v>
      </c>
      <c r="AM8" s="43">
        <v>5.4</v>
      </c>
    </row>
    <row r="9" spans="1:39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2506</v>
      </c>
      <c r="I9" s="4">
        <v>1260</v>
      </c>
      <c r="J9" s="4">
        <v>1237</v>
      </c>
      <c r="K9" s="4">
        <v>725</v>
      </c>
      <c r="L9" s="4">
        <v>298</v>
      </c>
      <c r="M9" s="4">
        <v>823</v>
      </c>
      <c r="N9" s="4">
        <v>282</v>
      </c>
      <c r="O9" s="4">
        <v>271</v>
      </c>
      <c r="P9" s="4">
        <v>116</v>
      </c>
      <c r="Q9" s="4">
        <v>745</v>
      </c>
      <c r="R9" s="4">
        <v>362</v>
      </c>
      <c r="S9" s="4">
        <v>390</v>
      </c>
      <c r="T9" s="4">
        <v>314</v>
      </c>
      <c r="U9" s="4">
        <v>88</v>
      </c>
      <c r="V9" s="4">
        <v>251</v>
      </c>
      <c r="W9" s="4">
        <v>61</v>
      </c>
      <c r="X9" s="4">
        <v>31</v>
      </c>
      <c r="Y9" s="4">
        <v>162</v>
      </c>
      <c r="Z9" s="4">
        <v>62</v>
      </c>
      <c r="AA9" s="4">
        <v>91</v>
      </c>
      <c r="AB9" s="4">
        <v>48</v>
      </c>
      <c r="AC9" s="4">
        <v>23</v>
      </c>
      <c r="AD9" s="4">
        <v>46</v>
      </c>
      <c r="AE9" s="4">
        <v>17</v>
      </c>
      <c r="AF9" s="4">
        <v>47</v>
      </c>
      <c r="AG9" s="4">
        <v>0.4</v>
      </c>
      <c r="AH9" s="4">
        <v>29.7</v>
      </c>
      <c r="AI9" s="4">
        <v>42.1</v>
      </c>
      <c r="AJ9" s="4">
        <v>43.3</v>
      </c>
      <c r="AK9" s="4">
        <v>6.5</v>
      </c>
      <c r="AL9" s="4">
        <v>29.6</v>
      </c>
      <c r="AM9" s="43">
        <v>6.6</v>
      </c>
    </row>
    <row r="10" spans="1:39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3255</v>
      </c>
      <c r="I10" s="4">
        <v>1699</v>
      </c>
      <c r="J10" s="4">
        <v>1563</v>
      </c>
      <c r="K10" s="4">
        <v>1014</v>
      </c>
      <c r="L10" s="4">
        <v>403</v>
      </c>
      <c r="M10" s="4">
        <v>990</v>
      </c>
      <c r="N10" s="4">
        <v>347</v>
      </c>
      <c r="O10" s="4">
        <v>316</v>
      </c>
      <c r="P10" s="4">
        <v>178</v>
      </c>
      <c r="Q10" s="4">
        <v>1348</v>
      </c>
      <c r="R10" s="4">
        <v>673</v>
      </c>
      <c r="S10" s="4">
        <v>684</v>
      </c>
      <c r="T10" s="4">
        <v>568</v>
      </c>
      <c r="U10" s="4">
        <v>169</v>
      </c>
      <c r="V10" s="4">
        <v>393</v>
      </c>
      <c r="W10" s="4">
        <v>123</v>
      </c>
      <c r="X10" s="4">
        <v>95</v>
      </c>
      <c r="Y10" s="4">
        <v>296</v>
      </c>
      <c r="Z10" s="4">
        <v>155</v>
      </c>
      <c r="AA10" s="4">
        <v>148</v>
      </c>
      <c r="AB10" s="4">
        <v>85</v>
      </c>
      <c r="AC10" s="4">
        <v>39</v>
      </c>
      <c r="AD10" s="4">
        <v>72</v>
      </c>
      <c r="AE10" s="4">
        <v>49</v>
      </c>
      <c r="AF10" s="4">
        <v>67</v>
      </c>
      <c r="AG10" s="4">
        <v>0.6</v>
      </c>
      <c r="AH10" s="4">
        <v>41.4</v>
      </c>
      <c r="AI10" s="4">
        <v>42.1</v>
      </c>
      <c r="AJ10" s="4">
        <v>56</v>
      </c>
      <c r="AK10" s="4">
        <v>9.1</v>
      </c>
      <c r="AL10" s="4">
        <v>28.7</v>
      </c>
      <c r="AM10" s="43">
        <v>8.4</v>
      </c>
    </row>
    <row r="11" spans="1:39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2471</v>
      </c>
      <c r="I11" s="4">
        <v>1242</v>
      </c>
      <c r="J11" s="4">
        <v>1236</v>
      </c>
      <c r="K11" s="4">
        <v>782</v>
      </c>
      <c r="L11" s="4">
        <v>301</v>
      </c>
      <c r="M11" s="4">
        <v>817</v>
      </c>
      <c r="N11" s="4">
        <v>239</v>
      </c>
      <c r="O11" s="4">
        <v>231</v>
      </c>
      <c r="P11" s="4">
        <v>93</v>
      </c>
      <c r="Q11" s="4">
        <v>1020</v>
      </c>
      <c r="R11" s="4">
        <v>488</v>
      </c>
      <c r="S11" s="4">
        <v>540</v>
      </c>
      <c r="T11" s="4">
        <v>431</v>
      </c>
      <c r="U11" s="4">
        <v>122</v>
      </c>
      <c r="V11" s="4">
        <v>326</v>
      </c>
      <c r="W11" s="4">
        <v>79</v>
      </c>
      <c r="X11" s="4">
        <v>46</v>
      </c>
      <c r="Y11" s="4">
        <v>169</v>
      </c>
      <c r="Z11" s="4">
        <v>62</v>
      </c>
      <c r="AA11" s="4">
        <v>100</v>
      </c>
      <c r="AB11" s="4">
        <v>53</v>
      </c>
      <c r="AC11" s="4">
        <v>13</v>
      </c>
      <c r="AD11" s="4">
        <v>30</v>
      </c>
      <c r="AE11" s="4">
        <v>24</v>
      </c>
      <c r="AF11" s="4">
        <v>32</v>
      </c>
      <c r="AG11" s="4">
        <v>0.2</v>
      </c>
      <c r="AH11" s="4">
        <v>41.3</v>
      </c>
      <c r="AI11" s="4">
        <v>42.3</v>
      </c>
      <c r="AJ11" s="4">
        <v>55.1</v>
      </c>
      <c r="AK11" s="4">
        <v>6.8</v>
      </c>
      <c r="AL11" s="4">
        <v>31.4</v>
      </c>
      <c r="AM11" s="43">
        <v>6.8</v>
      </c>
    </row>
    <row r="12" spans="1:39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2866</v>
      </c>
      <c r="I12" s="4">
        <v>1435</v>
      </c>
      <c r="J12" s="4">
        <v>1424</v>
      </c>
      <c r="K12" s="4">
        <v>801</v>
      </c>
      <c r="L12" s="4">
        <v>349</v>
      </c>
      <c r="M12" s="4">
        <v>850</v>
      </c>
      <c r="N12" s="4">
        <v>344</v>
      </c>
      <c r="O12" s="4">
        <v>348</v>
      </c>
      <c r="P12" s="4">
        <v>182</v>
      </c>
      <c r="Q12" s="4">
        <v>991</v>
      </c>
      <c r="R12" s="4">
        <v>493</v>
      </c>
      <c r="S12" s="4">
        <v>507</v>
      </c>
      <c r="T12" s="4">
        <v>406</v>
      </c>
      <c r="U12" s="4">
        <v>93</v>
      </c>
      <c r="V12" s="4">
        <v>314</v>
      </c>
      <c r="W12" s="4">
        <v>117</v>
      </c>
      <c r="X12" s="4">
        <v>82</v>
      </c>
      <c r="Y12" s="4">
        <v>240</v>
      </c>
      <c r="Z12" s="4">
        <v>109</v>
      </c>
      <c r="AA12" s="4">
        <v>138</v>
      </c>
      <c r="AB12" s="4">
        <v>65</v>
      </c>
      <c r="AC12" s="4">
        <v>21</v>
      </c>
      <c r="AD12" s="4">
        <v>62</v>
      </c>
      <c r="AE12" s="4">
        <v>30</v>
      </c>
      <c r="AF12" s="4">
        <v>84</v>
      </c>
      <c r="AG12" s="4">
        <v>0.3</v>
      </c>
      <c r="AH12" s="4">
        <v>34.6</v>
      </c>
      <c r="AI12" s="4">
        <v>41</v>
      </c>
      <c r="AJ12" s="4">
        <v>50.7</v>
      </c>
      <c r="AK12" s="4">
        <v>8.4</v>
      </c>
      <c r="AL12" s="4">
        <v>27.1</v>
      </c>
      <c r="AM12" s="43">
        <v>8.1</v>
      </c>
    </row>
    <row r="13" spans="1:39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2319</v>
      </c>
      <c r="I13" s="4">
        <v>1229</v>
      </c>
      <c r="J13" s="4">
        <v>1101</v>
      </c>
      <c r="K13" s="4">
        <v>616</v>
      </c>
      <c r="L13" s="4">
        <v>270</v>
      </c>
      <c r="M13" s="4">
        <v>774</v>
      </c>
      <c r="N13" s="4">
        <v>274</v>
      </c>
      <c r="O13" s="4">
        <v>260</v>
      </c>
      <c r="P13" s="4">
        <v>115</v>
      </c>
      <c r="Q13" s="4">
        <v>860</v>
      </c>
      <c r="R13" s="4">
        <v>445</v>
      </c>
      <c r="S13" s="4">
        <v>405</v>
      </c>
      <c r="T13" s="4">
        <v>342</v>
      </c>
      <c r="U13" s="4">
        <v>88</v>
      </c>
      <c r="V13" s="4">
        <v>281</v>
      </c>
      <c r="W13" s="4">
        <v>83</v>
      </c>
      <c r="X13" s="4">
        <v>51</v>
      </c>
      <c r="Y13" s="4">
        <v>132</v>
      </c>
      <c r="Z13" s="4">
        <v>69</v>
      </c>
      <c r="AA13" s="4">
        <v>72</v>
      </c>
      <c r="AB13" s="4">
        <v>20</v>
      </c>
      <c r="AC13" s="4">
        <v>19</v>
      </c>
      <c r="AD13" s="4">
        <v>29</v>
      </c>
      <c r="AE13" s="4">
        <v>24</v>
      </c>
      <c r="AF13" s="4">
        <v>40</v>
      </c>
      <c r="AG13" s="4">
        <v>0.2</v>
      </c>
      <c r="AH13" s="4">
        <v>37.1</v>
      </c>
      <c r="AI13" s="4">
        <v>39.799999999999997</v>
      </c>
      <c r="AJ13" s="4">
        <v>55.5</v>
      </c>
      <c r="AK13" s="4">
        <v>5.7</v>
      </c>
      <c r="AL13" s="4">
        <v>15.2</v>
      </c>
      <c r="AM13" s="43">
        <v>3.2</v>
      </c>
    </row>
    <row r="14" spans="1:39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1682</v>
      </c>
      <c r="I14" s="4">
        <v>846</v>
      </c>
      <c r="J14" s="4">
        <v>848</v>
      </c>
      <c r="K14" s="4">
        <v>438</v>
      </c>
      <c r="L14" s="4">
        <v>176</v>
      </c>
      <c r="M14" s="4">
        <v>540</v>
      </c>
      <c r="N14" s="4">
        <v>213</v>
      </c>
      <c r="O14" s="4">
        <v>235</v>
      </c>
      <c r="P14" s="4">
        <v>104</v>
      </c>
      <c r="Q14" s="4">
        <v>674</v>
      </c>
      <c r="R14" s="4">
        <v>338</v>
      </c>
      <c r="S14" s="4">
        <v>324</v>
      </c>
      <c r="T14" s="4">
        <v>253</v>
      </c>
      <c r="U14" s="4">
        <v>61</v>
      </c>
      <c r="V14" s="4">
        <v>220</v>
      </c>
      <c r="W14" s="4">
        <v>74</v>
      </c>
      <c r="X14" s="4">
        <v>40</v>
      </c>
      <c r="Y14" s="4">
        <v>131</v>
      </c>
      <c r="Z14" s="4">
        <v>56</v>
      </c>
      <c r="AA14" s="4">
        <v>86</v>
      </c>
      <c r="AB14" s="4">
        <v>13</v>
      </c>
      <c r="AC14" s="4">
        <v>11</v>
      </c>
      <c r="AD14" s="4">
        <v>33</v>
      </c>
      <c r="AE14" s="4">
        <v>0</v>
      </c>
      <c r="AF14" s="4">
        <v>52</v>
      </c>
      <c r="AG14" s="4">
        <v>0.3</v>
      </c>
      <c r="AH14" s="4">
        <v>40.1</v>
      </c>
      <c r="AI14" s="4">
        <v>37.5</v>
      </c>
      <c r="AJ14" s="4">
        <v>57.8</v>
      </c>
      <c r="AK14" s="4">
        <v>7.8</v>
      </c>
      <c r="AL14" s="4">
        <v>9.9</v>
      </c>
      <c r="AM14" s="43">
        <v>3</v>
      </c>
    </row>
    <row r="15" spans="1:39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2846</v>
      </c>
      <c r="I15" s="4">
        <v>1489</v>
      </c>
      <c r="J15" s="4">
        <v>1342</v>
      </c>
      <c r="K15" s="4">
        <v>794</v>
      </c>
      <c r="L15" s="4">
        <v>325</v>
      </c>
      <c r="M15" s="4">
        <v>915</v>
      </c>
      <c r="N15" s="4">
        <v>334</v>
      </c>
      <c r="O15" s="4">
        <v>312</v>
      </c>
      <c r="P15" s="4">
        <v>137</v>
      </c>
      <c r="Q15" s="4">
        <v>1102</v>
      </c>
      <c r="R15" s="4">
        <v>563</v>
      </c>
      <c r="S15" s="4">
        <v>547</v>
      </c>
      <c r="T15" s="4">
        <v>438</v>
      </c>
      <c r="U15" s="4">
        <v>134</v>
      </c>
      <c r="V15" s="4">
        <v>357</v>
      </c>
      <c r="W15" s="4">
        <v>108</v>
      </c>
      <c r="X15" s="4">
        <v>66</v>
      </c>
      <c r="Y15" s="4">
        <v>270</v>
      </c>
      <c r="Z15" s="4">
        <v>113</v>
      </c>
      <c r="AA15" s="4">
        <v>149</v>
      </c>
      <c r="AB15" s="4">
        <v>82</v>
      </c>
      <c r="AC15" s="4">
        <v>15</v>
      </c>
      <c r="AD15" s="4">
        <v>50</v>
      </c>
      <c r="AE15" s="4">
        <v>32</v>
      </c>
      <c r="AF15" s="4">
        <v>89</v>
      </c>
      <c r="AG15" s="4">
        <v>0.5</v>
      </c>
      <c r="AH15" s="4">
        <v>38.700000000000003</v>
      </c>
      <c r="AI15" s="4">
        <v>39.700000000000003</v>
      </c>
      <c r="AJ15" s="4">
        <v>55.2</v>
      </c>
      <c r="AK15" s="4">
        <v>9.5</v>
      </c>
      <c r="AL15" s="4">
        <v>30.4</v>
      </c>
      <c r="AM15" s="43">
        <v>10.3</v>
      </c>
    </row>
    <row r="16" spans="1:39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1884</v>
      </c>
      <c r="I16" s="4">
        <v>957</v>
      </c>
      <c r="J16" s="4">
        <v>918</v>
      </c>
      <c r="K16" s="4">
        <v>358</v>
      </c>
      <c r="L16" s="4">
        <v>264</v>
      </c>
      <c r="M16" s="4">
        <v>653</v>
      </c>
      <c r="N16" s="4">
        <v>285</v>
      </c>
      <c r="O16" s="4">
        <v>218</v>
      </c>
      <c r="P16" s="4">
        <v>98</v>
      </c>
      <c r="Q16" s="4">
        <v>449</v>
      </c>
      <c r="R16" s="4">
        <v>242</v>
      </c>
      <c r="S16" s="4">
        <v>222</v>
      </c>
      <c r="T16" s="4">
        <v>130</v>
      </c>
      <c r="U16" s="4">
        <v>61</v>
      </c>
      <c r="V16" s="4">
        <v>158</v>
      </c>
      <c r="W16" s="4">
        <v>62</v>
      </c>
      <c r="X16" s="4">
        <v>45</v>
      </c>
      <c r="Y16" s="4">
        <v>70</v>
      </c>
      <c r="Z16" s="4">
        <v>29</v>
      </c>
      <c r="AA16" s="4">
        <v>32</v>
      </c>
      <c r="AB16" s="4">
        <v>10</v>
      </c>
      <c r="AC16" s="4">
        <v>11</v>
      </c>
      <c r="AD16" s="4">
        <v>10</v>
      </c>
      <c r="AE16" s="4">
        <v>20</v>
      </c>
      <c r="AF16" s="4">
        <v>22</v>
      </c>
      <c r="AG16" s="4">
        <v>0.2</v>
      </c>
      <c r="AH16" s="4">
        <v>23.8</v>
      </c>
      <c r="AI16" s="4">
        <v>29</v>
      </c>
      <c r="AJ16" s="4">
        <v>36.299999999999997</v>
      </c>
      <c r="AK16" s="4">
        <v>3.7</v>
      </c>
      <c r="AL16" s="4">
        <v>14.3</v>
      </c>
      <c r="AM16" s="43">
        <v>2.8</v>
      </c>
    </row>
    <row r="17" spans="1:39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3042</v>
      </c>
      <c r="I17" s="4">
        <v>1601</v>
      </c>
      <c r="J17" s="4">
        <v>1431</v>
      </c>
      <c r="K17" s="4">
        <v>808</v>
      </c>
      <c r="L17" s="4">
        <v>392</v>
      </c>
      <c r="M17" s="4">
        <v>1108</v>
      </c>
      <c r="N17" s="4">
        <v>345</v>
      </c>
      <c r="O17" s="4">
        <v>297</v>
      </c>
      <c r="P17" s="4">
        <v>100</v>
      </c>
      <c r="Q17" s="4">
        <v>988</v>
      </c>
      <c r="R17" s="4">
        <v>510</v>
      </c>
      <c r="S17" s="4">
        <v>486</v>
      </c>
      <c r="T17" s="4">
        <v>387</v>
      </c>
      <c r="U17" s="4">
        <v>131</v>
      </c>
      <c r="V17" s="4">
        <v>351</v>
      </c>
      <c r="W17" s="4">
        <v>88</v>
      </c>
      <c r="X17" s="4">
        <v>46</v>
      </c>
      <c r="Y17" s="4">
        <v>181</v>
      </c>
      <c r="Z17" s="4">
        <v>93</v>
      </c>
      <c r="AA17" s="4">
        <v>95</v>
      </c>
      <c r="AB17" s="4">
        <v>58</v>
      </c>
      <c r="AC17" s="4">
        <v>24</v>
      </c>
      <c r="AD17" s="4">
        <v>45</v>
      </c>
      <c r="AE17" s="4">
        <v>12</v>
      </c>
      <c r="AF17" s="4">
        <v>27</v>
      </c>
      <c r="AG17" s="4">
        <v>0.2</v>
      </c>
      <c r="AH17" s="4">
        <v>32.5</v>
      </c>
      <c r="AI17" s="4">
        <v>39.200000000000003</v>
      </c>
      <c r="AJ17" s="4">
        <v>47.9</v>
      </c>
      <c r="AK17" s="4">
        <v>6</v>
      </c>
      <c r="AL17" s="4">
        <v>32</v>
      </c>
      <c r="AM17" s="43">
        <v>7.2</v>
      </c>
    </row>
    <row r="18" spans="1:39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3129</v>
      </c>
      <c r="I18" s="4">
        <v>1634</v>
      </c>
      <c r="J18" s="4">
        <v>1509</v>
      </c>
      <c r="K18" s="4">
        <v>647</v>
      </c>
      <c r="L18" s="4">
        <v>407</v>
      </c>
      <c r="M18" s="4">
        <v>1358</v>
      </c>
      <c r="N18" s="4">
        <v>334</v>
      </c>
      <c r="O18" s="4">
        <v>294</v>
      </c>
      <c r="P18" s="4">
        <v>84</v>
      </c>
      <c r="Q18" s="4">
        <v>880</v>
      </c>
      <c r="R18" s="4">
        <v>418</v>
      </c>
      <c r="S18" s="4">
        <v>453</v>
      </c>
      <c r="T18" s="4">
        <v>293</v>
      </c>
      <c r="U18" s="4">
        <v>123</v>
      </c>
      <c r="V18" s="4">
        <v>337</v>
      </c>
      <c r="W18" s="4">
        <v>82</v>
      </c>
      <c r="X18" s="4">
        <v>46</v>
      </c>
      <c r="Y18" s="4">
        <v>179</v>
      </c>
      <c r="Z18" s="4">
        <v>69</v>
      </c>
      <c r="AA18" s="4">
        <v>101</v>
      </c>
      <c r="AB18" s="4">
        <v>37</v>
      </c>
      <c r="AC18" s="4">
        <v>18</v>
      </c>
      <c r="AD18" s="4">
        <v>41</v>
      </c>
      <c r="AE18" s="4">
        <v>22</v>
      </c>
      <c r="AF18" s="4">
        <v>46</v>
      </c>
      <c r="AG18" s="4">
        <v>0.5</v>
      </c>
      <c r="AH18" s="4">
        <v>28.1</v>
      </c>
      <c r="AI18" s="4">
        <v>33.299999999999997</v>
      </c>
      <c r="AJ18" s="4">
        <v>45.3</v>
      </c>
      <c r="AK18" s="4">
        <v>5.7</v>
      </c>
      <c r="AL18" s="4">
        <v>20.7</v>
      </c>
      <c r="AM18" s="43">
        <v>5.7</v>
      </c>
    </row>
    <row r="19" spans="1:39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3144</v>
      </c>
      <c r="I19" s="4">
        <v>1608</v>
      </c>
      <c r="J19" s="4">
        <v>1546</v>
      </c>
      <c r="K19" s="4">
        <v>755</v>
      </c>
      <c r="L19" s="4">
        <v>361</v>
      </c>
      <c r="M19" s="4">
        <v>1188</v>
      </c>
      <c r="N19" s="4">
        <v>396</v>
      </c>
      <c r="O19" s="4">
        <v>313</v>
      </c>
      <c r="P19" s="4">
        <v>141</v>
      </c>
      <c r="Q19" s="4">
        <v>1099</v>
      </c>
      <c r="R19" s="4">
        <v>537</v>
      </c>
      <c r="S19" s="4">
        <v>569</v>
      </c>
      <c r="T19" s="4">
        <v>402</v>
      </c>
      <c r="U19" s="4">
        <v>109</v>
      </c>
      <c r="V19" s="4">
        <v>392</v>
      </c>
      <c r="W19" s="4">
        <v>121</v>
      </c>
      <c r="X19" s="4">
        <v>77</v>
      </c>
      <c r="Y19" s="4">
        <v>208</v>
      </c>
      <c r="Z19" s="4">
        <v>95</v>
      </c>
      <c r="AA19" s="4">
        <v>119</v>
      </c>
      <c r="AB19" s="4">
        <v>37</v>
      </c>
      <c r="AC19" s="4">
        <v>0</v>
      </c>
      <c r="AD19" s="4">
        <v>48</v>
      </c>
      <c r="AE19" s="4">
        <v>27</v>
      </c>
      <c r="AF19" s="4">
        <v>74</v>
      </c>
      <c r="AG19" s="4">
        <v>0.3</v>
      </c>
      <c r="AH19" s="4">
        <v>35</v>
      </c>
      <c r="AI19" s="4">
        <v>36.6</v>
      </c>
      <c r="AJ19" s="4">
        <v>53.2</v>
      </c>
      <c r="AK19" s="4">
        <v>6.6</v>
      </c>
      <c r="AL19" s="4">
        <v>17.8</v>
      </c>
      <c r="AM19" s="43">
        <v>4.9000000000000004</v>
      </c>
    </row>
    <row r="20" spans="1:39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3758</v>
      </c>
      <c r="I20" s="4">
        <v>1893</v>
      </c>
      <c r="J20" s="4">
        <v>1873</v>
      </c>
      <c r="K20" s="4">
        <v>1116</v>
      </c>
      <c r="L20" s="4">
        <v>368</v>
      </c>
      <c r="M20" s="4">
        <v>1310</v>
      </c>
      <c r="N20" s="4">
        <v>411</v>
      </c>
      <c r="O20" s="4">
        <v>389</v>
      </c>
      <c r="P20" s="4">
        <v>188</v>
      </c>
      <c r="Q20" s="4">
        <v>1491</v>
      </c>
      <c r="R20" s="4">
        <v>731</v>
      </c>
      <c r="S20" s="4">
        <v>753</v>
      </c>
      <c r="T20" s="4">
        <v>638</v>
      </c>
      <c r="U20" s="4">
        <v>132</v>
      </c>
      <c r="V20" s="4">
        <v>510</v>
      </c>
      <c r="W20" s="4">
        <v>138</v>
      </c>
      <c r="X20" s="4">
        <v>72</v>
      </c>
      <c r="Y20" s="4">
        <v>379</v>
      </c>
      <c r="Z20" s="4">
        <v>171</v>
      </c>
      <c r="AA20" s="4">
        <v>200</v>
      </c>
      <c r="AB20" s="4">
        <v>102</v>
      </c>
      <c r="AC20" s="4">
        <v>29</v>
      </c>
      <c r="AD20" s="4">
        <v>87</v>
      </c>
      <c r="AE20" s="4">
        <v>42</v>
      </c>
      <c r="AF20" s="4">
        <v>104</v>
      </c>
      <c r="AG20" s="4">
        <v>0.3</v>
      </c>
      <c r="AH20" s="4">
        <v>39.700000000000003</v>
      </c>
      <c r="AI20" s="4">
        <v>42.8</v>
      </c>
      <c r="AJ20" s="4">
        <v>57.2</v>
      </c>
      <c r="AK20" s="4">
        <v>10.1</v>
      </c>
      <c r="AL20" s="4">
        <v>26.9</v>
      </c>
      <c r="AM20" s="43">
        <v>9.1</v>
      </c>
    </row>
    <row r="21" spans="1:39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3404</v>
      </c>
      <c r="I21" s="4">
        <v>1646</v>
      </c>
      <c r="J21" s="4">
        <v>1749</v>
      </c>
      <c r="K21" s="4">
        <v>549</v>
      </c>
      <c r="L21" s="4">
        <v>388</v>
      </c>
      <c r="M21" s="4">
        <v>1130</v>
      </c>
      <c r="N21" s="4">
        <v>441</v>
      </c>
      <c r="O21" s="4">
        <v>464</v>
      </c>
      <c r="P21" s="4">
        <v>439</v>
      </c>
      <c r="Q21" s="4">
        <v>254</v>
      </c>
      <c r="R21" s="4">
        <v>128</v>
      </c>
      <c r="S21" s="4">
        <v>136</v>
      </c>
      <c r="T21" s="4">
        <v>68</v>
      </c>
      <c r="U21" s="4">
        <v>35</v>
      </c>
      <c r="V21" s="4">
        <v>101</v>
      </c>
      <c r="W21" s="4">
        <v>26</v>
      </c>
      <c r="X21" s="4">
        <v>24</v>
      </c>
      <c r="Y21" s="4">
        <v>71</v>
      </c>
      <c r="Z21" s="4">
        <v>26</v>
      </c>
      <c r="AA21" s="4">
        <v>37</v>
      </c>
      <c r="AB21" s="4">
        <v>31</v>
      </c>
      <c r="AC21" s="4">
        <v>0</v>
      </c>
      <c r="AD21" s="4">
        <v>16</v>
      </c>
      <c r="AE21" s="4">
        <v>13</v>
      </c>
      <c r="AF21" s="4">
        <v>16</v>
      </c>
      <c r="AG21" s="4">
        <v>0.9</v>
      </c>
      <c r="AH21" s="4">
        <v>7.5</v>
      </c>
      <c r="AI21" s="4">
        <v>26.8</v>
      </c>
      <c r="AJ21" s="4">
        <v>12.4</v>
      </c>
      <c r="AK21" s="4">
        <v>2.1</v>
      </c>
      <c r="AL21" s="4">
        <v>43.7</v>
      </c>
      <c r="AM21" s="43">
        <v>5.6</v>
      </c>
    </row>
    <row r="22" spans="1:39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2279</v>
      </c>
      <c r="I22" s="4">
        <v>1091</v>
      </c>
      <c r="J22" s="4">
        <v>1181</v>
      </c>
      <c r="K22" s="4">
        <v>361</v>
      </c>
      <c r="L22" s="4">
        <v>189</v>
      </c>
      <c r="M22" s="4">
        <v>707</v>
      </c>
      <c r="N22" s="4">
        <v>275</v>
      </c>
      <c r="O22" s="4">
        <v>396</v>
      </c>
      <c r="P22" s="4">
        <v>358</v>
      </c>
      <c r="Q22" s="4">
        <v>149</v>
      </c>
      <c r="R22" s="4">
        <v>61</v>
      </c>
      <c r="S22" s="4">
        <v>80</v>
      </c>
      <c r="T22" s="4">
        <v>37</v>
      </c>
      <c r="U22" s="4">
        <v>11</v>
      </c>
      <c r="V22" s="4">
        <v>49</v>
      </c>
      <c r="W22" s="4">
        <v>20</v>
      </c>
      <c r="X22" s="4">
        <v>0</v>
      </c>
      <c r="Y22" s="4">
        <v>31</v>
      </c>
      <c r="Z22" s="4">
        <v>16</v>
      </c>
      <c r="AA22" s="4">
        <v>0</v>
      </c>
      <c r="AB22" s="4">
        <v>0</v>
      </c>
      <c r="AC22" s="4">
        <v>10</v>
      </c>
      <c r="AD22" s="4">
        <v>0</v>
      </c>
      <c r="AE22" s="4">
        <v>11</v>
      </c>
      <c r="AF22" s="4">
        <v>15</v>
      </c>
      <c r="AG22" s="4">
        <v>0.6</v>
      </c>
      <c r="AH22" s="4">
        <v>6.5</v>
      </c>
      <c r="AI22" s="4">
        <v>24.8</v>
      </c>
      <c r="AJ22" s="4">
        <v>10.199999999999999</v>
      </c>
      <c r="AK22" s="4">
        <v>1.4</v>
      </c>
      <c r="AL22" s="4">
        <v>0</v>
      </c>
      <c r="AM22" s="43">
        <v>0</v>
      </c>
    </row>
    <row r="23" spans="1:39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3773</v>
      </c>
      <c r="I23" s="4">
        <v>1756</v>
      </c>
      <c r="J23" s="4">
        <v>2025</v>
      </c>
      <c r="K23" s="4">
        <v>823</v>
      </c>
      <c r="L23" s="4">
        <v>436</v>
      </c>
      <c r="M23" s="4">
        <v>1261</v>
      </c>
      <c r="N23" s="4">
        <v>432</v>
      </c>
      <c r="O23" s="4">
        <v>539</v>
      </c>
      <c r="P23" s="4">
        <v>292</v>
      </c>
      <c r="Q23" s="4">
        <v>465</v>
      </c>
      <c r="R23" s="4">
        <v>216</v>
      </c>
      <c r="S23" s="4">
        <v>242</v>
      </c>
      <c r="T23" s="4">
        <v>173</v>
      </c>
      <c r="U23" s="4">
        <v>46</v>
      </c>
      <c r="V23" s="4">
        <v>179</v>
      </c>
      <c r="W23" s="4">
        <v>32</v>
      </c>
      <c r="X23" s="4">
        <v>35</v>
      </c>
      <c r="Y23" s="4">
        <v>111</v>
      </c>
      <c r="Z23" s="4">
        <v>50</v>
      </c>
      <c r="AA23" s="4">
        <v>74</v>
      </c>
      <c r="AB23" s="4">
        <v>36</v>
      </c>
      <c r="AC23" s="4">
        <v>0</v>
      </c>
      <c r="AD23" s="4">
        <v>28</v>
      </c>
      <c r="AE23" s="4">
        <v>12</v>
      </c>
      <c r="AF23" s="4">
        <v>53</v>
      </c>
      <c r="AG23" s="4">
        <v>0.5</v>
      </c>
      <c r="AH23" s="4">
        <v>12.3</v>
      </c>
      <c r="AI23" s="4">
        <v>37.200000000000003</v>
      </c>
      <c r="AJ23" s="4">
        <v>21</v>
      </c>
      <c r="AK23" s="4">
        <v>2.9</v>
      </c>
      <c r="AL23" s="4">
        <v>32.4</v>
      </c>
      <c r="AM23" s="43">
        <v>4.4000000000000004</v>
      </c>
    </row>
    <row r="24" spans="1:39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2538</v>
      </c>
      <c r="I24" s="4">
        <v>1275</v>
      </c>
      <c r="J24" s="4">
        <v>1255</v>
      </c>
      <c r="K24" s="4">
        <v>709</v>
      </c>
      <c r="L24" s="4">
        <v>337</v>
      </c>
      <c r="M24" s="4">
        <v>816</v>
      </c>
      <c r="N24" s="4">
        <v>272</v>
      </c>
      <c r="O24" s="4">
        <v>287</v>
      </c>
      <c r="P24" s="4">
        <v>111</v>
      </c>
      <c r="Q24" s="4">
        <v>845</v>
      </c>
      <c r="R24" s="4">
        <v>412</v>
      </c>
      <c r="S24" s="4">
        <v>440</v>
      </c>
      <c r="T24" s="4">
        <v>369</v>
      </c>
      <c r="U24" s="4">
        <v>115</v>
      </c>
      <c r="V24" s="4">
        <v>268</v>
      </c>
      <c r="W24" s="4">
        <v>64</v>
      </c>
      <c r="X24" s="4">
        <v>44</v>
      </c>
      <c r="Y24" s="4">
        <v>143</v>
      </c>
      <c r="Z24" s="4">
        <v>54</v>
      </c>
      <c r="AA24" s="4">
        <v>76</v>
      </c>
      <c r="AB24" s="4">
        <v>36</v>
      </c>
      <c r="AC24" s="4">
        <v>10</v>
      </c>
      <c r="AD24" s="4">
        <v>26</v>
      </c>
      <c r="AE24" s="4">
        <v>16</v>
      </c>
      <c r="AF24" s="4">
        <v>42</v>
      </c>
      <c r="AG24" s="4">
        <v>0.2</v>
      </c>
      <c r="AH24" s="4">
        <v>33.299999999999997</v>
      </c>
      <c r="AI24" s="4">
        <v>43.7</v>
      </c>
      <c r="AJ24" s="4">
        <v>52</v>
      </c>
      <c r="AK24" s="4">
        <v>5.6</v>
      </c>
      <c r="AL24" s="4">
        <v>25.2</v>
      </c>
      <c r="AM24" s="43">
        <v>5.0999999999999996</v>
      </c>
    </row>
    <row r="25" spans="1:39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2412</v>
      </c>
      <c r="I25" s="4">
        <v>1215</v>
      </c>
      <c r="J25" s="4">
        <v>1209</v>
      </c>
      <c r="K25" s="4">
        <v>722</v>
      </c>
      <c r="L25" s="4">
        <v>290</v>
      </c>
      <c r="M25" s="4">
        <v>753</v>
      </c>
      <c r="N25" s="4">
        <v>245</v>
      </c>
      <c r="O25" s="4">
        <v>261</v>
      </c>
      <c r="P25" s="4">
        <v>132</v>
      </c>
      <c r="Q25" s="4">
        <v>784</v>
      </c>
      <c r="R25" s="4">
        <v>395</v>
      </c>
      <c r="S25" s="4">
        <v>398</v>
      </c>
      <c r="T25" s="4">
        <v>336</v>
      </c>
      <c r="U25" s="4">
        <v>105</v>
      </c>
      <c r="V25" s="4">
        <v>231</v>
      </c>
      <c r="W25" s="4">
        <v>64</v>
      </c>
      <c r="X25" s="4">
        <v>46</v>
      </c>
      <c r="Y25" s="4">
        <v>152</v>
      </c>
      <c r="Z25" s="4">
        <v>70</v>
      </c>
      <c r="AA25" s="4">
        <v>90</v>
      </c>
      <c r="AB25" s="4">
        <v>44</v>
      </c>
      <c r="AC25" s="4">
        <v>18</v>
      </c>
      <c r="AD25" s="4">
        <v>38</v>
      </c>
      <c r="AE25" s="4">
        <v>16</v>
      </c>
      <c r="AF25" s="4">
        <v>37</v>
      </c>
      <c r="AG25" s="4">
        <v>0.2</v>
      </c>
      <c r="AH25" s="4">
        <v>32.5</v>
      </c>
      <c r="AI25" s="4">
        <v>42.9</v>
      </c>
      <c r="AJ25" s="4">
        <v>46.5</v>
      </c>
      <c r="AK25" s="4">
        <v>6.3</v>
      </c>
      <c r="AL25" s="4">
        <v>28.9</v>
      </c>
      <c r="AM25" s="43">
        <v>6.1</v>
      </c>
    </row>
    <row r="26" spans="1:39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2935</v>
      </c>
      <c r="I26" s="4">
        <v>1450</v>
      </c>
      <c r="J26" s="4">
        <v>1478</v>
      </c>
      <c r="K26" s="4">
        <v>673</v>
      </c>
      <c r="L26" s="4">
        <v>291</v>
      </c>
      <c r="M26" s="4">
        <v>1100</v>
      </c>
      <c r="N26" s="4">
        <v>351</v>
      </c>
      <c r="O26" s="4">
        <v>369</v>
      </c>
      <c r="P26" s="4">
        <v>142</v>
      </c>
      <c r="Q26" s="4">
        <v>556</v>
      </c>
      <c r="R26" s="4">
        <v>280</v>
      </c>
      <c r="S26" s="4">
        <v>285</v>
      </c>
      <c r="T26" s="4">
        <v>206</v>
      </c>
      <c r="U26" s="4">
        <v>45</v>
      </c>
      <c r="V26" s="4">
        <v>212</v>
      </c>
      <c r="W26" s="4">
        <v>50</v>
      </c>
      <c r="X26" s="4">
        <v>28</v>
      </c>
      <c r="Y26" s="4">
        <v>127</v>
      </c>
      <c r="Z26" s="4">
        <v>54</v>
      </c>
      <c r="AA26" s="4">
        <v>62</v>
      </c>
      <c r="AB26" s="4">
        <v>39</v>
      </c>
      <c r="AC26" s="4">
        <v>15</v>
      </c>
      <c r="AD26" s="4">
        <v>29</v>
      </c>
      <c r="AE26" s="4">
        <v>21</v>
      </c>
      <c r="AF26" s="4">
        <v>40</v>
      </c>
      <c r="AG26" s="4">
        <v>0.4</v>
      </c>
      <c r="AH26" s="4">
        <v>18.899999999999999</v>
      </c>
      <c r="AI26" s="4">
        <v>37.1</v>
      </c>
      <c r="AJ26" s="4">
        <v>30.6</v>
      </c>
      <c r="AK26" s="4">
        <v>4.3</v>
      </c>
      <c r="AL26" s="4">
        <v>30.7</v>
      </c>
      <c r="AM26" s="43">
        <v>5.8</v>
      </c>
    </row>
    <row r="27" spans="1:39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2474</v>
      </c>
      <c r="I27" s="4">
        <v>1226</v>
      </c>
      <c r="J27" s="4">
        <v>1241</v>
      </c>
      <c r="K27" s="4">
        <v>767</v>
      </c>
      <c r="L27" s="4">
        <v>313</v>
      </c>
      <c r="M27" s="4">
        <v>774</v>
      </c>
      <c r="N27" s="4">
        <v>252</v>
      </c>
      <c r="O27" s="4">
        <v>243</v>
      </c>
      <c r="P27" s="4">
        <v>117</v>
      </c>
      <c r="Q27" s="4">
        <v>1013</v>
      </c>
      <c r="R27" s="4">
        <v>467</v>
      </c>
      <c r="S27" s="4">
        <v>553</v>
      </c>
      <c r="T27" s="4">
        <v>441</v>
      </c>
      <c r="U27" s="4">
        <v>126</v>
      </c>
      <c r="V27" s="4">
        <v>311</v>
      </c>
      <c r="W27" s="4">
        <v>79</v>
      </c>
      <c r="X27" s="4">
        <v>54</v>
      </c>
      <c r="Y27" s="4">
        <v>168</v>
      </c>
      <c r="Z27" s="4">
        <v>70</v>
      </c>
      <c r="AA27" s="4">
        <v>91</v>
      </c>
      <c r="AB27" s="4">
        <v>51</v>
      </c>
      <c r="AC27" s="4">
        <v>21</v>
      </c>
      <c r="AD27" s="4">
        <v>34</v>
      </c>
      <c r="AE27" s="4">
        <v>17</v>
      </c>
      <c r="AF27" s="4">
        <v>30</v>
      </c>
      <c r="AG27" s="4">
        <v>0.2</v>
      </c>
      <c r="AH27" s="4">
        <v>40.9</v>
      </c>
      <c r="AI27" s="4">
        <v>43.5</v>
      </c>
      <c r="AJ27" s="4">
        <v>57.5</v>
      </c>
      <c r="AK27" s="4">
        <v>6.8</v>
      </c>
      <c r="AL27" s="4">
        <v>30.4</v>
      </c>
      <c r="AM27" s="43">
        <v>6.6</v>
      </c>
    </row>
    <row r="28" spans="1:39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2236</v>
      </c>
      <c r="I28" s="4">
        <v>1115</v>
      </c>
      <c r="J28" s="4">
        <v>1128</v>
      </c>
      <c r="K28" s="4">
        <v>715</v>
      </c>
      <c r="L28" s="4">
        <v>282</v>
      </c>
      <c r="M28" s="4">
        <v>703</v>
      </c>
      <c r="N28" s="4">
        <v>262</v>
      </c>
      <c r="O28" s="4">
        <v>189</v>
      </c>
      <c r="P28" s="4">
        <v>92</v>
      </c>
      <c r="Q28" s="4">
        <v>877</v>
      </c>
      <c r="R28" s="4">
        <v>407</v>
      </c>
      <c r="S28" s="4">
        <v>462</v>
      </c>
      <c r="T28" s="4">
        <v>396</v>
      </c>
      <c r="U28" s="4">
        <v>104</v>
      </c>
      <c r="V28" s="4">
        <v>278</v>
      </c>
      <c r="W28" s="4">
        <v>76</v>
      </c>
      <c r="X28" s="4">
        <v>25</v>
      </c>
      <c r="Y28" s="4">
        <v>109</v>
      </c>
      <c r="Z28" s="4">
        <v>61</v>
      </c>
      <c r="AA28" s="4">
        <v>55</v>
      </c>
      <c r="AB28" s="4">
        <v>23</v>
      </c>
      <c r="AC28" s="4">
        <v>0</v>
      </c>
      <c r="AD28" s="4">
        <v>29</v>
      </c>
      <c r="AE28" s="4">
        <v>0</v>
      </c>
      <c r="AF28" s="4">
        <v>34</v>
      </c>
      <c r="AG28" s="4">
        <v>0.1</v>
      </c>
      <c r="AH28" s="4">
        <v>39.200000000000003</v>
      </c>
      <c r="AI28" s="4">
        <v>45.2</v>
      </c>
      <c r="AJ28" s="4">
        <v>55.4</v>
      </c>
      <c r="AK28" s="4">
        <v>4.9000000000000004</v>
      </c>
      <c r="AL28" s="4">
        <v>21.1</v>
      </c>
      <c r="AM28" s="43">
        <v>3.2</v>
      </c>
    </row>
    <row r="29" spans="1:39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3095</v>
      </c>
      <c r="I29" s="4">
        <v>1564</v>
      </c>
      <c r="J29" s="4">
        <v>1525</v>
      </c>
      <c r="K29" s="4">
        <v>792</v>
      </c>
      <c r="L29" s="4">
        <v>392</v>
      </c>
      <c r="M29" s="4">
        <v>1038</v>
      </c>
      <c r="N29" s="4">
        <v>365</v>
      </c>
      <c r="O29" s="4">
        <v>344</v>
      </c>
      <c r="P29" s="4">
        <v>178</v>
      </c>
      <c r="Q29" s="4">
        <v>987</v>
      </c>
      <c r="R29" s="4">
        <v>500</v>
      </c>
      <c r="S29" s="4">
        <v>499</v>
      </c>
      <c r="T29" s="4">
        <v>366</v>
      </c>
      <c r="U29" s="4">
        <v>120</v>
      </c>
      <c r="V29" s="4">
        <v>347</v>
      </c>
      <c r="W29" s="4">
        <v>92</v>
      </c>
      <c r="X29" s="4">
        <v>63</v>
      </c>
      <c r="Y29" s="4">
        <v>238</v>
      </c>
      <c r="Z29" s="4">
        <v>101</v>
      </c>
      <c r="AA29" s="4">
        <v>144</v>
      </c>
      <c r="AB29" s="4">
        <v>64</v>
      </c>
      <c r="AC29" s="4">
        <v>23</v>
      </c>
      <c r="AD29" s="4">
        <v>45</v>
      </c>
      <c r="AE29" s="4">
        <v>29</v>
      </c>
      <c r="AF29" s="4">
        <v>71</v>
      </c>
      <c r="AG29" s="4">
        <v>0.2</v>
      </c>
      <c r="AH29" s="4">
        <v>31.9</v>
      </c>
      <c r="AI29" s="4">
        <v>37.1</v>
      </c>
      <c r="AJ29" s="4">
        <v>46.2</v>
      </c>
      <c r="AK29" s="4">
        <v>7.7</v>
      </c>
      <c r="AL29" s="4">
        <v>26.9</v>
      </c>
      <c r="AM29" s="43">
        <v>8.1</v>
      </c>
    </row>
    <row r="30" spans="1:39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2224</v>
      </c>
      <c r="I30" s="4">
        <v>1109</v>
      </c>
      <c r="J30" s="4">
        <v>1108</v>
      </c>
      <c r="K30" s="4">
        <v>673</v>
      </c>
      <c r="L30" s="4">
        <v>291</v>
      </c>
      <c r="M30" s="4">
        <v>651</v>
      </c>
      <c r="N30" s="4">
        <v>232</v>
      </c>
      <c r="O30" s="4">
        <v>252</v>
      </c>
      <c r="P30" s="4">
        <v>134</v>
      </c>
      <c r="Q30" s="4">
        <v>827</v>
      </c>
      <c r="R30" s="4">
        <v>423</v>
      </c>
      <c r="S30" s="4">
        <v>412</v>
      </c>
      <c r="T30" s="4">
        <v>366</v>
      </c>
      <c r="U30" s="4">
        <v>99</v>
      </c>
      <c r="V30" s="4">
        <v>250</v>
      </c>
      <c r="W30" s="4">
        <v>71</v>
      </c>
      <c r="X30" s="4">
        <v>42</v>
      </c>
      <c r="Y30" s="4">
        <v>152</v>
      </c>
      <c r="Z30" s="4">
        <v>79</v>
      </c>
      <c r="AA30" s="4">
        <v>82</v>
      </c>
      <c r="AB30" s="4">
        <v>49</v>
      </c>
      <c r="AC30" s="4">
        <v>17</v>
      </c>
      <c r="AD30" s="4">
        <v>32</v>
      </c>
      <c r="AE30" s="4">
        <v>17</v>
      </c>
      <c r="AF30" s="4">
        <v>37</v>
      </c>
      <c r="AG30" s="4">
        <v>0.2</v>
      </c>
      <c r="AH30" s="4">
        <v>37.200000000000003</v>
      </c>
      <c r="AI30" s="4">
        <v>44.3</v>
      </c>
      <c r="AJ30" s="4">
        <v>54.4</v>
      </c>
      <c r="AK30" s="4">
        <v>6.8</v>
      </c>
      <c r="AL30" s="4">
        <v>32.200000000000003</v>
      </c>
      <c r="AM30" s="43">
        <v>7.3</v>
      </c>
    </row>
    <row r="31" spans="1:39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2667</v>
      </c>
      <c r="I31" s="4">
        <v>1365</v>
      </c>
      <c r="J31" s="4">
        <v>1310</v>
      </c>
      <c r="K31" s="4">
        <v>893</v>
      </c>
      <c r="L31" s="4">
        <v>344</v>
      </c>
      <c r="M31" s="4">
        <v>856</v>
      </c>
      <c r="N31" s="4">
        <v>267</v>
      </c>
      <c r="O31" s="4">
        <v>201</v>
      </c>
      <c r="P31" s="4">
        <v>98</v>
      </c>
      <c r="Q31" s="4">
        <v>1100</v>
      </c>
      <c r="R31" s="4">
        <v>567</v>
      </c>
      <c r="S31" s="4">
        <v>542</v>
      </c>
      <c r="T31" s="4">
        <v>491</v>
      </c>
      <c r="U31" s="4">
        <v>144</v>
      </c>
      <c r="V31" s="4">
        <v>345</v>
      </c>
      <c r="W31" s="4">
        <v>71</v>
      </c>
      <c r="X31" s="4">
        <v>48</v>
      </c>
      <c r="Y31" s="4">
        <v>214</v>
      </c>
      <c r="Z31" s="4">
        <v>94</v>
      </c>
      <c r="AA31" s="4">
        <v>132</v>
      </c>
      <c r="AB31" s="4">
        <v>71</v>
      </c>
      <c r="AC31" s="4">
        <v>20</v>
      </c>
      <c r="AD31" s="4">
        <v>48</v>
      </c>
      <c r="AE31" s="4">
        <v>16</v>
      </c>
      <c r="AF31" s="4">
        <v>41</v>
      </c>
      <c r="AG31" s="4">
        <v>0.2</v>
      </c>
      <c r="AH31" s="4">
        <v>41.2</v>
      </c>
      <c r="AI31" s="4">
        <v>44.6</v>
      </c>
      <c r="AJ31" s="4">
        <v>55</v>
      </c>
      <c r="AK31" s="4">
        <v>8</v>
      </c>
      <c r="AL31" s="4">
        <v>33.200000000000003</v>
      </c>
      <c r="AM31" s="43">
        <v>8</v>
      </c>
    </row>
    <row r="32" spans="1:39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2080</v>
      </c>
      <c r="I32" s="4">
        <v>1080</v>
      </c>
      <c r="J32" s="4">
        <v>989</v>
      </c>
      <c r="K32" s="4">
        <v>590</v>
      </c>
      <c r="L32" s="4">
        <v>266</v>
      </c>
      <c r="M32" s="4">
        <v>662</v>
      </c>
      <c r="N32" s="4">
        <v>223</v>
      </c>
      <c r="O32" s="4">
        <v>213</v>
      </c>
      <c r="P32" s="4">
        <v>113</v>
      </c>
      <c r="Q32" s="4">
        <v>733</v>
      </c>
      <c r="R32" s="4">
        <v>368</v>
      </c>
      <c r="S32" s="4">
        <v>358</v>
      </c>
      <c r="T32" s="4">
        <v>310</v>
      </c>
      <c r="U32" s="4">
        <v>83</v>
      </c>
      <c r="V32" s="4">
        <v>246</v>
      </c>
      <c r="W32" s="4">
        <v>77</v>
      </c>
      <c r="X32" s="4">
        <v>33</v>
      </c>
      <c r="Y32" s="4">
        <v>127</v>
      </c>
      <c r="Z32" s="4">
        <v>51</v>
      </c>
      <c r="AA32" s="4">
        <v>69</v>
      </c>
      <c r="AB32" s="4">
        <v>39</v>
      </c>
      <c r="AC32" s="4">
        <v>13</v>
      </c>
      <c r="AD32" s="4">
        <v>22</v>
      </c>
      <c r="AE32" s="4">
        <v>13</v>
      </c>
      <c r="AF32" s="4">
        <v>25</v>
      </c>
      <c r="AG32" s="4">
        <v>0.3</v>
      </c>
      <c r="AH32" s="4">
        <v>35.200000000000003</v>
      </c>
      <c r="AI32" s="4">
        <v>42.3</v>
      </c>
      <c r="AJ32" s="4">
        <v>52.5</v>
      </c>
      <c r="AK32" s="4">
        <v>6.1</v>
      </c>
      <c r="AL32" s="4">
        <v>30.7</v>
      </c>
      <c r="AM32" s="43">
        <v>6.6</v>
      </c>
    </row>
    <row r="33" spans="1:39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607</v>
      </c>
      <c r="I33" s="4">
        <v>370</v>
      </c>
      <c r="J33" s="4">
        <v>228</v>
      </c>
      <c r="K33" s="4">
        <v>158</v>
      </c>
      <c r="L33" s="4">
        <v>62</v>
      </c>
      <c r="M33" s="4">
        <v>189</v>
      </c>
      <c r="N33" s="4">
        <v>112</v>
      </c>
      <c r="O33" s="4">
        <v>79</v>
      </c>
      <c r="P33" s="4">
        <v>34</v>
      </c>
      <c r="Q33" s="4">
        <v>287</v>
      </c>
      <c r="R33" s="4">
        <v>180</v>
      </c>
      <c r="S33" s="4">
        <v>98</v>
      </c>
      <c r="T33" s="4">
        <v>95</v>
      </c>
      <c r="U33" s="4">
        <v>27</v>
      </c>
      <c r="V33" s="4">
        <v>91</v>
      </c>
      <c r="W33" s="4">
        <v>48</v>
      </c>
      <c r="X33" s="4">
        <v>44</v>
      </c>
      <c r="Y33" s="4">
        <v>72</v>
      </c>
      <c r="Z33" s="4">
        <v>40</v>
      </c>
      <c r="AA33" s="4">
        <v>24</v>
      </c>
      <c r="AB33" s="4">
        <v>18</v>
      </c>
      <c r="AC33" s="4">
        <v>10</v>
      </c>
      <c r="AD33" s="4">
        <v>14</v>
      </c>
      <c r="AE33" s="4">
        <v>0</v>
      </c>
      <c r="AF33" s="4">
        <v>13</v>
      </c>
      <c r="AG33" s="4">
        <v>0.1</v>
      </c>
      <c r="AH33" s="4">
        <v>47.3</v>
      </c>
      <c r="AI33" s="4">
        <v>33.1</v>
      </c>
      <c r="AJ33" s="4">
        <v>60.1</v>
      </c>
      <c r="AK33" s="4">
        <v>11.9</v>
      </c>
      <c r="AL33" s="4">
        <v>25</v>
      </c>
      <c r="AM33" s="43">
        <v>11.4</v>
      </c>
    </row>
    <row r="34" spans="1:39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2440</v>
      </c>
      <c r="I34" s="4">
        <v>1155</v>
      </c>
      <c r="J34" s="4">
        <v>1278</v>
      </c>
      <c r="K34" s="4">
        <v>829</v>
      </c>
      <c r="L34" s="4">
        <v>254</v>
      </c>
      <c r="M34" s="4">
        <v>750</v>
      </c>
      <c r="N34" s="4">
        <v>265</v>
      </c>
      <c r="O34" s="4">
        <v>245</v>
      </c>
      <c r="P34" s="4">
        <v>89</v>
      </c>
      <c r="Q34" s="4">
        <v>1061</v>
      </c>
      <c r="R34" s="4">
        <v>473</v>
      </c>
      <c r="S34" s="4">
        <v>581</v>
      </c>
      <c r="T34" s="4">
        <v>449</v>
      </c>
      <c r="U34" s="4">
        <v>109</v>
      </c>
      <c r="V34" s="4">
        <v>344</v>
      </c>
      <c r="W34" s="4">
        <v>95</v>
      </c>
      <c r="X34" s="4">
        <v>63</v>
      </c>
      <c r="Y34" s="4">
        <v>234</v>
      </c>
      <c r="Z34" s="4">
        <v>94</v>
      </c>
      <c r="AA34" s="4">
        <v>128</v>
      </c>
      <c r="AB34" s="4">
        <v>70</v>
      </c>
      <c r="AC34" s="4">
        <v>15</v>
      </c>
      <c r="AD34" s="4">
        <v>43</v>
      </c>
      <c r="AE34" s="4">
        <v>33</v>
      </c>
      <c r="AF34" s="4">
        <v>71</v>
      </c>
      <c r="AG34" s="4">
        <v>0.2</v>
      </c>
      <c r="AH34" s="4">
        <v>43.5</v>
      </c>
      <c r="AI34" s="4">
        <v>42.3</v>
      </c>
      <c r="AJ34" s="4">
        <v>54.2</v>
      </c>
      <c r="AK34" s="4">
        <v>9.6</v>
      </c>
      <c r="AL34" s="4">
        <v>29.9</v>
      </c>
      <c r="AM34" s="43">
        <v>8.4</v>
      </c>
    </row>
    <row r="35" spans="1:39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1813</v>
      </c>
      <c r="I35" s="4">
        <v>913</v>
      </c>
      <c r="J35" s="4">
        <v>913</v>
      </c>
      <c r="K35" s="4">
        <v>511</v>
      </c>
      <c r="L35" s="4">
        <v>156</v>
      </c>
      <c r="M35" s="4">
        <v>575</v>
      </c>
      <c r="N35" s="4">
        <v>207</v>
      </c>
      <c r="O35" s="4">
        <v>238</v>
      </c>
      <c r="P35" s="4">
        <v>119</v>
      </c>
      <c r="Q35" s="4">
        <v>543</v>
      </c>
      <c r="R35" s="4">
        <v>268</v>
      </c>
      <c r="S35" s="4">
        <v>282</v>
      </c>
      <c r="T35" s="4">
        <v>237</v>
      </c>
      <c r="U35" s="4">
        <v>38</v>
      </c>
      <c r="V35" s="4">
        <v>172</v>
      </c>
      <c r="W35" s="4">
        <v>41</v>
      </c>
      <c r="X35" s="4">
        <v>37</v>
      </c>
      <c r="Y35" s="4">
        <v>113</v>
      </c>
      <c r="Z35" s="4">
        <v>63</v>
      </c>
      <c r="AA35" s="4">
        <v>57</v>
      </c>
      <c r="AB35" s="4">
        <v>33</v>
      </c>
      <c r="AC35" s="4">
        <v>15</v>
      </c>
      <c r="AD35" s="4">
        <v>18</v>
      </c>
      <c r="AE35" s="4">
        <v>0</v>
      </c>
      <c r="AF35" s="4">
        <v>29</v>
      </c>
      <c r="AG35" s="4">
        <v>1</v>
      </c>
      <c r="AH35" s="4">
        <v>30</v>
      </c>
      <c r="AI35" s="4">
        <v>43.6</v>
      </c>
      <c r="AJ35" s="4">
        <v>46.4</v>
      </c>
      <c r="AK35" s="4">
        <v>6.2</v>
      </c>
      <c r="AL35" s="4">
        <v>29.2</v>
      </c>
      <c r="AM35" s="43">
        <v>6.5</v>
      </c>
    </row>
    <row r="36" spans="1:39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3424</v>
      </c>
      <c r="I36" s="4">
        <v>1618</v>
      </c>
      <c r="J36" s="4">
        <v>1813</v>
      </c>
      <c r="K36" s="4">
        <v>835</v>
      </c>
      <c r="L36" s="4">
        <v>345</v>
      </c>
      <c r="M36" s="4">
        <v>1117</v>
      </c>
      <c r="N36" s="4">
        <v>443</v>
      </c>
      <c r="O36" s="4">
        <v>421</v>
      </c>
      <c r="P36" s="4">
        <v>274</v>
      </c>
      <c r="Q36" s="4">
        <v>602</v>
      </c>
      <c r="R36" s="4">
        <v>262</v>
      </c>
      <c r="S36" s="4">
        <v>328</v>
      </c>
      <c r="T36" s="4">
        <v>226</v>
      </c>
      <c r="U36" s="4">
        <v>49</v>
      </c>
      <c r="V36" s="4">
        <v>216</v>
      </c>
      <c r="W36" s="4">
        <v>45</v>
      </c>
      <c r="X36" s="4">
        <v>43</v>
      </c>
      <c r="Y36" s="4">
        <v>116</v>
      </c>
      <c r="Z36" s="4">
        <v>43</v>
      </c>
      <c r="AA36" s="4">
        <v>66</v>
      </c>
      <c r="AB36" s="4">
        <v>24</v>
      </c>
      <c r="AC36" s="4">
        <v>10</v>
      </c>
      <c r="AD36" s="4">
        <v>25</v>
      </c>
      <c r="AE36" s="4">
        <v>30</v>
      </c>
      <c r="AF36" s="4">
        <v>52</v>
      </c>
      <c r="AG36" s="4">
        <v>0.5</v>
      </c>
      <c r="AH36" s="4">
        <v>17.600000000000001</v>
      </c>
      <c r="AI36" s="4">
        <v>37.5</v>
      </c>
      <c r="AJ36" s="4">
        <v>27.1</v>
      </c>
      <c r="AK36" s="4">
        <v>3.4</v>
      </c>
      <c r="AL36" s="4">
        <v>20.7</v>
      </c>
      <c r="AM36" s="43">
        <v>2.9</v>
      </c>
    </row>
    <row r="37" spans="1:39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2283</v>
      </c>
      <c r="I37" s="4">
        <v>1071</v>
      </c>
      <c r="J37" s="4">
        <v>1203</v>
      </c>
      <c r="K37" s="4">
        <v>530</v>
      </c>
      <c r="L37" s="4">
        <v>229</v>
      </c>
      <c r="M37" s="4">
        <v>701</v>
      </c>
      <c r="N37" s="4">
        <v>320</v>
      </c>
      <c r="O37" s="4">
        <v>345</v>
      </c>
      <c r="P37" s="4">
        <v>170</v>
      </c>
      <c r="Q37" s="4">
        <v>371</v>
      </c>
      <c r="R37" s="4">
        <v>170</v>
      </c>
      <c r="S37" s="4">
        <v>193</v>
      </c>
      <c r="T37" s="4">
        <v>138</v>
      </c>
      <c r="U37" s="4">
        <v>35</v>
      </c>
      <c r="V37" s="4">
        <v>128</v>
      </c>
      <c r="W37" s="4">
        <v>34</v>
      </c>
      <c r="X37" s="4">
        <v>19</v>
      </c>
      <c r="Y37" s="4">
        <v>82</v>
      </c>
      <c r="Z37" s="4">
        <v>39</v>
      </c>
      <c r="AA37" s="4">
        <v>54</v>
      </c>
      <c r="AB37" s="4">
        <v>13</v>
      </c>
      <c r="AC37" s="4">
        <v>16</v>
      </c>
      <c r="AD37" s="4">
        <v>22</v>
      </c>
      <c r="AE37" s="4">
        <v>17</v>
      </c>
      <c r="AF37" s="4">
        <v>31</v>
      </c>
      <c r="AG37" s="4">
        <v>0.5</v>
      </c>
      <c r="AH37" s="4">
        <v>16.3</v>
      </c>
      <c r="AI37" s="4">
        <v>37.200000000000003</v>
      </c>
      <c r="AJ37" s="4">
        <v>26</v>
      </c>
      <c r="AK37" s="4">
        <v>3.6</v>
      </c>
      <c r="AL37" s="4">
        <v>15.9</v>
      </c>
      <c r="AM37" s="43">
        <v>2.5</v>
      </c>
    </row>
    <row r="38" spans="1:39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2679</v>
      </c>
      <c r="I38" s="4">
        <v>1324</v>
      </c>
      <c r="J38" s="4">
        <v>1347</v>
      </c>
      <c r="K38" s="4">
        <v>719</v>
      </c>
      <c r="L38" s="4">
        <v>320</v>
      </c>
      <c r="M38" s="4">
        <v>841</v>
      </c>
      <c r="N38" s="4">
        <v>294</v>
      </c>
      <c r="O38" s="4">
        <v>311</v>
      </c>
      <c r="P38" s="4">
        <v>169</v>
      </c>
      <c r="Q38" s="4">
        <v>652</v>
      </c>
      <c r="R38" s="4">
        <v>329</v>
      </c>
      <c r="S38" s="4">
        <v>314</v>
      </c>
      <c r="T38" s="4">
        <v>259</v>
      </c>
      <c r="U38" s="4">
        <v>94</v>
      </c>
      <c r="V38" s="4">
        <v>195</v>
      </c>
      <c r="W38" s="4">
        <v>67</v>
      </c>
      <c r="X38" s="4">
        <v>34</v>
      </c>
      <c r="Y38" s="4">
        <v>109</v>
      </c>
      <c r="Z38" s="4">
        <v>51</v>
      </c>
      <c r="AA38" s="4">
        <v>50</v>
      </c>
      <c r="AB38" s="4">
        <v>29</v>
      </c>
      <c r="AC38" s="4">
        <v>10</v>
      </c>
      <c r="AD38" s="4">
        <v>27</v>
      </c>
      <c r="AE38" s="4">
        <v>14</v>
      </c>
      <c r="AF38" s="4">
        <v>31</v>
      </c>
      <c r="AG38" s="4">
        <v>0.4</v>
      </c>
      <c r="AH38" s="4">
        <v>24.3</v>
      </c>
      <c r="AI38" s="4">
        <v>39.700000000000003</v>
      </c>
      <c r="AJ38" s="4">
        <v>36</v>
      </c>
      <c r="AK38" s="4">
        <v>4.0999999999999996</v>
      </c>
      <c r="AL38" s="4">
        <v>26.6</v>
      </c>
      <c r="AM38" s="43">
        <v>4</v>
      </c>
    </row>
    <row r="39" spans="1:39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2349</v>
      </c>
      <c r="I39" s="4">
        <v>1154</v>
      </c>
      <c r="J39" s="4">
        <v>1184</v>
      </c>
      <c r="K39" s="4">
        <v>655</v>
      </c>
      <c r="L39" s="4">
        <v>237</v>
      </c>
      <c r="M39" s="4">
        <v>743</v>
      </c>
      <c r="N39" s="4">
        <v>339</v>
      </c>
      <c r="O39" s="4">
        <v>289</v>
      </c>
      <c r="P39" s="4">
        <v>112</v>
      </c>
      <c r="Q39" s="4">
        <v>809</v>
      </c>
      <c r="R39" s="4">
        <v>383</v>
      </c>
      <c r="S39" s="4">
        <v>434</v>
      </c>
      <c r="T39" s="4">
        <v>332</v>
      </c>
      <c r="U39" s="4">
        <v>71</v>
      </c>
      <c r="V39" s="4">
        <v>286</v>
      </c>
      <c r="W39" s="4">
        <v>79</v>
      </c>
      <c r="X39" s="4">
        <v>55</v>
      </c>
      <c r="Y39" s="4">
        <v>248</v>
      </c>
      <c r="Z39" s="4">
        <v>116</v>
      </c>
      <c r="AA39" s="4">
        <v>140</v>
      </c>
      <c r="AB39" s="4">
        <v>77</v>
      </c>
      <c r="AC39" s="4">
        <v>30</v>
      </c>
      <c r="AD39" s="4">
        <v>54</v>
      </c>
      <c r="AE39" s="4">
        <v>33</v>
      </c>
      <c r="AF39" s="4">
        <v>59</v>
      </c>
      <c r="AG39" s="4">
        <v>0.2</v>
      </c>
      <c r="AH39" s="4">
        <v>34.4</v>
      </c>
      <c r="AI39" s="4">
        <v>41</v>
      </c>
      <c r="AJ39" s="4">
        <v>50.7</v>
      </c>
      <c r="AK39" s="4">
        <v>10.6</v>
      </c>
      <c r="AL39" s="4">
        <v>31</v>
      </c>
      <c r="AM39" s="43">
        <v>11.8</v>
      </c>
    </row>
    <row r="40" spans="1:39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2318</v>
      </c>
      <c r="I40" s="51">
        <v>1163</v>
      </c>
      <c r="J40" s="51">
        <v>1148</v>
      </c>
      <c r="K40" s="51">
        <v>654</v>
      </c>
      <c r="L40" s="51">
        <v>249</v>
      </c>
      <c r="M40" s="51">
        <v>777</v>
      </c>
      <c r="N40" s="51">
        <v>271</v>
      </c>
      <c r="O40" s="51">
        <v>251</v>
      </c>
      <c r="P40" s="51">
        <v>107</v>
      </c>
      <c r="Q40" s="51">
        <v>785</v>
      </c>
      <c r="R40" s="51">
        <v>366</v>
      </c>
      <c r="S40" s="51">
        <v>427</v>
      </c>
      <c r="T40" s="51">
        <v>322</v>
      </c>
      <c r="U40" s="51">
        <v>62</v>
      </c>
      <c r="V40" s="51">
        <v>294</v>
      </c>
      <c r="W40" s="51">
        <v>68</v>
      </c>
      <c r="X40" s="51">
        <v>42</v>
      </c>
      <c r="Y40" s="51">
        <v>233</v>
      </c>
      <c r="Z40" s="51">
        <v>119</v>
      </c>
      <c r="AA40" s="51">
        <v>123</v>
      </c>
      <c r="AB40" s="51">
        <v>65</v>
      </c>
      <c r="AC40" s="51">
        <v>33</v>
      </c>
      <c r="AD40" s="51">
        <v>53</v>
      </c>
      <c r="AE40" s="51">
        <v>21</v>
      </c>
      <c r="AF40" s="51">
        <v>47</v>
      </c>
      <c r="AG40" s="51">
        <v>0.3</v>
      </c>
      <c r="AH40" s="51">
        <v>33.9</v>
      </c>
      <c r="AI40" s="51">
        <v>41</v>
      </c>
      <c r="AJ40" s="51">
        <v>49.2</v>
      </c>
      <c r="AK40" s="51">
        <v>10.1</v>
      </c>
      <c r="AL40" s="51">
        <v>27.9</v>
      </c>
      <c r="AM40" s="52">
        <v>9.9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17" customWidth="1"/>
    <col min="2" max="2" width="20" customWidth="1"/>
    <col min="3" max="3" width="27.85546875" customWidth="1"/>
    <col min="4" max="4" width="17.5703125" customWidth="1"/>
    <col min="5" max="5" width="17.85546875" customWidth="1"/>
    <col min="6" max="6" width="21" customWidth="1"/>
    <col min="7" max="7" width="24" customWidth="1"/>
    <col min="8" max="8" width="15" customWidth="1"/>
    <col min="9" max="9" width="16.42578125" customWidth="1"/>
    <col min="10" max="10" width="16" customWidth="1"/>
    <col min="11" max="11" width="21.85546875" customWidth="1"/>
    <col min="12" max="12" width="30" customWidth="1"/>
    <col min="13" max="13" width="29.5703125" customWidth="1"/>
    <col min="14" max="14" width="27.28515625" customWidth="1"/>
    <col min="15" max="15" width="26.85546875" customWidth="1"/>
    <col min="16" max="16" width="26.42578125" customWidth="1"/>
    <col min="17" max="17" width="36.28515625" customWidth="1"/>
    <col min="18" max="18" width="44.42578125" customWidth="1"/>
    <col min="19" max="19" width="44" customWidth="1"/>
    <col min="20" max="20" width="46.28515625" customWidth="1"/>
    <col min="21" max="21" width="54.42578125" customWidth="1"/>
    <col min="22" max="22" width="54" customWidth="1"/>
    <col min="23" max="23" width="36.85546875" customWidth="1"/>
    <col min="24" max="24" width="45" customWidth="1"/>
    <col min="25" max="25" width="44.5703125" customWidth="1"/>
    <col min="26" max="26" width="40.42578125" customWidth="1"/>
    <col min="27" max="27" width="41.140625" customWidth="1"/>
    <col min="28" max="28" width="61.85546875" customWidth="1"/>
    <col min="29" max="29" width="70" customWidth="1"/>
    <col min="30" max="30" width="69.5703125" customWidth="1"/>
    <col min="31" max="31" width="51" customWidth="1"/>
    <col min="32" max="32" width="59.140625" customWidth="1"/>
    <col min="33" max="33" width="58.7109375" customWidth="1"/>
    <col min="34" max="34" width="47" customWidth="1"/>
    <col min="35" max="35" width="55.140625" customWidth="1"/>
    <col min="36" max="36" width="54.7109375" customWidth="1"/>
    <col min="37" max="37" width="58.5703125" customWidth="1"/>
    <col min="38" max="38" width="66.7109375" customWidth="1"/>
    <col min="39" max="39" width="66.28515625" customWidth="1"/>
    <col min="40" max="40" width="62.42578125" customWidth="1"/>
    <col min="41" max="41" width="70.5703125" customWidth="1"/>
    <col min="42" max="42" width="70.140625" customWidth="1"/>
    <col min="43" max="43" width="66.85546875" customWidth="1"/>
    <col min="44" max="45" width="73.42578125" customWidth="1"/>
    <col min="46" max="46" width="66.5703125" customWidth="1"/>
    <col min="47" max="48" width="73.42578125" customWidth="1"/>
    <col min="49" max="49" width="60" customWidth="1"/>
    <col min="50" max="50" width="68.140625" customWidth="1"/>
    <col min="51" max="51" width="67.7109375" customWidth="1"/>
    <col min="52" max="52" width="73.42578125" customWidth="1"/>
    <col min="53" max="53" width="61.140625" customWidth="1"/>
    <col min="54" max="54" width="73.42578125" customWidth="1"/>
    <col min="55" max="55" width="71.85546875" customWidth="1"/>
    <col min="56" max="56" width="51.5703125" customWidth="1"/>
    <col min="57" max="57" width="40.42578125" customWidth="1"/>
    <col min="58" max="58" width="48.5703125" customWidth="1"/>
    <col min="59" max="59" width="48.140625" customWidth="1"/>
    <col min="60" max="60" width="18.7109375" customWidth="1"/>
    <col min="61" max="61" width="19.85546875" customWidth="1"/>
    <col min="62" max="62" width="41.7109375" customWidth="1"/>
    <col min="63" max="63" width="27.42578125" customWidth="1"/>
    <col min="64" max="64" width="27" customWidth="1"/>
    <col min="65" max="65" width="70" customWidth="1"/>
    <col min="66" max="66" width="40.42578125" customWidth="1"/>
    <col min="67" max="67" width="57.5703125" customWidth="1"/>
    <col min="68" max="68" width="70.5703125" customWidth="1"/>
    <col min="69" max="69" width="73.42578125" customWidth="1"/>
    <col min="70" max="70" width="60" customWidth="1"/>
    <col min="71" max="71" width="72.140625" customWidth="1"/>
  </cols>
  <sheetData>
    <row r="1" spans="1:71">
      <c r="A1" s="10" t="s">
        <v>811</v>
      </c>
      <c r="B1" s="1"/>
      <c r="C1" s="1"/>
      <c r="D1" s="1"/>
      <c r="E1" s="1"/>
      <c r="F1" s="1"/>
      <c r="G1" s="2" t="s">
        <v>0</v>
      </c>
      <c r="H1" s="2">
        <f t="shared" ref="H1:AM1" si="0">SUBTOTAL(9,H3:H40)</f>
        <v>16590</v>
      </c>
      <c r="I1" s="2">
        <f t="shared" si="0"/>
        <v>9097</v>
      </c>
      <c r="J1" s="2">
        <f t="shared" si="0"/>
        <v>7531</v>
      </c>
      <c r="K1" s="2">
        <f t="shared" si="0"/>
        <v>14747</v>
      </c>
      <c r="L1" s="2">
        <f t="shared" si="0"/>
        <v>8024</v>
      </c>
      <c r="M1" s="2">
        <f t="shared" si="0"/>
        <v>6736</v>
      </c>
      <c r="N1" s="2">
        <f t="shared" si="0"/>
        <v>10109</v>
      </c>
      <c r="O1" s="2">
        <f t="shared" si="0"/>
        <v>5579</v>
      </c>
      <c r="P1" s="2">
        <f t="shared" si="0"/>
        <v>4535</v>
      </c>
      <c r="Q1" s="2">
        <f t="shared" si="0"/>
        <v>2210</v>
      </c>
      <c r="R1" s="2">
        <f t="shared" si="0"/>
        <v>1113</v>
      </c>
      <c r="S1" s="2">
        <f t="shared" si="0"/>
        <v>1082</v>
      </c>
      <c r="T1" s="2">
        <f t="shared" si="0"/>
        <v>8705</v>
      </c>
      <c r="U1" s="2">
        <f t="shared" si="0"/>
        <v>4769</v>
      </c>
      <c r="V1" s="2">
        <f t="shared" si="0"/>
        <v>3940</v>
      </c>
      <c r="W1" s="2">
        <f t="shared" si="0"/>
        <v>3862</v>
      </c>
      <c r="X1" s="2">
        <f t="shared" si="0"/>
        <v>2157</v>
      </c>
      <c r="Y1" s="2">
        <f t="shared" si="0"/>
        <v>1693</v>
      </c>
      <c r="Z1" s="2">
        <f t="shared" si="0"/>
        <v>10854</v>
      </c>
      <c r="AA1" s="2">
        <f t="shared" si="0"/>
        <v>3911</v>
      </c>
      <c r="AB1" s="2">
        <f t="shared" si="0"/>
        <v>3664</v>
      </c>
      <c r="AC1" s="2">
        <f t="shared" si="0"/>
        <v>1907</v>
      </c>
      <c r="AD1" s="2">
        <f t="shared" si="0"/>
        <v>1758</v>
      </c>
      <c r="AE1" s="2">
        <f t="shared" si="0"/>
        <v>4897</v>
      </c>
      <c r="AF1" s="2">
        <f t="shared" si="0"/>
        <v>3015</v>
      </c>
      <c r="AG1" s="2">
        <f t="shared" si="0"/>
        <v>1878</v>
      </c>
      <c r="AH1" s="2">
        <f t="shared" si="0"/>
        <v>3224</v>
      </c>
      <c r="AI1" s="2">
        <f t="shared" si="0"/>
        <v>1717</v>
      </c>
      <c r="AJ1" s="2">
        <f t="shared" si="0"/>
        <v>1530</v>
      </c>
      <c r="AK1" s="2">
        <f t="shared" si="0"/>
        <v>2882</v>
      </c>
      <c r="AL1" s="2">
        <f t="shared" si="0"/>
        <v>1387</v>
      </c>
      <c r="AM1" s="2">
        <f t="shared" si="0"/>
        <v>1516</v>
      </c>
      <c r="AN1" s="2">
        <f t="shared" ref="AN1:BI1" si="1">SUBTOTAL(9,AN3:AN40)</f>
        <v>6185</v>
      </c>
      <c r="AO1" s="2">
        <f t="shared" si="1"/>
        <v>3409</v>
      </c>
      <c r="AP1" s="2">
        <f t="shared" si="1"/>
        <v>2784</v>
      </c>
      <c r="AQ1" s="2">
        <f t="shared" si="1"/>
        <v>2730</v>
      </c>
      <c r="AR1" s="2">
        <f t="shared" si="1"/>
        <v>1514</v>
      </c>
      <c r="AS1" s="2">
        <f t="shared" si="1"/>
        <v>1243</v>
      </c>
      <c r="AT1" s="2">
        <f t="shared" si="1"/>
        <v>2888</v>
      </c>
      <c r="AU1" s="2">
        <f t="shared" si="1"/>
        <v>1529</v>
      </c>
      <c r="AV1" s="2">
        <f t="shared" si="1"/>
        <v>1362</v>
      </c>
      <c r="AW1" s="2">
        <f t="shared" si="1"/>
        <v>2927</v>
      </c>
      <c r="AX1" s="2">
        <f t="shared" si="1"/>
        <v>1617</v>
      </c>
      <c r="AY1" s="2">
        <f t="shared" si="1"/>
        <v>1372</v>
      </c>
      <c r="AZ1" s="2">
        <f t="shared" si="1"/>
        <v>805</v>
      </c>
      <c r="BA1" s="2">
        <f t="shared" si="1"/>
        <v>1096</v>
      </c>
      <c r="BB1" s="2">
        <f t="shared" si="1"/>
        <v>1848</v>
      </c>
      <c r="BC1" s="2">
        <f t="shared" si="1"/>
        <v>926</v>
      </c>
      <c r="BD1" s="2">
        <f t="shared" si="1"/>
        <v>10102</v>
      </c>
      <c r="BE1" s="2">
        <f t="shared" si="1"/>
        <v>7068</v>
      </c>
      <c r="BF1" s="2">
        <f t="shared" si="1"/>
        <v>3702</v>
      </c>
      <c r="BG1" s="2">
        <f t="shared" si="1"/>
        <v>3335</v>
      </c>
      <c r="BH1" s="2">
        <f t="shared" si="1"/>
        <v>13.399999999999995</v>
      </c>
      <c r="BI1" s="2">
        <f t="shared" si="1"/>
        <v>99506</v>
      </c>
      <c r="BJ1" s="2">
        <f>SUBTOTAL(1,BJ3:BJ40)</f>
        <v>17.171052631578949</v>
      </c>
      <c r="BK1" s="2">
        <f t="shared" ref="BK1:BS1" si="2">SUBTOTAL(1,BK3:BK40)</f>
        <v>9.4763157894736825</v>
      </c>
      <c r="BL1" s="2">
        <f t="shared" si="2"/>
        <v>7.7184210526315793</v>
      </c>
      <c r="BM1" s="2">
        <f t="shared" si="2"/>
        <v>88.642105263157902</v>
      </c>
      <c r="BN1" s="2">
        <f t="shared" si="2"/>
        <v>14.871052631578944</v>
      </c>
      <c r="BO1" s="2">
        <f t="shared" si="2"/>
        <v>0.80263157894736847</v>
      </c>
      <c r="BP1" s="2">
        <f t="shared" si="2"/>
        <v>20.131578947368418</v>
      </c>
      <c r="BQ1" s="2">
        <f t="shared" si="2"/>
        <v>17.80263157894737</v>
      </c>
      <c r="BR1" s="2">
        <f t="shared" si="2"/>
        <v>47.723684210526301</v>
      </c>
      <c r="BS1" s="2">
        <f t="shared" si="2"/>
        <v>42.392105263157895</v>
      </c>
    </row>
    <row r="2" spans="1:71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708</v>
      </c>
      <c r="I2" s="46" t="s">
        <v>709</v>
      </c>
      <c r="J2" s="46" t="s">
        <v>710</v>
      </c>
      <c r="K2" s="46" t="s">
        <v>711</v>
      </c>
      <c r="L2" s="46" t="s">
        <v>712</v>
      </c>
      <c r="M2" s="46" t="s">
        <v>713</v>
      </c>
      <c r="N2" s="46" t="s">
        <v>650</v>
      </c>
      <c r="O2" s="46" t="s">
        <v>714</v>
      </c>
      <c r="P2" s="46" t="s">
        <v>715</v>
      </c>
      <c r="Q2" s="46" t="s">
        <v>716</v>
      </c>
      <c r="R2" s="46" t="s">
        <v>717</v>
      </c>
      <c r="S2" s="46" t="s">
        <v>718</v>
      </c>
      <c r="T2" s="46" t="s">
        <v>719</v>
      </c>
      <c r="U2" s="46" t="s">
        <v>720</v>
      </c>
      <c r="V2" s="46" t="s">
        <v>721</v>
      </c>
      <c r="W2" s="46" t="s">
        <v>722</v>
      </c>
      <c r="X2" s="46" t="s">
        <v>723</v>
      </c>
      <c r="Y2" s="46" t="s">
        <v>724</v>
      </c>
      <c r="Z2" s="46" t="s">
        <v>725</v>
      </c>
      <c r="AA2" s="46" t="s">
        <v>726</v>
      </c>
      <c r="AB2" s="46" t="s">
        <v>727</v>
      </c>
      <c r="AC2" s="46" t="s">
        <v>728</v>
      </c>
      <c r="AD2" s="46" t="s">
        <v>729</v>
      </c>
      <c r="AE2" s="46" t="s">
        <v>730</v>
      </c>
      <c r="AF2" s="46" t="s">
        <v>731</v>
      </c>
      <c r="AG2" s="46" t="s">
        <v>732</v>
      </c>
      <c r="AH2" s="46" t="s">
        <v>733</v>
      </c>
      <c r="AI2" s="46" t="s">
        <v>734</v>
      </c>
      <c r="AJ2" s="46" t="s">
        <v>735</v>
      </c>
      <c r="AK2" s="46" t="s">
        <v>736</v>
      </c>
      <c r="AL2" s="46" t="s">
        <v>737</v>
      </c>
      <c r="AM2" s="46" t="s">
        <v>738</v>
      </c>
      <c r="AN2" s="46" t="s">
        <v>739</v>
      </c>
      <c r="AO2" s="46" t="s">
        <v>740</v>
      </c>
      <c r="AP2" s="46" t="s">
        <v>741</v>
      </c>
      <c r="AQ2" s="46" t="s">
        <v>742</v>
      </c>
      <c r="AR2" s="46" t="s">
        <v>743</v>
      </c>
      <c r="AS2" s="46" t="s">
        <v>744</v>
      </c>
      <c r="AT2" s="46" t="s">
        <v>745</v>
      </c>
      <c r="AU2" s="46" t="s">
        <v>746</v>
      </c>
      <c r="AV2" s="46" t="s">
        <v>747</v>
      </c>
      <c r="AW2" s="46" t="s">
        <v>748</v>
      </c>
      <c r="AX2" s="46" t="s">
        <v>749</v>
      </c>
      <c r="AY2" s="46" t="s">
        <v>750</v>
      </c>
      <c r="AZ2" s="46" t="s">
        <v>751</v>
      </c>
      <c r="BA2" s="46" t="s">
        <v>752</v>
      </c>
      <c r="BB2" s="46" t="s">
        <v>753</v>
      </c>
      <c r="BC2" s="46" t="s">
        <v>754</v>
      </c>
      <c r="BD2" s="46" t="s">
        <v>755</v>
      </c>
      <c r="BE2" s="46" t="s">
        <v>756</v>
      </c>
      <c r="BF2" s="46" t="s">
        <v>757</v>
      </c>
      <c r="BG2" s="46" t="s">
        <v>758</v>
      </c>
      <c r="BH2" s="47" t="s">
        <v>80</v>
      </c>
      <c r="BI2" s="47" t="s">
        <v>759</v>
      </c>
      <c r="BJ2" s="47" t="s">
        <v>760</v>
      </c>
      <c r="BK2" s="47" t="s">
        <v>761</v>
      </c>
      <c r="BL2" s="47" t="s">
        <v>762</v>
      </c>
      <c r="BM2" s="47" t="s">
        <v>763</v>
      </c>
      <c r="BN2" s="47" t="s">
        <v>764</v>
      </c>
      <c r="BO2" s="47" t="s">
        <v>765</v>
      </c>
      <c r="BP2" s="47" t="s">
        <v>766</v>
      </c>
      <c r="BQ2" s="47" t="s">
        <v>767</v>
      </c>
      <c r="BR2" s="47" t="s">
        <v>768</v>
      </c>
      <c r="BS2" s="48" t="s">
        <v>769</v>
      </c>
    </row>
    <row r="3" spans="1:71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4">
        <v>425</v>
      </c>
      <c r="I3" s="4">
        <v>236</v>
      </c>
      <c r="J3" s="4">
        <v>193</v>
      </c>
      <c r="K3" s="4">
        <v>394</v>
      </c>
      <c r="L3" s="4">
        <v>219</v>
      </c>
      <c r="M3" s="4">
        <v>170</v>
      </c>
      <c r="N3" s="4">
        <v>276</v>
      </c>
      <c r="O3" s="4">
        <v>150</v>
      </c>
      <c r="P3" s="4">
        <v>123</v>
      </c>
      <c r="Q3" s="4">
        <v>70</v>
      </c>
      <c r="R3" s="4">
        <v>40</v>
      </c>
      <c r="S3" s="4">
        <v>38</v>
      </c>
      <c r="T3" s="4">
        <v>227</v>
      </c>
      <c r="U3" s="4">
        <v>129</v>
      </c>
      <c r="V3" s="4">
        <v>101</v>
      </c>
      <c r="W3" s="4">
        <v>97</v>
      </c>
      <c r="X3" s="4">
        <v>53</v>
      </c>
      <c r="Y3" s="4">
        <v>39</v>
      </c>
      <c r="Z3" s="4">
        <v>268</v>
      </c>
      <c r="AA3" s="4">
        <v>122</v>
      </c>
      <c r="AB3" s="4">
        <v>109</v>
      </c>
      <c r="AC3" s="4">
        <v>55</v>
      </c>
      <c r="AD3" s="4">
        <v>58</v>
      </c>
      <c r="AE3" s="4">
        <v>131</v>
      </c>
      <c r="AF3" s="4">
        <v>80</v>
      </c>
      <c r="AG3" s="4">
        <v>47</v>
      </c>
      <c r="AH3" s="4">
        <v>75</v>
      </c>
      <c r="AI3" s="4">
        <v>39</v>
      </c>
      <c r="AJ3" s="4">
        <v>39</v>
      </c>
      <c r="AK3" s="4">
        <v>74</v>
      </c>
      <c r="AL3" s="4">
        <v>48</v>
      </c>
      <c r="AM3" s="4">
        <v>30</v>
      </c>
      <c r="AN3" s="4">
        <v>184</v>
      </c>
      <c r="AO3" s="4">
        <v>94</v>
      </c>
      <c r="AP3" s="4">
        <v>87</v>
      </c>
      <c r="AQ3" s="4">
        <v>68</v>
      </c>
      <c r="AR3" s="4">
        <v>33</v>
      </c>
      <c r="AS3" s="4">
        <v>32</v>
      </c>
      <c r="AT3" s="4">
        <v>76</v>
      </c>
      <c r="AU3" s="4">
        <v>40</v>
      </c>
      <c r="AV3" s="4">
        <v>31</v>
      </c>
      <c r="AW3" s="4">
        <v>70</v>
      </c>
      <c r="AX3" s="4">
        <v>48</v>
      </c>
      <c r="AY3" s="4">
        <v>25</v>
      </c>
      <c r="AZ3" s="4">
        <v>32</v>
      </c>
      <c r="BA3" s="4">
        <v>28</v>
      </c>
      <c r="BB3" s="4">
        <v>60</v>
      </c>
      <c r="BC3" s="4">
        <v>19</v>
      </c>
      <c r="BD3" s="4">
        <v>255</v>
      </c>
      <c r="BE3" s="4">
        <v>196</v>
      </c>
      <c r="BF3" s="4">
        <v>108</v>
      </c>
      <c r="BG3" s="4">
        <v>84</v>
      </c>
      <c r="BH3" s="4">
        <v>0.3</v>
      </c>
      <c r="BI3" s="4">
        <v>2497</v>
      </c>
      <c r="BJ3" s="4">
        <v>17</v>
      </c>
      <c r="BK3" s="4">
        <v>9.5</v>
      </c>
      <c r="BL3" s="4">
        <v>7.7</v>
      </c>
      <c r="BM3" s="4">
        <v>92.7</v>
      </c>
      <c r="BN3" s="4">
        <v>17.8</v>
      </c>
      <c r="BO3" s="4">
        <v>0.8</v>
      </c>
      <c r="BP3" s="4">
        <v>17.8</v>
      </c>
      <c r="BQ3" s="4">
        <v>16.5</v>
      </c>
      <c r="BR3" s="4">
        <v>49.7</v>
      </c>
      <c r="BS3" s="43">
        <v>46.1</v>
      </c>
    </row>
    <row r="4" spans="1:71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4">
        <v>612</v>
      </c>
      <c r="I4" s="4">
        <v>344</v>
      </c>
      <c r="J4" s="4">
        <v>272</v>
      </c>
      <c r="K4" s="4">
        <v>551</v>
      </c>
      <c r="L4" s="4">
        <v>307</v>
      </c>
      <c r="M4" s="4">
        <v>240</v>
      </c>
      <c r="N4" s="4">
        <v>343</v>
      </c>
      <c r="O4" s="4">
        <v>194</v>
      </c>
      <c r="P4" s="4">
        <v>145</v>
      </c>
      <c r="Q4" s="4">
        <v>82</v>
      </c>
      <c r="R4" s="4">
        <v>38</v>
      </c>
      <c r="S4" s="4">
        <v>51</v>
      </c>
      <c r="T4" s="4">
        <v>325</v>
      </c>
      <c r="U4" s="4">
        <v>190</v>
      </c>
      <c r="V4" s="4">
        <v>140</v>
      </c>
      <c r="W4" s="4">
        <v>133</v>
      </c>
      <c r="X4" s="4">
        <v>79</v>
      </c>
      <c r="Y4" s="4">
        <v>57</v>
      </c>
      <c r="Z4" s="4">
        <v>436</v>
      </c>
      <c r="AA4" s="4">
        <v>119</v>
      </c>
      <c r="AB4" s="4">
        <v>115</v>
      </c>
      <c r="AC4" s="4">
        <v>62</v>
      </c>
      <c r="AD4" s="4">
        <v>57</v>
      </c>
      <c r="AE4" s="4">
        <v>178</v>
      </c>
      <c r="AF4" s="4">
        <v>103</v>
      </c>
      <c r="AG4" s="4">
        <v>71</v>
      </c>
      <c r="AH4" s="4">
        <v>108</v>
      </c>
      <c r="AI4" s="4">
        <v>58</v>
      </c>
      <c r="AJ4" s="4">
        <v>54</v>
      </c>
      <c r="AK4" s="4">
        <v>153</v>
      </c>
      <c r="AL4" s="4">
        <v>88</v>
      </c>
      <c r="AM4" s="4">
        <v>62</v>
      </c>
      <c r="AN4" s="4">
        <v>211</v>
      </c>
      <c r="AO4" s="4">
        <v>116</v>
      </c>
      <c r="AP4" s="4">
        <v>91</v>
      </c>
      <c r="AQ4" s="4">
        <v>117</v>
      </c>
      <c r="AR4" s="4">
        <v>69</v>
      </c>
      <c r="AS4" s="4">
        <v>52</v>
      </c>
      <c r="AT4" s="4">
        <v>116</v>
      </c>
      <c r="AU4" s="4">
        <v>67</v>
      </c>
      <c r="AV4" s="4">
        <v>52</v>
      </c>
      <c r="AW4" s="4">
        <v>104</v>
      </c>
      <c r="AX4" s="4">
        <v>59</v>
      </c>
      <c r="AY4" s="4">
        <v>49</v>
      </c>
      <c r="AZ4" s="4">
        <v>29</v>
      </c>
      <c r="BA4" s="4">
        <v>37</v>
      </c>
      <c r="BB4" s="4">
        <v>81</v>
      </c>
      <c r="BC4" s="4">
        <v>33</v>
      </c>
      <c r="BD4" s="4">
        <v>372</v>
      </c>
      <c r="BE4" s="4">
        <v>231</v>
      </c>
      <c r="BF4" s="4">
        <v>118</v>
      </c>
      <c r="BG4" s="4">
        <v>109</v>
      </c>
      <c r="BH4" s="4">
        <v>0.1</v>
      </c>
      <c r="BI4" s="4">
        <v>4255</v>
      </c>
      <c r="BJ4" s="4">
        <v>14.4</v>
      </c>
      <c r="BK4" s="4">
        <v>8.1</v>
      </c>
      <c r="BL4" s="4">
        <v>6.4</v>
      </c>
      <c r="BM4" s="4">
        <v>90</v>
      </c>
      <c r="BN4" s="4">
        <v>14.9</v>
      </c>
      <c r="BO4" s="4">
        <v>0.7</v>
      </c>
      <c r="BP4" s="4">
        <v>18.899999999999999</v>
      </c>
      <c r="BQ4" s="4">
        <v>17</v>
      </c>
      <c r="BR4" s="4">
        <v>41.9</v>
      </c>
      <c r="BS4" s="43">
        <v>37.700000000000003</v>
      </c>
    </row>
    <row r="5" spans="1:71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4">
        <v>556</v>
      </c>
      <c r="I5" s="4">
        <v>309</v>
      </c>
      <c r="J5" s="4">
        <v>252</v>
      </c>
      <c r="K5" s="4">
        <v>516</v>
      </c>
      <c r="L5" s="4">
        <v>281</v>
      </c>
      <c r="M5" s="4">
        <v>238</v>
      </c>
      <c r="N5" s="4">
        <v>354</v>
      </c>
      <c r="O5" s="4">
        <v>190</v>
      </c>
      <c r="P5" s="4">
        <v>169</v>
      </c>
      <c r="Q5" s="4">
        <v>67</v>
      </c>
      <c r="R5" s="4">
        <v>35</v>
      </c>
      <c r="S5" s="4">
        <v>36</v>
      </c>
      <c r="T5" s="4">
        <v>309</v>
      </c>
      <c r="U5" s="4">
        <v>164</v>
      </c>
      <c r="V5" s="4">
        <v>141</v>
      </c>
      <c r="W5" s="4">
        <v>139</v>
      </c>
      <c r="X5" s="4">
        <v>82</v>
      </c>
      <c r="Y5" s="4">
        <v>53</v>
      </c>
      <c r="Z5" s="4">
        <v>362</v>
      </c>
      <c r="AA5" s="4">
        <v>158</v>
      </c>
      <c r="AB5" s="4">
        <v>140</v>
      </c>
      <c r="AC5" s="4">
        <v>69</v>
      </c>
      <c r="AD5" s="4">
        <v>67</v>
      </c>
      <c r="AE5" s="4">
        <v>172</v>
      </c>
      <c r="AF5" s="4">
        <v>112</v>
      </c>
      <c r="AG5" s="4">
        <v>57</v>
      </c>
      <c r="AH5" s="4">
        <v>115</v>
      </c>
      <c r="AI5" s="4">
        <v>58</v>
      </c>
      <c r="AJ5" s="4">
        <v>60</v>
      </c>
      <c r="AK5" s="4">
        <v>86</v>
      </c>
      <c r="AL5" s="4">
        <v>38</v>
      </c>
      <c r="AM5" s="4">
        <v>51</v>
      </c>
      <c r="AN5" s="4">
        <v>237</v>
      </c>
      <c r="AO5" s="4">
        <v>127</v>
      </c>
      <c r="AP5" s="4">
        <v>105</v>
      </c>
      <c r="AQ5" s="4">
        <v>87</v>
      </c>
      <c r="AR5" s="4">
        <v>51</v>
      </c>
      <c r="AS5" s="4">
        <v>41</v>
      </c>
      <c r="AT5" s="4">
        <v>85</v>
      </c>
      <c r="AU5" s="4">
        <v>43</v>
      </c>
      <c r="AV5" s="4">
        <v>46</v>
      </c>
      <c r="AW5" s="4">
        <v>102</v>
      </c>
      <c r="AX5" s="4">
        <v>65</v>
      </c>
      <c r="AY5" s="4">
        <v>42</v>
      </c>
      <c r="AZ5" s="4">
        <v>23</v>
      </c>
      <c r="BA5" s="4">
        <v>30</v>
      </c>
      <c r="BB5" s="4">
        <v>71</v>
      </c>
      <c r="BC5" s="4">
        <v>21</v>
      </c>
      <c r="BD5" s="4">
        <v>370</v>
      </c>
      <c r="BE5" s="4">
        <v>271</v>
      </c>
      <c r="BF5" s="4">
        <v>142</v>
      </c>
      <c r="BG5" s="4">
        <v>125</v>
      </c>
      <c r="BH5" s="4">
        <v>0.4</v>
      </c>
      <c r="BI5" s="4">
        <v>3027</v>
      </c>
      <c r="BJ5" s="4">
        <v>18.399999999999999</v>
      </c>
      <c r="BK5" s="4">
        <v>10.199999999999999</v>
      </c>
      <c r="BL5" s="4">
        <v>8.3000000000000007</v>
      </c>
      <c r="BM5" s="4">
        <v>92.8</v>
      </c>
      <c r="BN5" s="4">
        <v>13</v>
      </c>
      <c r="BO5" s="4">
        <v>0.8</v>
      </c>
      <c r="BP5" s="4">
        <v>19.8</v>
      </c>
      <c r="BQ5" s="4">
        <v>18.3</v>
      </c>
      <c r="BR5" s="4">
        <v>52.5</v>
      </c>
      <c r="BS5" s="43">
        <v>48.7</v>
      </c>
    </row>
    <row r="6" spans="1:71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4">
        <v>205</v>
      </c>
      <c r="I6" s="4">
        <v>122</v>
      </c>
      <c r="J6" s="4">
        <v>78</v>
      </c>
      <c r="K6" s="4">
        <v>183</v>
      </c>
      <c r="L6" s="4">
        <v>112</v>
      </c>
      <c r="M6" s="4">
        <v>74</v>
      </c>
      <c r="N6" s="4">
        <v>126</v>
      </c>
      <c r="O6" s="4">
        <v>80</v>
      </c>
      <c r="P6" s="4">
        <v>49</v>
      </c>
      <c r="Q6" s="4">
        <v>19</v>
      </c>
      <c r="R6" s="4">
        <v>16</v>
      </c>
      <c r="S6" s="4">
        <v>6</v>
      </c>
      <c r="T6" s="4">
        <v>105</v>
      </c>
      <c r="U6" s="4">
        <v>69</v>
      </c>
      <c r="V6" s="4">
        <v>42</v>
      </c>
      <c r="W6" s="4">
        <v>56</v>
      </c>
      <c r="X6" s="4">
        <v>29</v>
      </c>
      <c r="Y6" s="4">
        <v>34</v>
      </c>
      <c r="Z6" s="4">
        <v>117</v>
      </c>
      <c r="AA6" s="4">
        <v>69</v>
      </c>
      <c r="AB6" s="4">
        <v>51</v>
      </c>
      <c r="AC6" s="4">
        <v>26</v>
      </c>
      <c r="AD6" s="4">
        <v>30</v>
      </c>
      <c r="AE6" s="4">
        <v>72</v>
      </c>
      <c r="AF6" s="4">
        <v>45</v>
      </c>
      <c r="AG6" s="4">
        <v>24</v>
      </c>
      <c r="AH6" s="4">
        <v>54</v>
      </c>
      <c r="AI6" s="4">
        <v>33</v>
      </c>
      <c r="AJ6" s="4">
        <v>17</v>
      </c>
      <c r="AK6" s="4">
        <v>17</v>
      </c>
      <c r="AL6" s="4">
        <v>6</v>
      </c>
      <c r="AM6" s="4">
        <v>7</v>
      </c>
      <c r="AN6" s="4">
        <v>65</v>
      </c>
      <c r="AO6" s="4">
        <v>39</v>
      </c>
      <c r="AP6" s="4">
        <v>30</v>
      </c>
      <c r="AQ6" s="4">
        <v>36</v>
      </c>
      <c r="AR6" s="4">
        <v>22</v>
      </c>
      <c r="AS6" s="4">
        <v>11</v>
      </c>
      <c r="AT6" s="4">
        <v>42</v>
      </c>
      <c r="AU6" s="4">
        <v>28</v>
      </c>
      <c r="AV6" s="4">
        <v>19</v>
      </c>
      <c r="AW6" s="4">
        <v>43</v>
      </c>
      <c r="AX6" s="4">
        <v>20</v>
      </c>
      <c r="AY6" s="4">
        <v>19</v>
      </c>
      <c r="AZ6" s="4">
        <v>13</v>
      </c>
      <c r="BA6" s="4">
        <v>5</v>
      </c>
      <c r="BB6" s="4">
        <v>28</v>
      </c>
      <c r="BC6" s="4">
        <v>11</v>
      </c>
      <c r="BD6" s="4">
        <v>125</v>
      </c>
      <c r="BE6" s="4">
        <v>90</v>
      </c>
      <c r="BF6" s="4">
        <v>51</v>
      </c>
      <c r="BG6" s="4">
        <v>44</v>
      </c>
      <c r="BH6" s="4">
        <v>0.1</v>
      </c>
      <c r="BI6" s="4">
        <v>2019</v>
      </c>
      <c r="BJ6" s="4">
        <v>10.199999999999999</v>
      </c>
      <c r="BK6" s="4">
        <v>6</v>
      </c>
      <c r="BL6" s="4">
        <v>3.9</v>
      </c>
      <c r="BM6" s="4">
        <v>89.3</v>
      </c>
      <c r="BN6" s="4">
        <v>10.4</v>
      </c>
      <c r="BO6" s="4">
        <v>1</v>
      </c>
      <c r="BP6" s="4">
        <v>23.5</v>
      </c>
      <c r="BQ6" s="4">
        <v>21</v>
      </c>
      <c r="BR6" s="4">
        <v>49.2</v>
      </c>
      <c r="BS6" s="43">
        <v>43.9</v>
      </c>
    </row>
    <row r="7" spans="1:71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4">
        <v>265</v>
      </c>
      <c r="I7" s="4">
        <v>160</v>
      </c>
      <c r="J7" s="4">
        <v>110</v>
      </c>
      <c r="K7" s="4">
        <v>241</v>
      </c>
      <c r="L7" s="4">
        <v>138</v>
      </c>
      <c r="M7" s="4">
        <v>99</v>
      </c>
      <c r="N7" s="4">
        <v>176</v>
      </c>
      <c r="O7" s="4">
        <v>107</v>
      </c>
      <c r="P7" s="4">
        <v>65</v>
      </c>
      <c r="Q7" s="4">
        <v>41</v>
      </c>
      <c r="R7" s="4">
        <v>27</v>
      </c>
      <c r="S7" s="4">
        <v>17</v>
      </c>
      <c r="T7" s="4">
        <v>139</v>
      </c>
      <c r="U7" s="4">
        <v>81</v>
      </c>
      <c r="V7" s="4">
        <v>62</v>
      </c>
      <c r="W7" s="4">
        <v>62</v>
      </c>
      <c r="X7" s="4">
        <v>36</v>
      </c>
      <c r="Y7" s="4">
        <v>21</v>
      </c>
      <c r="Z7" s="4">
        <v>166</v>
      </c>
      <c r="AA7" s="4">
        <v>70</v>
      </c>
      <c r="AB7" s="4">
        <v>51</v>
      </c>
      <c r="AC7" s="4">
        <v>27</v>
      </c>
      <c r="AD7" s="4">
        <v>29</v>
      </c>
      <c r="AE7" s="4">
        <v>90</v>
      </c>
      <c r="AF7" s="4">
        <v>64</v>
      </c>
      <c r="AG7" s="4">
        <v>22</v>
      </c>
      <c r="AH7" s="4">
        <v>58</v>
      </c>
      <c r="AI7" s="4">
        <v>33</v>
      </c>
      <c r="AJ7" s="4">
        <v>19</v>
      </c>
      <c r="AK7" s="4">
        <v>39</v>
      </c>
      <c r="AL7" s="4">
        <v>21</v>
      </c>
      <c r="AM7" s="4">
        <v>23</v>
      </c>
      <c r="AN7" s="4">
        <v>100</v>
      </c>
      <c r="AO7" s="4">
        <v>64</v>
      </c>
      <c r="AP7" s="4">
        <v>41</v>
      </c>
      <c r="AQ7" s="4">
        <v>45</v>
      </c>
      <c r="AR7" s="4">
        <v>28</v>
      </c>
      <c r="AS7" s="4">
        <v>13</v>
      </c>
      <c r="AT7" s="4">
        <v>45</v>
      </c>
      <c r="AU7" s="4">
        <v>25</v>
      </c>
      <c r="AV7" s="4">
        <v>16</v>
      </c>
      <c r="AW7" s="4">
        <v>47</v>
      </c>
      <c r="AX7" s="4">
        <v>25</v>
      </c>
      <c r="AY7" s="4">
        <v>25</v>
      </c>
      <c r="AZ7" s="4">
        <v>14</v>
      </c>
      <c r="BA7" s="4">
        <v>17</v>
      </c>
      <c r="BB7" s="4">
        <v>29</v>
      </c>
      <c r="BC7" s="4">
        <v>9</v>
      </c>
      <c r="BD7" s="4">
        <v>162</v>
      </c>
      <c r="BE7" s="4">
        <v>123</v>
      </c>
      <c r="BF7" s="4">
        <v>72</v>
      </c>
      <c r="BG7" s="4">
        <v>56</v>
      </c>
      <c r="BH7" s="4">
        <v>0.4</v>
      </c>
      <c r="BI7" s="4">
        <v>1683</v>
      </c>
      <c r="BJ7" s="4">
        <v>15.7</v>
      </c>
      <c r="BK7" s="4">
        <v>9.5</v>
      </c>
      <c r="BL7" s="4">
        <v>6.5</v>
      </c>
      <c r="BM7" s="4">
        <v>90.9</v>
      </c>
      <c r="BN7" s="4">
        <v>17</v>
      </c>
      <c r="BO7" s="4">
        <v>0.8</v>
      </c>
      <c r="BP7" s="4">
        <v>19.5</v>
      </c>
      <c r="BQ7" s="4">
        <v>17.7</v>
      </c>
      <c r="BR7" s="4">
        <v>51</v>
      </c>
      <c r="BS7" s="43">
        <v>46.4</v>
      </c>
    </row>
    <row r="8" spans="1:71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4">
        <v>421</v>
      </c>
      <c r="I8" s="4">
        <v>238</v>
      </c>
      <c r="J8" s="4">
        <v>186</v>
      </c>
      <c r="K8" s="4">
        <v>366</v>
      </c>
      <c r="L8" s="4">
        <v>217</v>
      </c>
      <c r="M8" s="4">
        <v>155</v>
      </c>
      <c r="N8" s="4">
        <v>269</v>
      </c>
      <c r="O8" s="4">
        <v>150</v>
      </c>
      <c r="P8" s="4">
        <v>115</v>
      </c>
      <c r="Q8" s="4">
        <v>69</v>
      </c>
      <c r="R8" s="4">
        <v>41</v>
      </c>
      <c r="S8" s="4">
        <v>32</v>
      </c>
      <c r="T8" s="4">
        <v>209</v>
      </c>
      <c r="U8" s="4">
        <v>121</v>
      </c>
      <c r="V8" s="4">
        <v>91</v>
      </c>
      <c r="W8" s="4">
        <v>90</v>
      </c>
      <c r="X8" s="4">
        <v>53</v>
      </c>
      <c r="Y8" s="4">
        <v>33</v>
      </c>
      <c r="Z8" s="4">
        <v>273</v>
      </c>
      <c r="AA8" s="4">
        <v>98</v>
      </c>
      <c r="AB8" s="4">
        <v>95</v>
      </c>
      <c r="AC8" s="4">
        <v>49</v>
      </c>
      <c r="AD8" s="4">
        <v>49</v>
      </c>
      <c r="AE8" s="4">
        <v>131</v>
      </c>
      <c r="AF8" s="4">
        <v>90</v>
      </c>
      <c r="AG8" s="4">
        <v>37</v>
      </c>
      <c r="AH8" s="4">
        <v>90</v>
      </c>
      <c r="AI8" s="4">
        <v>45</v>
      </c>
      <c r="AJ8" s="4">
        <v>49</v>
      </c>
      <c r="AK8" s="4">
        <v>56</v>
      </c>
      <c r="AL8" s="4">
        <v>34</v>
      </c>
      <c r="AM8" s="4">
        <v>26</v>
      </c>
      <c r="AN8" s="4">
        <v>180</v>
      </c>
      <c r="AO8" s="4">
        <v>100</v>
      </c>
      <c r="AP8" s="4">
        <v>76</v>
      </c>
      <c r="AQ8" s="4">
        <v>73</v>
      </c>
      <c r="AR8" s="4">
        <v>42</v>
      </c>
      <c r="AS8" s="4">
        <v>26</v>
      </c>
      <c r="AT8" s="4">
        <v>61</v>
      </c>
      <c r="AU8" s="4">
        <v>30</v>
      </c>
      <c r="AV8" s="4">
        <v>27</v>
      </c>
      <c r="AW8" s="4">
        <v>58</v>
      </c>
      <c r="AX8" s="4">
        <v>38</v>
      </c>
      <c r="AY8" s="4">
        <v>24</v>
      </c>
      <c r="AZ8" s="4">
        <v>24</v>
      </c>
      <c r="BA8" s="4">
        <v>27</v>
      </c>
      <c r="BB8" s="4">
        <v>53</v>
      </c>
      <c r="BC8" s="4">
        <v>24</v>
      </c>
      <c r="BD8" s="4">
        <v>241</v>
      </c>
      <c r="BE8" s="4">
        <v>179</v>
      </c>
      <c r="BF8" s="4">
        <v>105</v>
      </c>
      <c r="BG8" s="4">
        <v>77</v>
      </c>
      <c r="BH8" s="4">
        <v>0.9</v>
      </c>
      <c r="BI8" s="4">
        <v>2609</v>
      </c>
      <c r="BJ8" s="4">
        <v>16.100000000000001</v>
      </c>
      <c r="BK8" s="4">
        <v>9.1</v>
      </c>
      <c r="BL8" s="4">
        <v>7.1</v>
      </c>
      <c r="BM8" s="4">
        <v>86.9</v>
      </c>
      <c r="BN8" s="4">
        <v>18.899999999999999</v>
      </c>
      <c r="BO8" s="4">
        <v>0.9</v>
      </c>
      <c r="BP8" s="4">
        <v>15.8</v>
      </c>
      <c r="BQ8" s="4">
        <v>13.8</v>
      </c>
      <c r="BR8" s="4">
        <v>48.9</v>
      </c>
      <c r="BS8" s="43">
        <v>42.5</v>
      </c>
    </row>
    <row r="9" spans="1:71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4">
        <v>391</v>
      </c>
      <c r="I9" s="4">
        <v>213</v>
      </c>
      <c r="J9" s="4">
        <v>174</v>
      </c>
      <c r="K9" s="4">
        <v>360</v>
      </c>
      <c r="L9" s="4">
        <v>195</v>
      </c>
      <c r="M9" s="4">
        <v>168</v>
      </c>
      <c r="N9" s="4">
        <v>238</v>
      </c>
      <c r="O9" s="4">
        <v>125</v>
      </c>
      <c r="P9" s="4">
        <v>120</v>
      </c>
      <c r="Q9" s="4">
        <v>56</v>
      </c>
      <c r="R9" s="4">
        <v>19</v>
      </c>
      <c r="S9" s="4">
        <v>33</v>
      </c>
      <c r="T9" s="4">
        <v>206</v>
      </c>
      <c r="U9" s="4">
        <v>116</v>
      </c>
      <c r="V9" s="4">
        <v>94</v>
      </c>
      <c r="W9" s="4">
        <v>107</v>
      </c>
      <c r="X9" s="4">
        <v>61</v>
      </c>
      <c r="Y9" s="4">
        <v>41</v>
      </c>
      <c r="Z9" s="4">
        <v>282</v>
      </c>
      <c r="AA9" s="4">
        <v>82</v>
      </c>
      <c r="AB9" s="4">
        <v>80</v>
      </c>
      <c r="AC9" s="4">
        <v>45</v>
      </c>
      <c r="AD9" s="4">
        <v>40</v>
      </c>
      <c r="AE9" s="4">
        <v>128</v>
      </c>
      <c r="AF9" s="4">
        <v>77</v>
      </c>
      <c r="AG9" s="4">
        <v>46</v>
      </c>
      <c r="AH9" s="4">
        <v>82</v>
      </c>
      <c r="AI9" s="4">
        <v>43</v>
      </c>
      <c r="AJ9" s="4">
        <v>44</v>
      </c>
      <c r="AK9" s="4">
        <v>57</v>
      </c>
      <c r="AL9" s="4">
        <v>28</v>
      </c>
      <c r="AM9" s="4">
        <v>33</v>
      </c>
      <c r="AN9" s="4">
        <v>138</v>
      </c>
      <c r="AO9" s="4">
        <v>83</v>
      </c>
      <c r="AP9" s="4">
        <v>58</v>
      </c>
      <c r="AQ9" s="4">
        <v>68</v>
      </c>
      <c r="AR9" s="4">
        <v>32</v>
      </c>
      <c r="AS9" s="4">
        <v>32</v>
      </c>
      <c r="AT9" s="4">
        <v>75</v>
      </c>
      <c r="AU9" s="4">
        <v>42</v>
      </c>
      <c r="AV9" s="4">
        <v>37</v>
      </c>
      <c r="AW9" s="4">
        <v>83</v>
      </c>
      <c r="AX9" s="4">
        <v>42</v>
      </c>
      <c r="AY9" s="4">
        <v>44</v>
      </c>
      <c r="AZ9" s="4">
        <v>22</v>
      </c>
      <c r="BA9" s="4">
        <v>37</v>
      </c>
      <c r="BB9" s="4">
        <v>37</v>
      </c>
      <c r="BC9" s="4">
        <v>32</v>
      </c>
      <c r="BD9" s="4">
        <v>240</v>
      </c>
      <c r="BE9" s="4">
        <v>154</v>
      </c>
      <c r="BF9" s="4">
        <v>79</v>
      </c>
      <c r="BG9" s="4">
        <v>71</v>
      </c>
      <c r="BH9" s="4">
        <v>0.4</v>
      </c>
      <c r="BI9" s="4">
        <v>2224</v>
      </c>
      <c r="BJ9" s="4">
        <v>17.600000000000001</v>
      </c>
      <c r="BK9" s="4">
        <v>9.6</v>
      </c>
      <c r="BL9" s="4">
        <v>7.8</v>
      </c>
      <c r="BM9" s="4">
        <v>92.1</v>
      </c>
      <c r="BN9" s="4">
        <v>15.6</v>
      </c>
      <c r="BO9" s="4">
        <v>0.8</v>
      </c>
      <c r="BP9" s="4">
        <v>23.1</v>
      </c>
      <c r="BQ9" s="4">
        <v>21.2</v>
      </c>
      <c r="BR9" s="4">
        <v>42.8</v>
      </c>
      <c r="BS9" s="43">
        <v>39.4</v>
      </c>
    </row>
    <row r="10" spans="1:71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4">
        <v>534</v>
      </c>
      <c r="I10" s="4">
        <v>304</v>
      </c>
      <c r="J10" s="4">
        <v>233</v>
      </c>
      <c r="K10" s="4">
        <v>483</v>
      </c>
      <c r="L10" s="4">
        <v>272</v>
      </c>
      <c r="M10" s="4">
        <v>216</v>
      </c>
      <c r="N10" s="4">
        <v>346</v>
      </c>
      <c r="O10" s="4">
        <v>189</v>
      </c>
      <c r="P10" s="4">
        <v>153</v>
      </c>
      <c r="Q10" s="4">
        <v>77</v>
      </c>
      <c r="R10" s="4">
        <v>38</v>
      </c>
      <c r="S10" s="4">
        <v>36</v>
      </c>
      <c r="T10" s="4">
        <v>266</v>
      </c>
      <c r="U10" s="4">
        <v>144</v>
      </c>
      <c r="V10" s="4">
        <v>118</v>
      </c>
      <c r="W10" s="4">
        <v>140</v>
      </c>
      <c r="X10" s="4">
        <v>90</v>
      </c>
      <c r="Y10" s="4">
        <v>53</v>
      </c>
      <c r="Z10" s="4">
        <v>336</v>
      </c>
      <c r="AA10" s="4">
        <v>152</v>
      </c>
      <c r="AB10" s="4">
        <v>144</v>
      </c>
      <c r="AC10" s="4">
        <v>73</v>
      </c>
      <c r="AD10" s="4">
        <v>65</v>
      </c>
      <c r="AE10" s="4">
        <v>177</v>
      </c>
      <c r="AF10" s="4">
        <v>113</v>
      </c>
      <c r="AG10" s="4">
        <v>67</v>
      </c>
      <c r="AH10" s="4">
        <v>91</v>
      </c>
      <c r="AI10" s="4">
        <v>45</v>
      </c>
      <c r="AJ10" s="4">
        <v>42</v>
      </c>
      <c r="AK10" s="4">
        <v>67</v>
      </c>
      <c r="AL10" s="4">
        <v>37</v>
      </c>
      <c r="AM10" s="4">
        <v>26</v>
      </c>
      <c r="AN10" s="4">
        <v>186</v>
      </c>
      <c r="AO10" s="4">
        <v>102</v>
      </c>
      <c r="AP10" s="4">
        <v>79</v>
      </c>
      <c r="AQ10" s="4">
        <v>105</v>
      </c>
      <c r="AR10" s="4">
        <v>73</v>
      </c>
      <c r="AS10" s="4">
        <v>39</v>
      </c>
      <c r="AT10" s="4">
        <v>100</v>
      </c>
      <c r="AU10" s="4">
        <v>41</v>
      </c>
      <c r="AV10" s="4">
        <v>54</v>
      </c>
      <c r="AW10" s="4">
        <v>95</v>
      </c>
      <c r="AX10" s="4">
        <v>61</v>
      </c>
      <c r="AY10" s="4">
        <v>39</v>
      </c>
      <c r="AZ10" s="4">
        <v>36</v>
      </c>
      <c r="BA10" s="4">
        <v>26</v>
      </c>
      <c r="BB10" s="4">
        <v>56</v>
      </c>
      <c r="BC10" s="4">
        <v>21</v>
      </c>
      <c r="BD10" s="4">
        <v>343</v>
      </c>
      <c r="BE10" s="4">
        <v>266</v>
      </c>
      <c r="BF10" s="4">
        <v>139</v>
      </c>
      <c r="BG10" s="4">
        <v>131</v>
      </c>
      <c r="BH10" s="4">
        <v>0.6</v>
      </c>
      <c r="BI10" s="4">
        <v>3518</v>
      </c>
      <c r="BJ10" s="4">
        <v>15.2</v>
      </c>
      <c r="BK10" s="4">
        <v>8.6</v>
      </c>
      <c r="BL10" s="4">
        <v>6.6</v>
      </c>
      <c r="BM10" s="4">
        <v>90.4</v>
      </c>
      <c r="BN10" s="4">
        <v>15.9</v>
      </c>
      <c r="BO10" s="4">
        <v>0.9</v>
      </c>
      <c r="BP10" s="4">
        <v>19.7</v>
      </c>
      <c r="BQ10" s="4">
        <v>17.8</v>
      </c>
      <c r="BR10" s="4">
        <v>55.1</v>
      </c>
      <c r="BS10" s="43">
        <v>49.8</v>
      </c>
    </row>
    <row r="11" spans="1:71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4">
        <v>392</v>
      </c>
      <c r="I11" s="4">
        <v>219</v>
      </c>
      <c r="J11" s="4">
        <v>177</v>
      </c>
      <c r="K11" s="4">
        <v>360</v>
      </c>
      <c r="L11" s="4">
        <v>204</v>
      </c>
      <c r="M11" s="4">
        <v>161</v>
      </c>
      <c r="N11" s="4">
        <v>252</v>
      </c>
      <c r="O11" s="4">
        <v>134</v>
      </c>
      <c r="P11" s="4">
        <v>123</v>
      </c>
      <c r="Q11" s="4">
        <v>65</v>
      </c>
      <c r="R11" s="4">
        <v>40</v>
      </c>
      <c r="S11" s="4">
        <v>29</v>
      </c>
      <c r="T11" s="4">
        <v>217</v>
      </c>
      <c r="U11" s="4">
        <v>116</v>
      </c>
      <c r="V11" s="4">
        <v>98</v>
      </c>
      <c r="W11" s="4">
        <v>85</v>
      </c>
      <c r="X11" s="4">
        <v>47</v>
      </c>
      <c r="Y11" s="4">
        <v>34</v>
      </c>
      <c r="Z11" s="4">
        <v>267</v>
      </c>
      <c r="AA11" s="4">
        <v>98</v>
      </c>
      <c r="AB11" s="4">
        <v>81</v>
      </c>
      <c r="AC11" s="4">
        <v>50</v>
      </c>
      <c r="AD11" s="4">
        <v>35</v>
      </c>
      <c r="AE11" s="4">
        <v>137</v>
      </c>
      <c r="AF11" s="4">
        <v>79</v>
      </c>
      <c r="AG11" s="4">
        <v>55</v>
      </c>
      <c r="AH11" s="4">
        <v>94</v>
      </c>
      <c r="AI11" s="4">
        <v>54</v>
      </c>
      <c r="AJ11" s="4">
        <v>45</v>
      </c>
      <c r="AK11" s="4">
        <v>46</v>
      </c>
      <c r="AL11" s="4">
        <v>28</v>
      </c>
      <c r="AM11" s="4">
        <v>24</v>
      </c>
      <c r="AN11" s="4">
        <v>173</v>
      </c>
      <c r="AO11" s="4">
        <v>105</v>
      </c>
      <c r="AP11" s="4">
        <v>72</v>
      </c>
      <c r="AQ11" s="4">
        <v>62</v>
      </c>
      <c r="AR11" s="4">
        <v>38</v>
      </c>
      <c r="AS11" s="4">
        <v>28</v>
      </c>
      <c r="AT11" s="4">
        <v>71</v>
      </c>
      <c r="AU11" s="4">
        <v>38</v>
      </c>
      <c r="AV11" s="4">
        <v>37</v>
      </c>
      <c r="AW11" s="4">
        <v>51</v>
      </c>
      <c r="AX11" s="4">
        <v>27</v>
      </c>
      <c r="AY11" s="4">
        <v>27</v>
      </c>
      <c r="AZ11" s="4">
        <v>23</v>
      </c>
      <c r="BA11" s="4">
        <v>20</v>
      </c>
      <c r="BB11" s="4">
        <v>46</v>
      </c>
      <c r="BC11" s="4">
        <v>23</v>
      </c>
      <c r="BD11" s="4">
        <v>247</v>
      </c>
      <c r="BE11" s="4">
        <v>192</v>
      </c>
      <c r="BF11" s="4">
        <v>102</v>
      </c>
      <c r="BG11" s="4">
        <v>87</v>
      </c>
      <c r="BH11" s="4">
        <v>0.2</v>
      </c>
      <c r="BI11" s="4">
        <v>2462</v>
      </c>
      <c r="BJ11" s="4">
        <v>15.9</v>
      </c>
      <c r="BK11" s="4">
        <v>8.9</v>
      </c>
      <c r="BL11" s="4">
        <v>7.2</v>
      </c>
      <c r="BM11" s="4">
        <v>91.8</v>
      </c>
      <c r="BN11" s="4">
        <v>18.100000000000001</v>
      </c>
      <c r="BO11" s="4">
        <v>0.9</v>
      </c>
      <c r="BP11" s="4">
        <v>14.2</v>
      </c>
      <c r="BQ11" s="4">
        <v>13</v>
      </c>
      <c r="BR11" s="4">
        <v>53.3</v>
      </c>
      <c r="BS11" s="43">
        <v>49</v>
      </c>
    </row>
    <row r="12" spans="1:71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4">
        <v>738</v>
      </c>
      <c r="I12" s="4">
        <v>464</v>
      </c>
      <c r="J12" s="4">
        <v>277</v>
      </c>
      <c r="K12" s="4">
        <v>666</v>
      </c>
      <c r="L12" s="4">
        <v>421</v>
      </c>
      <c r="M12" s="4">
        <v>249</v>
      </c>
      <c r="N12" s="4">
        <v>473</v>
      </c>
      <c r="O12" s="4">
        <v>298</v>
      </c>
      <c r="P12" s="4">
        <v>170</v>
      </c>
      <c r="Q12" s="4">
        <v>87</v>
      </c>
      <c r="R12" s="4">
        <v>39</v>
      </c>
      <c r="S12" s="4">
        <v>52</v>
      </c>
      <c r="T12" s="4">
        <v>398</v>
      </c>
      <c r="U12" s="4">
        <v>261</v>
      </c>
      <c r="V12" s="4">
        <v>140</v>
      </c>
      <c r="W12" s="4">
        <v>182</v>
      </c>
      <c r="X12" s="4">
        <v>131</v>
      </c>
      <c r="Y12" s="4">
        <v>57</v>
      </c>
      <c r="Z12" s="4">
        <v>482</v>
      </c>
      <c r="AA12" s="4">
        <v>176</v>
      </c>
      <c r="AB12" s="4">
        <v>175</v>
      </c>
      <c r="AC12" s="4">
        <v>106</v>
      </c>
      <c r="AD12" s="4">
        <v>73</v>
      </c>
      <c r="AE12" s="4">
        <v>278</v>
      </c>
      <c r="AF12" s="4">
        <v>196</v>
      </c>
      <c r="AG12" s="4">
        <v>78</v>
      </c>
      <c r="AH12" s="4">
        <v>141</v>
      </c>
      <c r="AI12" s="4">
        <v>86</v>
      </c>
      <c r="AJ12" s="4">
        <v>58</v>
      </c>
      <c r="AK12" s="4">
        <v>73</v>
      </c>
      <c r="AL12" s="4">
        <v>30</v>
      </c>
      <c r="AM12" s="4">
        <v>39</v>
      </c>
      <c r="AN12" s="4">
        <v>297</v>
      </c>
      <c r="AO12" s="4">
        <v>187</v>
      </c>
      <c r="AP12" s="4">
        <v>114</v>
      </c>
      <c r="AQ12" s="4">
        <v>125</v>
      </c>
      <c r="AR12" s="4">
        <v>73</v>
      </c>
      <c r="AS12" s="4">
        <v>48</v>
      </c>
      <c r="AT12" s="4">
        <v>118</v>
      </c>
      <c r="AU12" s="4">
        <v>69</v>
      </c>
      <c r="AV12" s="4">
        <v>46</v>
      </c>
      <c r="AW12" s="4">
        <v>129</v>
      </c>
      <c r="AX12" s="4">
        <v>88</v>
      </c>
      <c r="AY12" s="4">
        <v>47</v>
      </c>
      <c r="AZ12" s="4">
        <v>42</v>
      </c>
      <c r="BA12" s="4">
        <v>44</v>
      </c>
      <c r="BB12" s="4">
        <v>59</v>
      </c>
      <c r="BC12" s="4">
        <v>57</v>
      </c>
      <c r="BD12" s="4">
        <v>465</v>
      </c>
      <c r="BE12" s="4">
        <v>381</v>
      </c>
      <c r="BF12" s="4">
        <v>250</v>
      </c>
      <c r="BG12" s="4">
        <v>135</v>
      </c>
      <c r="BH12" s="4">
        <v>0.3</v>
      </c>
      <c r="BI12" s="4">
        <v>2783</v>
      </c>
      <c r="BJ12" s="4">
        <v>26.5</v>
      </c>
      <c r="BK12" s="4">
        <v>16.7</v>
      </c>
      <c r="BL12" s="4">
        <v>10</v>
      </c>
      <c r="BM12" s="4">
        <v>90.2</v>
      </c>
      <c r="BN12" s="4">
        <v>13.1</v>
      </c>
      <c r="BO12" s="4">
        <v>0.9</v>
      </c>
      <c r="BP12" s="4">
        <v>19.399999999999999</v>
      </c>
      <c r="BQ12" s="4">
        <v>17.5</v>
      </c>
      <c r="BR12" s="4">
        <v>57.2</v>
      </c>
      <c r="BS12" s="43">
        <v>51.6</v>
      </c>
    </row>
    <row r="13" spans="1:71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4">
        <v>406</v>
      </c>
      <c r="I13" s="4">
        <v>235</v>
      </c>
      <c r="J13" s="4">
        <v>175</v>
      </c>
      <c r="K13" s="4">
        <v>374</v>
      </c>
      <c r="L13" s="4">
        <v>212</v>
      </c>
      <c r="M13" s="4">
        <v>158</v>
      </c>
      <c r="N13" s="4">
        <v>269</v>
      </c>
      <c r="O13" s="4">
        <v>159</v>
      </c>
      <c r="P13" s="4">
        <v>106</v>
      </c>
      <c r="Q13" s="4">
        <v>50</v>
      </c>
      <c r="R13" s="4">
        <v>26</v>
      </c>
      <c r="S13" s="4">
        <v>20</v>
      </c>
      <c r="T13" s="4">
        <v>210</v>
      </c>
      <c r="U13" s="4">
        <v>126</v>
      </c>
      <c r="V13" s="4">
        <v>80</v>
      </c>
      <c r="W13" s="4">
        <v>122</v>
      </c>
      <c r="X13" s="4">
        <v>60</v>
      </c>
      <c r="Y13" s="4">
        <v>58</v>
      </c>
      <c r="Z13" s="4">
        <v>252</v>
      </c>
      <c r="AA13" s="4">
        <v>125</v>
      </c>
      <c r="AB13" s="4">
        <v>104</v>
      </c>
      <c r="AC13" s="4">
        <v>57</v>
      </c>
      <c r="AD13" s="4">
        <v>51</v>
      </c>
      <c r="AE13" s="4">
        <v>128</v>
      </c>
      <c r="AF13" s="4">
        <v>82</v>
      </c>
      <c r="AG13" s="4">
        <v>52</v>
      </c>
      <c r="AH13" s="4">
        <v>71</v>
      </c>
      <c r="AI13" s="4">
        <v>42</v>
      </c>
      <c r="AJ13" s="4">
        <v>34</v>
      </c>
      <c r="AK13" s="4">
        <v>65</v>
      </c>
      <c r="AL13" s="4">
        <v>28</v>
      </c>
      <c r="AM13" s="4">
        <v>32</v>
      </c>
      <c r="AN13" s="4">
        <v>168</v>
      </c>
      <c r="AO13" s="4">
        <v>99</v>
      </c>
      <c r="AP13" s="4">
        <v>72</v>
      </c>
      <c r="AQ13" s="4">
        <v>61</v>
      </c>
      <c r="AR13" s="4">
        <v>39</v>
      </c>
      <c r="AS13" s="4">
        <v>26</v>
      </c>
      <c r="AT13" s="4">
        <v>80</v>
      </c>
      <c r="AU13" s="4">
        <v>53</v>
      </c>
      <c r="AV13" s="4">
        <v>30</v>
      </c>
      <c r="AW13" s="4">
        <v>70</v>
      </c>
      <c r="AX13" s="4">
        <v>32</v>
      </c>
      <c r="AY13" s="4">
        <v>33</v>
      </c>
      <c r="AZ13" s="4">
        <v>18</v>
      </c>
      <c r="BA13" s="4">
        <v>28</v>
      </c>
      <c r="BB13" s="4">
        <v>40</v>
      </c>
      <c r="BC13" s="4">
        <v>22</v>
      </c>
      <c r="BD13" s="4">
        <v>264</v>
      </c>
      <c r="BE13" s="4">
        <v>176</v>
      </c>
      <c r="BF13" s="4">
        <v>109</v>
      </c>
      <c r="BG13" s="4">
        <v>64</v>
      </c>
      <c r="BH13" s="4">
        <v>0.2</v>
      </c>
      <c r="BI13" s="4">
        <v>2293</v>
      </c>
      <c r="BJ13" s="4">
        <v>17.7</v>
      </c>
      <c r="BK13" s="4">
        <v>10.199999999999999</v>
      </c>
      <c r="BL13" s="4">
        <v>7.6</v>
      </c>
      <c r="BM13" s="4">
        <v>92.1</v>
      </c>
      <c r="BN13" s="4">
        <v>13.4</v>
      </c>
      <c r="BO13" s="4">
        <v>0.8</v>
      </c>
      <c r="BP13" s="4">
        <v>18.7</v>
      </c>
      <c r="BQ13" s="4">
        <v>17.2</v>
      </c>
      <c r="BR13" s="4">
        <v>47.1</v>
      </c>
      <c r="BS13" s="43">
        <v>43.3</v>
      </c>
    </row>
    <row r="14" spans="1:71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4">
        <v>271</v>
      </c>
      <c r="I14" s="4">
        <v>142</v>
      </c>
      <c r="J14" s="4">
        <v>125</v>
      </c>
      <c r="K14" s="4">
        <v>248</v>
      </c>
      <c r="L14" s="4">
        <v>133</v>
      </c>
      <c r="M14" s="4">
        <v>119</v>
      </c>
      <c r="N14" s="4">
        <v>171</v>
      </c>
      <c r="O14" s="4">
        <v>93</v>
      </c>
      <c r="P14" s="4">
        <v>81</v>
      </c>
      <c r="Q14" s="4">
        <v>28</v>
      </c>
      <c r="R14" s="4">
        <v>11</v>
      </c>
      <c r="S14" s="4">
        <v>13</v>
      </c>
      <c r="T14" s="4">
        <v>151</v>
      </c>
      <c r="U14" s="4">
        <v>85</v>
      </c>
      <c r="V14" s="4">
        <v>60</v>
      </c>
      <c r="W14" s="4">
        <v>70</v>
      </c>
      <c r="X14" s="4">
        <v>37</v>
      </c>
      <c r="Y14" s="4">
        <v>36</v>
      </c>
      <c r="Z14" s="4">
        <v>149</v>
      </c>
      <c r="AA14" s="4">
        <v>95</v>
      </c>
      <c r="AB14" s="4">
        <v>71</v>
      </c>
      <c r="AC14" s="4">
        <v>40</v>
      </c>
      <c r="AD14" s="4">
        <v>34</v>
      </c>
      <c r="AE14" s="4">
        <v>82</v>
      </c>
      <c r="AF14" s="4">
        <v>52</v>
      </c>
      <c r="AG14" s="4">
        <v>33</v>
      </c>
      <c r="AH14" s="4">
        <v>39</v>
      </c>
      <c r="AI14" s="4">
        <v>24</v>
      </c>
      <c r="AJ14" s="4">
        <v>19</v>
      </c>
      <c r="AK14" s="4">
        <v>51</v>
      </c>
      <c r="AL14" s="4">
        <v>20</v>
      </c>
      <c r="AM14" s="4">
        <v>26</v>
      </c>
      <c r="AN14" s="4">
        <v>101</v>
      </c>
      <c r="AO14" s="4">
        <v>58</v>
      </c>
      <c r="AP14" s="4">
        <v>47</v>
      </c>
      <c r="AQ14" s="4">
        <v>38</v>
      </c>
      <c r="AR14" s="4">
        <v>18</v>
      </c>
      <c r="AS14" s="4">
        <v>23</v>
      </c>
      <c r="AT14" s="4">
        <v>48</v>
      </c>
      <c r="AU14" s="4">
        <v>26</v>
      </c>
      <c r="AV14" s="4">
        <v>27</v>
      </c>
      <c r="AW14" s="4">
        <v>50</v>
      </c>
      <c r="AX14" s="4">
        <v>27</v>
      </c>
      <c r="AY14" s="4">
        <v>27</v>
      </c>
      <c r="AZ14" s="4">
        <v>12</v>
      </c>
      <c r="BA14" s="4">
        <v>22</v>
      </c>
      <c r="BB14" s="4">
        <v>33</v>
      </c>
      <c r="BC14" s="4">
        <v>12</v>
      </c>
      <c r="BD14" s="4">
        <v>169</v>
      </c>
      <c r="BE14" s="4">
        <v>126</v>
      </c>
      <c r="BF14" s="4">
        <v>68</v>
      </c>
      <c r="BG14" s="4">
        <v>54</v>
      </c>
      <c r="BH14" s="4">
        <v>0.3</v>
      </c>
      <c r="BI14" s="4">
        <v>1973</v>
      </c>
      <c r="BJ14" s="4">
        <v>13.7</v>
      </c>
      <c r="BK14" s="4">
        <v>7.2</v>
      </c>
      <c r="BL14" s="4">
        <v>6.3</v>
      </c>
      <c r="BM14" s="4">
        <v>91.5</v>
      </c>
      <c r="BN14" s="4">
        <v>11.3</v>
      </c>
      <c r="BO14" s="4">
        <v>0.8</v>
      </c>
      <c r="BP14" s="4">
        <v>20.2</v>
      </c>
      <c r="BQ14" s="4">
        <v>18.5</v>
      </c>
      <c r="BR14" s="4">
        <v>50.8</v>
      </c>
      <c r="BS14" s="43">
        <v>46.5</v>
      </c>
    </row>
    <row r="15" spans="1:71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4">
        <v>627</v>
      </c>
      <c r="I15" s="4">
        <v>385</v>
      </c>
      <c r="J15" s="4">
        <v>245</v>
      </c>
      <c r="K15" s="4">
        <v>570</v>
      </c>
      <c r="L15" s="4">
        <v>347</v>
      </c>
      <c r="M15" s="4">
        <v>219</v>
      </c>
      <c r="N15" s="4">
        <v>396</v>
      </c>
      <c r="O15" s="4">
        <v>261</v>
      </c>
      <c r="P15" s="4">
        <v>143</v>
      </c>
      <c r="Q15" s="4">
        <v>84</v>
      </c>
      <c r="R15" s="4">
        <v>47</v>
      </c>
      <c r="S15" s="4">
        <v>34</v>
      </c>
      <c r="T15" s="4">
        <v>335</v>
      </c>
      <c r="U15" s="4">
        <v>209</v>
      </c>
      <c r="V15" s="4">
        <v>122</v>
      </c>
      <c r="W15" s="4">
        <v>151</v>
      </c>
      <c r="X15" s="4">
        <v>91</v>
      </c>
      <c r="Y15" s="4">
        <v>63</v>
      </c>
      <c r="Z15" s="4">
        <v>387</v>
      </c>
      <c r="AA15" s="4">
        <v>179</v>
      </c>
      <c r="AB15" s="4">
        <v>182</v>
      </c>
      <c r="AC15" s="4">
        <v>103</v>
      </c>
      <c r="AD15" s="4">
        <v>75</v>
      </c>
      <c r="AE15" s="4">
        <v>170</v>
      </c>
      <c r="AF15" s="4">
        <v>119</v>
      </c>
      <c r="AG15" s="4">
        <v>48</v>
      </c>
      <c r="AH15" s="4">
        <v>125</v>
      </c>
      <c r="AI15" s="4">
        <v>77</v>
      </c>
      <c r="AJ15" s="4">
        <v>43</v>
      </c>
      <c r="AK15" s="4">
        <v>94</v>
      </c>
      <c r="AL15" s="4">
        <v>48</v>
      </c>
      <c r="AM15" s="4">
        <v>43</v>
      </c>
      <c r="AN15" s="4">
        <v>248</v>
      </c>
      <c r="AO15" s="4">
        <v>157</v>
      </c>
      <c r="AP15" s="4">
        <v>94</v>
      </c>
      <c r="AQ15" s="4">
        <v>102</v>
      </c>
      <c r="AR15" s="4">
        <v>64</v>
      </c>
      <c r="AS15" s="4">
        <v>42</v>
      </c>
      <c r="AT15" s="4">
        <v>118</v>
      </c>
      <c r="AU15" s="4">
        <v>69</v>
      </c>
      <c r="AV15" s="4">
        <v>45</v>
      </c>
      <c r="AW15" s="4">
        <v>99</v>
      </c>
      <c r="AX15" s="4">
        <v>61</v>
      </c>
      <c r="AY15" s="4">
        <v>34</v>
      </c>
      <c r="AZ15" s="4">
        <v>41</v>
      </c>
      <c r="BA15" s="4">
        <v>41</v>
      </c>
      <c r="BB15" s="4">
        <v>59</v>
      </c>
      <c r="BC15" s="4">
        <v>38</v>
      </c>
      <c r="BD15" s="4">
        <v>391</v>
      </c>
      <c r="BE15" s="4">
        <v>272</v>
      </c>
      <c r="BF15" s="4">
        <v>160</v>
      </c>
      <c r="BG15" s="4">
        <v>117</v>
      </c>
      <c r="BH15" s="4">
        <v>0.5</v>
      </c>
      <c r="BI15" s="4">
        <v>2533</v>
      </c>
      <c r="BJ15" s="4">
        <v>24.8</v>
      </c>
      <c r="BK15" s="4">
        <v>15.2</v>
      </c>
      <c r="BL15" s="4">
        <v>9.6999999999999993</v>
      </c>
      <c r="BM15" s="4">
        <v>90.9</v>
      </c>
      <c r="BN15" s="4">
        <v>14.7</v>
      </c>
      <c r="BO15" s="4">
        <v>0.8</v>
      </c>
      <c r="BP15" s="4">
        <v>17.399999999999999</v>
      </c>
      <c r="BQ15" s="4">
        <v>15.8</v>
      </c>
      <c r="BR15" s="4">
        <v>47.7</v>
      </c>
      <c r="BS15" s="43">
        <v>43.4</v>
      </c>
    </row>
    <row r="16" spans="1:71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4">
        <v>339</v>
      </c>
      <c r="I16" s="4">
        <v>197</v>
      </c>
      <c r="J16" s="4">
        <v>145</v>
      </c>
      <c r="K16" s="4">
        <v>316</v>
      </c>
      <c r="L16" s="4">
        <v>180</v>
      </c>
      <c r="M16" s="4">
        <v>132</v>
      </c>
      <c r="N16" s="4">
        <v>209</v>
      </c>
      <c r="O16" s="4">
        <v>121</v>
      </c>
      <c r="P16" s="4">
        <v>91</v>
      </c>
      <c r="Q16" s="4">
        <v>49</v>
      </c>
      <c r="R16" s="4">
        <v>30</v>
      </c>
      <c r="S16" s="4">
        <v>24</v>
      </c>
      <c r="T16" s="4">
        <v>170</v>
      </c>
      <c r="U16" s="4">
        <v>96</v>
      </c>
      <c r="V16" s="4">
        <v>70</v>
      </c>
      <c r="W16" s="4">
        <v>98</v>
      </c>
      <c r="X16" s="4">
        <v>55</v>
      </c>
      <c r="Y16" s="4">
        <v>39</v>
      </c>
      <c r="Z16" s="4">
        <v>256</v>
      </c>
      <c r="AA16" s="4">
        <v>57</v>
      </c>
      <c r="AB16" s="4">
        <v>74</v>
      </c>
      <c r="AC16" s="4">
        <v>41</v>
      </c>
      <c r="AD16" s="4">
        <v>29</v>
      </c>
      <c r="AE16" s="4">
        <v>96</v>
      </c>
      <c r="AF16" s="4">
        <v>57</v>
      </c>
      <c r="AG16" s="4">
        <v>35</v>
      </c>
      <c r="AH16" s="4">
        <v>69</v>
      </c>
      <c r="AI16" s="4">
        <v>39</v>
      </c>
      <c r="AJ16" s="4">
        <v>34</v>
      </c>
      <c r="AK16" s="4">
        <v>74</v>
      </c>
      <c r="AL16" s="4">
        <v>39</v>
      </c>
      <c r="AM16" s="4">
        <v>39</v>
      </c>
      <c r="AN16" s="4">
        <v>130</v>
      </c>
      <c r="AO16" s="4">
        <v>73</v>
      </c>
      <c r="AP16" s="4">
        <v>61</v>
      </c>
      <c r="AQ16" s="4">
        <v>59</v>
      </c>
      <c r="AR16" s="4">
        <v>35</v>
      </c>
      <c r="AS16" s="4">
        <v>20</v>
      </c>
      <c r="AT16" s="4">
        <v>59</v>
      </c>
      <c r="AU16" s="4">
        <v>30</v>
      </c>
      <c r="AV16" s="4">
        <v>33</v>
      </c>
      <c r="AW16" s="4">
        <v>64</v>
      </c>
      <c r="AX16" s="4">
        <v>46</v>
      </c>
      <c r="AY16" s="4">
        <v>23</v>
      </c>
      <c r="AZ16" s="4">
        <v>17</v>
      </c>
      <c r="BA16" s="4">
        <v>28</v>
      </c>
      <c r="BB16" s="4">
        <v>50</v>
      </c>
      <c r="BC16" s="4">
        <v>21</v>
      </c>
      <c r="BD16" s="4">
        <v>200</v>
      </c>
      <c r="BE16" s="4">
        <v>135</v>
      </c>
      <c r="BF16" s="4">
        <v>75</v>
      </c>
      <c r="BG16" s="4">
        <v>55</v>
      </c>
      <c r="BH16" s="4">
        <v>0.2</v>
      </c>
      <c r="BI16" s="4">
        <v>2057</v>
      </c>
      <c r="BJ16" s="4">
        <v>16.5</v>
      </c>
      <c r="BK16" s="4">
        <v>9.6</v>
      </c>
      <c r="BL16" s="4">
        <v>7</v>
      </c>
      <c r="BM16" s="4">
        <v>93.2</v>
      </c>
      <c r="BN16" s="4">
        <v>15.5</v>
      </c>
      <c r="BO16" s="4">
        <v>0.8</v>
      </c>
      <c r="BP16" s="4">
        <v>20.3</v>
      </c>
      <c r="BQ16" s="4">
        <v>18.899999999999999</v>
      </c>
      <c r="BR16" s="4">
        <v>42.7</v>
      </c>
      <c r="BS16" s="43">
        <v>39.799999999999997</v>
      </c>
    </row>
    <row r="17" spans="1:71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4">
        <v>549</v>
      </c>
      <c r="I17" s="4">
        <v>306</v>
      </c>
      <c r="J17" s="4">
        <v>248</v>
      </c>
      <c r="K17" s="4">
        <v>496</v>
      </c>
      <c r="L17" s="4">
        <v>268</v>
      </c>
      <c r="M17" s="4">
        <v>223</v>
      </c>
      <c r="N17" s="4">
        <v>316</v>
      </c>
      <c r="O17" s="4">
        <v>178</v>
      </c>
      <c r="P17" s="4">
        <v>142</v>
      </c>
      <c r="Q17" s="4">
        <v>75</v>
      </c>
      <c r="R17" s="4">
        <v>36</v>
      </c>
      <c r="S17" s="4">
        <v>36</v>
      </c>
      <c r="T17" s="4">
        <v>305</v>
      </c>
      <c r="U17" s="4">
        <v>163</v>
      </c>
      <c r="V17" s="4">
        <v>147</v>
      </c>
      <c r="W17" s="4">
        <v>115</v>
      </c>
      <c r="X17" s="4">
        <v>69</v>
      </c>
      <c r="Y17" s="4">
        <v>42</v>
      </c>
      <c r="Z17" s="4">
        <v>374</v>
      </c>
      <c r="AA17" s="4">
        <v>123</v>
      </c>
      <c r="AB17" s="4">
        <v>109</v>
      </c>
      <c r="AC17" s="4">
        <v>55</v>
      </c>
      <c r="AD17" s="4">
        <v>51</v>
      </c>
      <c r="AE17" s="4">
        <v>164</v>
      </c>
      <c r="AF17" s="4">
        <v>103</v>
      </c>
      <c r="AG17" s="4">
        <v>58</v>
      </c>
      <c r="AH17" s="4">
        <v>103</v>
      </c>
      <c r="AI17" s="4">
        <v>56</v>
      </c>
      <c r="AJ17" s="4">
        <v>52</v>
      </c>
      <c r="AK17" s="4">
        <v>116</v>
      </c>
      <c r="AL17" s="4">
        <v>52</v>
      </c>
      <c r="AM17" s="4">
        <v>61</v>
      </c>
      <c r="AN17" s="4">
        <v>214</v>
      </c>
      <c r="AO17" s="4">
        <v>126</v>
      </c>
      <c r="AP17" s="4">
        <v>94</v>
      </c>
      <c r="AQ17" s="4">
        <v>107</v>
      </c>
      <c r="AR17" s="4">
        <v>61</v>
      </c>
      <c r="AS17" s="4">
        <v>51</v>
      </c>
      <c r="AT17" s="4">
        <v>79</v>
      </c>
      <c r="AU17" s="4">
        <v>34</v>
      </c>
      <c r="AV17" s="4">
        <v>48</v>
      </c>
      <c r="AW17" s="4">
        <v>99</v>
      </c>
      <c r="AX17" s="4">
        <v>52</v>
      </c>
      <c r="AY17" s="4">
        <v>43</v>
      </c>
      <c r="AZ17" s="4">
        <v>21</v>
      </c>
      <c r="BA17" s="4">
        <v>31</v>
      </c>
      <c r="BB17" s="4">
        <v>77</v>
      </c>
      <c r="BC17" s="4">
        <v>37</v>
      </c>
      <c r="BD17" s="4">
        <v>330</v>
      </c>
      <c r="BE17" s="4">
        <v>220</v>
      </c>
      <c r="BF17" s="4">
        <v>115</v>
      </c>
      <c r="BG17" s="4">
        <v>109</v>
      </c>
      <c r="BH17" s="4">
        <v>0.2</v>
      </c>
      <c r="BI17" s="4">
        <v>3039</v>
      </c>
      <c r="BJ17" s="4">
        <v>18.100000000000001</v>
      </c>
      <c r="BK17" s="4">
        <v>10.1</v>
      </c>
      <c r="BL17" s="4">
        <v>8.1999999999999993</v>
      </c>
      <c r="BM17" s="4">
        <v>90.3</v>
      </c>
      <c r="BN17" s="4">
        <v>15.1</v>
      </c>
      <c r="BO17" s="4">
        <v>0.8</v>
      </c>
      <c r="BP17" s="4">
        <v>20</v>
      </c>
      <c r="BQ17" s="4">
        <v>18</v>
      </c>
      <c r="BR17" s="4">
        <v>44.4</v>
      </c>
      <c r="BS17" s="43">
        <v>40.1</v>
      </c>
    </row>
    <row r="18" spans="1:71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4">
        <v>580</v>
      </c>
      <c r="I18" s="4">
        <v>306</v>
      </c>
      <c r="J18" s="4">
        <v>277</v>
      </c>
      <c r="K18" s="4">
        <v>527</v>
      </c>
      <c r="L18" s="4">
        <v>279</v>
      </c>
      <c r="M18" s="4">
        <v>251</v>
      </c>
      <c r="N18" s="4">
        <v>353</v>
      </c>
      <c r="O18" s="4">
        <v>194</v>
      </c>
      <c r="P18" s="4">
        <v>162</v>
      </c>
      <c r="Q18" s="4">
        <v>104</v>
      </c>
      <c r="R18" s="4">
        <v>41</v>
      </c>
      <c r="S18" s="4">
        <v>59</v>
      </c>
      <c r="T18" s="4">
        <v>317</v>
      </c>
      <c r="U18" s="4">
        <v>172</v>
      </c>
      <c r="V18" s="4">
        <v>148</v>
      </c>
      <c r="W18" s="4">
        <v>106</v>
      </c>
      <c r="X18" s="4">
        <v>58</v>
      </c>
      <c r="Y18" s="4">
        <v>44</v>
      </c>
      <c r="Z18" s="4">
        <v>391</v>
      </c>
      <c r="AA18" s="4">
        <v>138</v>
      </c>
      <c r="AB18" s="4">
        <v>102</v>
      </c>
      <c r="AC18" s="4">
        <v>67</v>
      </c>
      <c r="AD18" s="4">
        <v>38</v>
      </c>
      <c r="AE18" s="4">
        <v>139</v>
      </c>
      <c r="AF18" s="4">
        <v>79</v>
      </c>
      <c r="AG18" s="4">
        <v>55</v>
      </c>
      <c r="AH18" s="4">
        <v>127</v>
      </c>
      <c r="AI18" s="4">
        <v>59</v>
      </c>
      <c r="AJ18" s="4">
        <v>64</v>
      </c>
      <c r="AK18" s="4">
        <v>155</v>
      </c>
      <c r="AL18" s="4">
        <v>72</v>
      </c>
      <c r="AM18" s="4">
        <v>87</v>
      </c>
      <c r="AN18" s="4">
        <v>240</v>
      </c>
      <c r="AO18" s="4">
        <v>133</v>
      </c>
      <c r="AP18" s="4">
        <v>111</v>
      </c>
      <c r="AQ18" s="4">
        <v>96</v>
      </c>
      <c r="AR18" s="4">
        <v>56</v>
      </c>
      <c r="AS18" s="4">
        <v>43</v>
      </c>
      <c r="AT18" s="4">
        <v>98</v>
      </c>
      <c r="AU18" s="4">
        <v>47</v>
      </c>
      <c r="AV18" s="4">
        <v>54</v>
      </c>
      <c r="AW18" s="4">
        <v>89</v>
      </c>
      <c r="AX18" s="4">
        <v>46</v>
      </c>
      <c r="AY18" s="4">
        <v>39</v>
      </c>
      <c r="AZ18" s="4">
        <v>34</v>
      </c>
      <c r="BA18" s="4">
        <v>53</v>
      </c>
      <c r="BB18" s="4">
        <v>73</v>
      </c>
      <c r="BC18" s="4">
        <v>38</v>
      </c>
      <c r="BD18" s="4">
        <v>337</v>
      </c>
      <c r="BE18" s="4">
        <v>221</v>
      </c>
      <c r="BF18" s="4">
        <v>112</v>
      </c>
      <c r="BG18" s="4">
        <v>104</v>
      </c>
      <c r="BH18" s="4">
        <v>0.5</v>
      </c>
      <c r="BI18" s="4">
        <v>3534</v>
      </c>
      <c r="BJ18" s="4">
        <v>16.399999999999999</v>
      </c>
      <c r="BK18" s="4">
        <v>8.6999999999999993</v>
      </c>
      <c r="BL18" s="4">
        <v>7.8</v>
      </c>
      <c r="BM18" s="4">
        <v>90.9</v>
      </c>
      <c r="BN18" s="4">
        <v>19.7</v>
      </c>
      <c r="BO18" s="4">
        <v>0.7</v>
      </c>
      <c r="BP18" s="4">
        <v>16.899999999999999</v>
      </c>
      <c r="BQ18" s="4">
        <v>15.3</v>
      </c>
      <c r="BR18" s="4">
        <v>41.9</v>
      </c>
      <c r="BS18" s="43">
        <v>38.1</v>
      </c>
    </row>
    <row r="19" spans="1:71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4">
        <v>669</v>
      </c>
      <c r="I19" s="4">
        <v>372</v>
      </c>
      <c r="J19" s="4">
        <v>294</v>
      </c>
      <c r="K19" s="4">
        <v>601</v>
      </c>
      <c r="L19" s="4">
        <v>333</v>
      </c>
      <c r="M19" s="4">
        <v>271</v>
      </c>
      <c r="N19" s="4">
        <v>417</v>
      </c>
      <c r="O19" s="4">
        <v>232</v>
      </c>
      <c r="P19" s="4">
        <v>190</v>
      </c>
      <c r="Q19" s="4">
        <v>97</v>
      </c>
      <c r="R19" s="4">
        <v>50</v>
      </c>
      <c r="S19" s="4">
        <v>42</v>
      </c>
      <c r="T19" s="4">
        <v>345</v>
      </c>
      <c r="U19" s="4">
        <v>186</v>
      </c>
      <c r="V19" s="4">
        <v>156</v>
      </c>
      <c r="W19" s="4">
        <v>167</v>
      </c>
      <c r="X19" s="4">
        <v>97</v>
      </c>
      <c r="Y19" s="4">
        <v>75</v>
      </c>
      <c r="Z19" s="4">
        <v>418</v>
      </c>
      <c r="AA19" s="4">
        <v>187</v>
      </c>
      <c r="AB19" s="4">
        <v>141</v>
      </c>
      <c r="AC19" s="4">
        <v>66</v>
      </c>
      <c r="AD19" s="4">
        <v>71</v>
      </c>
      <c r="AE19" s="4">
        <v>188</v>
      </c>
      <c r="AF19" s="4">
        <v>126</v>
      </c>
      <c r="AG19" s="4">
        <v>67</v>
      </c>
      <c r="AH19" s="4">
        <v>122</v>
      </c>
      <c r="AI19" s="4">
        <v>70</v>
      </c>
      <c r="AJ19" s="4">
        <v>57</v>
      </c>
      <c r="AK19" s="4">
        <v>147</v>
      </c>
      <c r="AL19" s="4">
        <v>66</v>
      </c>
      <c r="AM19" s="4">
        <v>77</v>
      </c>
      <c r="AN19" s="4">
        <v>295</v>
      </c>
      <c r="AO19" s="4">
        <v>167</v>
      </c>
      <c r="AP19" s="4">
        <v>122</v>
      </c>
      <c r="AQ19" s="4">
        <v>112</v>
      </c>
      <c r="AR19" s="4">
        <v>56</v>
      </c>
      <c r="AS19" s="4">
        <v>49</v>
      </c>
      <c r="AT19" s="4">
        <v>101</v>
      </c>
      <c r="AU19" s="4">
        <v>53</v>
      </c>
      <c r="AV19" s="4">
        <v>45</v>
      </c>
      <c r="AW19" s="4">
        <v>100</v>
      </c>
      <c r="AX19" s="4">
        <v>61</v>
      </c>
      <c r="AY19" s="4">
        <v>43</v>
      </c>
      <c r="AZ19" s="4">
        <v>34</v>
      </c>
      <c r="BA19" s="4">
        <v>41</v>
      </c>
      <c r="BB19" s="4">
        <v>94</v>
      </c>
      <c r="BC19" s="4">
        <v>23</v>
      </c>
      <c r="BD19" s="4">
        <v>409</v>
      </c>
      <c r="BE19" s="4">
        <v>277</v>
      </c>
      <c r="BF19" s="4">
        <v>137</v>
      </c>
      <c r="BG19" s="4">
        <v>137</v>
      </c>
      <c r="BH19" s="4">
        <v>0.3</v>
      </c>
      <c r="BI19" s="4">
        <v>2878</v>
      </c>
      <c r="BJ19" s="4">
        <v>23.2</v>
      </c>
      <c r="BK19" s="4">
        <v>12.9</v>
      </c>
      <c r="BL19" s="4">
        <v>10.199999999999999</v>
      </c>
      <c r="BM19" s="4">
        <v>89.8</v>
      </c>
      <c r="BN19" s="4">
        <v>16.100000000000001</v>
      </c>
      <c r="BO19" s="4">
        <v>0.8</v>
      </c>
      <c r="BP19" s="4">
        <v>16.600000000000001</v>
      </c>
      <c r="BQ19" s="4">
        <v>14.9</v>
      </c>
      <c r="BR19" s="4">
        <v>46.1</v>
      </c>
      <c r="BS19" s="43">
        <v>41.4</v>
      </c>
    </row>
    <row r="20" spans="1:71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4">
        <v>753</v>
      </c>
      <c r="I20" s="4">
        <v>410</v>
      </c>
      <c r="J20" s="4">
        <v>346</v>
      </c>
      <c r="K20" s="4">
        <v>693</v>
      </c>
      <c r="L20" s="4">
        <v>381</v>
      </c>
      <c r="M20" s="4">
        <v>309</v>
      </c>
      <c r="N20" s="4">
        <v>459</v>
      </c>
      <c r="O20" s="4">
        <v>250</v>
      </c>
      <c r="P20" s="4">
        <v>213</v>
      </c>
      <c r="Q20" s="4">
        <v>89</v>
      </c>
      <c r="R20" s="4">
        <v>41</v>
      </c>
      <c r="S20" s="4">
        <v>39</v>
      </c>
      <c r="T20" s="4">
        <v>437</v>
      </c>
      <c r="U20" s="4">
        <v>242</v>
      </c>
      <c r="V20" s="4">
        <v>192</v>
      </c>
      <c r="W20" s="4">
        <v>172</v>
      </c>
      <c r="X20" s="4">
        <v>100</v>
      </c>
      <c r="Y20" s="4">
        <v>78</v>
      </c>
      <c r="Z20" s="4">
        <v>439</v>
      </c>
      <c r="AA20" s="4">
        <v>251</v>
      </c>
      <c r="AB20" s="4">
        <v>179</v>
      </c>
      <c r="AC20" s="4">
        <v>95</v>
      </c>
      <c r="AD20" s="4">
        <v>90</v>
      </c>
      <c r="AE20" s="4">
        <v>236</v>
      </c>
      <c r="AF20" s="4">
        <v>141</v>
      </c>
      <c r="AG20" s="4">
        <v>100</v>
      </c>
      <c r="AH20" s="4">
        <v>165</v>
      </c>
      <c r="AI20" s="4">
        <v>90</v>
      </c>
      <c r="AJ20" s="4">
        <v>72</v>
      </c>
      <c r="AK20" s="4">
        <v>97</v>
      </c>
      <c r="AL20" s="4">
        <v>53</v>
      </c>
      <c r="AM20" s="4">
        <v>50</v>
      </c>
      <c r="AN20" s="4">
        <v>285</v>
      </c>
      <c r="AO20" s="4">
        <v>142</v>
      </c>
      <c r="AP20" s="4">
        <v>138</v>
      </c>
      <c r="AQ20" s="4">
        <v>130</v>
      </c>
      <c r="AR20" s="4">
        <v>79</v>
      </c>
      <c r="AS20" s="4">
        <v>48</v>
      </c>
      <c r="AT20" s="4">
        <v>150</v>
      </c>
      <c r="AU20" s="4">
        <v>78</v>
      </c>
      <c r="AV20" s="4">
        <v>68</v>
      </c>
      <c r="AW20" s="4">
        <v>132</v>
      </c>
      <c r="AX20" s="4">
        <v>77</v>
      </c>
      <c r="AY20" s="4">
        <v>51</v>
      </c>
      <c r="AZ20" s="4">
        <v>36</v>
      </c>
      <c r="BA20" s="4">
        <v>49</v>
      </c>
      <c r="BB20" s="4">
        <v>78</v>
      </c>
      <c r="BC20" s="4">
        <v>42</v>
      </c>
      <c r="BD20" s="4">
        <v>488</v>
      </c>
      <c r="BE20" s="4">
        <v>378</v>
      </c>
      <c r="BF20" s="4">
        <v>182</v>
      </c>
      <c r="BG20" s="4">
        <v>190</v>
      </c>
      <c r="BH20" s="4">
        <v>0.3</v>
      </c>
      <c r="BI20" s="4">
        <v>3649</v>
      </c>
      <c r="BJ20" s="4">
        <v>20.6</v>
      </c>
      <c r="BK20" s="4">
        <v>11.2</v>
      </c>
      <c r="BL20" s="4">
        <v>9.5</v>
      </c>
      <c r="BM20" s="4">
        <v>92</v>
      </c>
      <c r="BN20" s="4">
        <v>12.8</v>
      </c>
      <c r="BO20" s="4">
        <v>0.8</v>
      </c>
      <c r="BP20" s="4">
        <v>19</v>
      </c>
      <c r="BQ20" s="4">
        <v>17.5</v>
      </c>
      <c r="BR20" s="4">
        <v>54.5</v>
      </c>
      <c r="BS20" s="43">
        <v>50.2</v>
      </c>
    </row>
    <row r="21" spans="1:71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4">
        <v>387</v>
      </c>
      <c r="I21" s="4">
        <v>185</v>
      </c>
      <c r="J21" s="4">
        <v>198</v>
      </c>
      <c r="K21" s="4">
        <v>319</v>
      </c>
      <c r="L21" s="4">
        <v>148</v>
      </c>
      <c r="M21" s="4">
        <v>166</v>
      </c>
      <c r="N21" s="4">
        <v>195</v>
      </c>
      <c r="O21" s="4">
        <v>100</v>
      </c>
      <c r="P21" s="4">
        <v>99</v>
      </c>
      <c r="Q21" s="4">
        <v>69</v>
      </c>
      <c r="R21" s="4">
        <v>34</v>
      </c>
      <c r="S21" s="4">
        <v>32</v>
      </c>
      <c r="T21" s="4">
        <v>175</v>
      </c>
      <c r="U21" s="4">
        <v>84</v>
      </c>
      <c r="V21" s="4">
        <v>87</v>
      </c>
      <c r="W21" s="4">
        <v>74</v>
      </c>
      <c r="X21" s="4">
        <v>31</v>
      </c>
      <c r="Y21" s="4">
        <v>39</v>
      </c>
      <c r="Z21" s="4">
        <v>275</v>
      </c>
      <c r="AA21" s="4">
        <v>47</v>
      </c>
      <c r="AB21" s="4">
        <v>45</v>
      </c>
      <c r="AC21" s="4">
        <v>18</v>
      </c>
      <c r="AD21" s="4">
        <v>23</v>
      </c>
      <c r="AE21" s="4">
        <v>56</v>
      </c>
      <c r="AF21" s="4">
        <v>33</v>
      </c>
      <c r="AG21" s="4">
        <v>26</v>
      </c>
      <c r="AH21" s="4">
        <v>67</v>
      </c>
      <c r="AI21" s="4">
        <v>34</v>
      </c>
      <c r="AJ21" s="4">
        <v>30</v>
      </c>
      <c r="AK21" s="4">
        <v>149</v>
      </c>
      <c r="AL21" s="4">
        <v>61</v>
      </c>
      <c r="AM21" s="4">
        <v>91</v>
      </c>
      <c r="AN21" s="4">
        <v>141</v>
      </c>
      <c r="AO21" s="4">
        <v>79</v>
      </c>
      <c r="AP21" s="4">
        <v>68</v>
      </c>
      <c r="AQ21" s="4">
        <v>67</v>
      </c>
      <c r="AR21" s="4">
        <v>26</v>
      </c>
      <c r="AS21" s="4">
        <v>38</v>
      </c>
      <c r="AT21" s="4">
        <v>52</v>
      </c>
      <c r="AU21" s="4">
        <v>26</v>
      </c>
      <c r="AV21" s="4">
        <v>29</v>
      </c>
      <c r="AW21" s="4">
        <v>62</v>
      </c>
      <c r="AX21" s="4">
        <v>23</v>
      </c>
      <c r="AY21" s="4">
        <v>35</v>
      </c>
      <c r="AZ21" s="4">
        <v>9</v>
      </c>
      <c r="BA21" s="4">
        <v>38</v>
      </c>
      <c r="BB21" s="4">
        <v>52</v>
      </c>
      <c r="BC21" s="4">
        <v>26</v>
      </c>
      <c r="BD21" s="4">
        <v>203</v>
      </c>
      <c r="BE21" s="4">
        <v>102</v>
      </c>
      <c r="BF21" s="4">
        <v>40</v>
      </c>
      <c r="BG21" s="4">
        <v>58</v>
      </c>
      <c r="BH21" s="4">
        <v>0.9</v>
      </c>
      <c r="BI21" s="4">
        <v>3613</v>
      </c>
      <c r="BJ21" s="4">
        <v>10.7</v>
      </c>
      <c r="BK21" s="4">
        <v>5.0999999999999996</v>
      </c>
      <c r="BL21" s="4">
        <v>5.5</v>
      </c>
      <c r="BM21" s="4">
        <v>82.4</v>
      </c>
      <c r="BN21" s="4">
        <v>21.6</v>
      </c>
      <c r="BO21" s="4">
        <v>0.5</v>
      </c>
      <c r="BP21" s="4">
        <v>19.399999999999999</v>
      </c>
      <c r="BQ21" s="4">
        <v>16</v>
      </c>
      <c r="BR21" s="4">
        <v>32</v>
      </c>
      <c r="BS21" s="43">
        <v>26.4</v>
      </c>
    </row>
    <row r="22" spans="1:71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4">
        <v>171</v>
      </c>
      <c r="I22" s="4">
        <v>84</v>
      </c>
      <c r="J22" s="4">
        <v>82</v>
      </c>
      <c r="K22" s="4">
        <v>137</v>
      </c>
      <c r="L22" s="4">
        <v>72</v>
      </c>
      <c r="M22" s="4">
        <v>61</v>
      </c>
      <c r="N22" s="4">
        <v>93</v>
      </c>
      <c r="O22" s="4">
        <v>54</v>
      </c>
      <c r="P22" s="4">
        <v>42</v>
      </c>
      <c r="Q22" s="4">
        <v>17</v>
      </c>
      <c r="R22" s="4">
        <v>7</v>
      </c>
      <c r="S22" s="4">
        <v>5</v>
      </c>
      <c r="T22" s="4">
        <v>76</v>
      </c>
      <c r="U22" s="4">
        <v>39</v>
      </c>
      <c r="V22" s="4">
        <v>40</v>
      </c>
      <c r="W22" s="4">
        <v>47</v>
      </c>
      <c r="X22" s="4">
        <v>26</v>
      </c>
      <c r="Y22" s="4">
        <v>24</v>
      </c>
      <c r="Z22" s="4">
        <v>121</v>
      </c>
      <c r="AA22" s="4">
        <v>13</v>
      </c>
      <c r="AB22" s="4">
        <v>21</v>
      </c>
      <c r="AC22" s="4">
        <v>17</v>
      </c>
      <c r="AD22" s="4">
        <v>8</v>
      </c>
      <c r="AE22" s="4">
        <v>24</v>
      </c>
      <c r="AF22" s="4">
        <v>13</v>
      </c>
      <c r="AG22" s="4">
        <v>15</v>
      </c>
      <c r="AH22" s="4">
        <v>21</v>
      </c>
      <c r="AI22" s="4">
        <v>7</v>
      </c>
      <c r="AJ22" s="4">
        <v>8</v>
      </c>
      <c r="AK22" s="4">
        <v>58</v>
      </c>
      <c r="AL22" s="4">
        <v>29</v>
      </c>
      <c r="AM22" s="4">
        <v>35</v>
      </c>
      <c r="AN22" s="4">
        <v>58</v>
      </c>
      <c r="AO22" s="4">
        <v>28</v>
      </c>
      <c r="AP22" s="4">
        <v>26</v>
      </c>
      <c r="AQ22" s="4">
        <v>16</v>
      </c>
      <c r="AR22" s="4">
        <v>14</v>
      </c>
      <c r="AS22" s="4">
        <v>7</v>
      </c>
      <c r="AT22" s="4">
        <v>27</v>
      </c>
      <c r="AU22" s="4">
        <v>11</v>
      </c>
      <c r="AV22" s="4">
        <v>12</v>
      </c>
      <c r="AW22" s="4">
        <v>30</v>
      </c>
      <c r="AX22" s="4">
        <v>15</v>
      </c>
      <c r="AY22" s="4">
        <v>21</v>
      </c>
      <c r="AZ22" s="4">
        <v>8</v>
      </c>
      <c r="BA22" s="4">
        <v>27</v>
      </c>
      <c r="BB22" s="4">
        <v>24</v>
      </c>
      <c r="BC22" s="4">
        <v>5</v>
      </c>
      <c r="BD22" s="4">
        <v>74</v>
      </c>
      <c r="BE22" s="4">
        <v>51</v>
      </c>
      <c r="BF22" s="4">
        <v>20</v>
      </c>
      <c r="BG22" s="4">
        <v>28</v>
      </c>
      <c r="BH22" s="4">
        <v>0.6</v>
      </c>
      <c r="BI22" s="4">
        <v>2324</v>
      </c>
      <c r="BJ22" s="4">
        <v>7.4</v>
      </c>
      <c r="BK22" s="4">
        <v>3.6</v>
      </c>
      <c r="BL22" s="4">
        <v>3.5</v>
      </c>
      <c r="BM22" s="4">
        <v>80.099999999999994</v>
      </c>
      <c r="BN22" s="4">
        <v>12.4</v>
      </c>
      <c r="BO22" s="4">
        <v>0.5</v>
      </c>
      <c r="BP22" s="4">
        <v>21.9</v>
      </c>
      <c r="BQ22" s="4">
        <v>17.5</v>
      </c>
      <c r="BR22" s="4">
        <v>37.200000000000003</v>
      </c>
      <c r="BS22" s="43">
        <v>29.8</v>
      </c>
    </row>
    <row r="23" spans="1:71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4">
        <v>494</v>
      </c>
      <c r="I23" s="4">
        <v>273</v>
      </c>
      <c r="J23" s="4">
        <v>225</v>
      </c>
      <c r="K23" s="4">
        <v>413</v>
      </c>
      <c r="L23" s="4">
        <v>224</v>
      </c>
      <c r="M23" s="4">
        <v>192</v>
      </c>
      <c r="N23" s="4">
        <v>262</v>
      </c>
      <c r="O23" s="4">
        <v>149</v>
      </c>
      <c r="P23" s="4">
        <v>119</v>
      </c>
      <c r="Q23" s="4">
        <v>70</v>
      </c>
      <c r="R23" s="4">
        <v>32</v>
      </c>
      <c r="S23" s="4">
        <v>35</v>
      </c>
      <c r="T23" s="4">
        <v>237</v>
      </c>
      <c r="U23" s="4">
        <v>134</v>
      </c>
      <c r="V23" s="4">
        <v>106</v>
      </c>
      <c r="W23" s="4">
        <v>106</v>
      </c>
      <c r="X23" s="4">
        <v>59</v>
      </c>
      <c r="Y23" s="4">
        <v>51</v>
      </c>
      <c r="Z23" s="4">
        <v>365</v>
      </c>
      <c r="AA23" s="4">
        <v>52</v>
      </c>
      <c r="AB23" s="4">
        <v>74</v>
      </c>
      <c r="AC23" s="4">
        <v>44</v>
      </c>
      <c r="AD23" s="4">
        <v>34</v>
      </c>
      <c r="AE23" s="4">
        <v>127</v>
      </c>
      <c r="AF23" s="4">
        <v>86</v>
      </c>
      <c r="AG23" s="4">
        <v>45</v>
      </c>
      <c r="AH23" s="4">
        <v>92</v>
      </c>
      <c r="AI23" s="4">
        <v>49</v>
      </c>
      <c r="AJ23" s="4">
        <v>47</v>
      </c>
      <c r="AK23" s="4">
        <v>117</v>
      </c>
      <c r="AL23" s="4">
        <v>50</v>
      </c>
      <c r="AM23" s="4">
        <v>62</v>
      </c>
      <c r="AN23" s="4">
        <v>163</v>
      </c>
      <c r="AO23" s="4">
        <v>93</v>
      </c>
      <c r="AP23" s="4">
        <v>66</v>
      </c>
      <c r="AQ23" s="4">
        <v>63</v>
      </c>
      <c r="AR23" s="4">
        <v>39</v>
      </c>
      <c r="AS23" s="4">
        <v>29</v>
      </c>
      <c r="AT23" s="4">
        <v>82</v>
      </c>
      <c r="AU23" s="4">
        <v>44</v>
      </c>
      <c r="AV23" s="4">
        <v>42</v>
      </c>
      <c r="AW23" s="4">
        <v>100</v>
      </c>
      <c r="AX23" s="4">
        <v>52</v>
      </c>
      <c r="AY23" s="4">
        <v>52</v>
      </c>
      <c r="AZ23" s="4">
        <v>15</v>
      </c>
      <c r="BA23" s="4">
        <v>46</v>
      </c>
      <c r="BB23" s="4">
        <v>55</v>
      </c>
      <c r="BC23" s="4">
        <v>21</v>
      </c>
      <c r="BD23" s="4">
        <v>283</v>
      </c>
      <c r="BE23" s="4">
        <v>152</v>
      </c>
      <c r="BF23" s="4">
        <v>89</v>
      </c>
      <c r="BG23" s="4">
        <v>68</v>
      </c>
      <c r="BH23" s="4">
        <v>0.5</v>
      </c>
      <c r="BI23" s="4">
        <v>4341</v>
      </c>
      <c r="BJ23" s="4">
        <v>11.4</v>
      </c>
      <c r="BK23" s="4">
        <v>6.3</v>
      </c>
      <c r="BL23" s="4">
        <v>5.2</v>
      </c>
      <c r="BM23" s="4">
        <v>83.6</v>
      </c>
      <c r="BN23" s="4">
        <v>16.899999999999999</v>
      </c>
      <c r="BO23" s="4">
        <v>0.7</v>
      </c>
      <c r="BP23" s="4">
        <v>24.2</v>
      </c>
      <c r="BQ23" s="4">
        <v>20.2</v>
      </c>
      <c r="BR23" s="4">
        <v>36.799999999999997</v>
      </c>
      <c r="BS23" s="43">
        <v>30.8</v>
      </c>
    </row>
    <row r="24" spans="1:71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4">
        <v>417</v>
      </c>
      <c r="I24" s="4">
        <v>210</v>
      </c>
      <c r="J24" s="4">
        <v>203</v>
      </c>
      <c r="K24" s="4">
        <v>361</v>
      </c>
      <c r="L24" s="4">
        <v>179</v>
      </c>
      <c r="M24" s="4">
        <v>178</v>
      </c>
      <c r="N24" s="4">
        <v>253</v>
      </c>
      <c r="O24" s="4">
        <v>121</v>
      </c>
      <c r="P24" s="4">
        <v>126</v>
      </c>
      <c r="Q24" s="4">
        <v>75</v>
      </c>
      <c r="R24" s="4">
        <v>34</v>
      </c>
      <c r="S24" s="4">
        <v>38</v>
      </c>
      <c r="T24" s="4">
        <v>193</v>
      </c>
      <c r="U24" s="4">
        <v>91</v>
      </c>
      <c r="V24" s="4">
        <v>98</v>
      </c>
      <c r="W24" s="4">
        <v>93</v>
      </c>
      <c r="X24" s="4">
        <v>55</v>
      </c>
      <c r="Y24" s="4">
        <v>42</v>
      </c>
      <c r="Z24" s="4">
        <v>264</v>
      </c>
      <c r="AA24" s="4">
        <v>93</v>
      </c>
      <c r="AB24" s="4">
        <v>103</v>
      </c>
      <c r="AC24" s="4">
        <v>62</v>
      </c>
      <c r="AD24" s="4">
        <v>46</v>
      </c>
      <c r="AE24" s="4">
        <v>114</v>
      </c>
      <c r="AF24" s="4">
        <v>70</v>
      </c>
      <c r="AG24" s="4">
        <v>48</v>
      </c>
      <c r="AH24" s="4">
        <v>74</v>
      </c>
      <c r="AI24" s="4">
        <v>42</v>
      </c>
      <c r="AJ24" s="4">
        <v>36</v>
      </c>
      <c r="AK24" s="4">
        <v>57</v>
      </c>
      <c r="AL24" s="4">
        <v>17</v>
      </c>
      <c r="AM24" s="4">
        <v>44</v>
      </c>
      <c r="AN24" s="4">
        <v>147</v>
      </c>
      <c r="AO24" s="4">
        <v>70</v>
      </c>
      <c r="AP24" s="4">
        <v>87</v>
      </c>
      <c r="AQ24" s="4">
        <v>77</v>
      </c>
      <c r="AR24" s="4">
        <v>33</v>
      </c>
      <c r="AS24" s="4">
        <v>40</v>
      </c>
      <c r="AT24" s="4">
        <v>67</v>
      </c>
      <c r="AU24" s="4">
        <v>38</v>
      </c>
      <c r="AV24" s="4">
        <v>33</v>
      </c>
      <c r="AW24" s="4">
        <v>63</v>
      </c>
      <c r="AX24" s="4">
        <v>32</v>
      </c>
      <c r="AY24" s="4">
        <v>27</v>
      </c>
      <c r="AZ24" s="4">
        <v>18</v>
      </c>
      <c r="BA24" s="4">
        <v>24</v>
      </c>
      <c r="BB24" s="4">
        <v>58</v>
      </c>
      <c r="BC24" s="4">
        <v>22</v>
      </c>
      <c r="BD24" s="4">
        <v>232</v>
      </c>
      <c r="BE24" s="4">
        <v>150</v>
      </c>
      <c r="BF24" s="4">
        <v>83</v>
      </c>
      <c r="BG24" s="4">
        <v>72</v>
      </c>
      <c r="BH24" s="4">
        <v>0.2</v>
      </c>
      <c r="BI24" s="4">
        <v>2461</v>
      </c>
      <c r="BJ24" s="4">
        <v>16.899999999999999</v>
      </c>
      <c r="BK24" s="4">
        <v>8.5</v>
      </c>
      <c r="BL24" s="4">
        <v>8.1999999999999993</v>
      </c>
      <c r="BM24" s="4">
        <v>86.6</v>
      </c>
      <c r="BN24" s="4">
        <v>20.8</v>
      </c>
      <c r="BO24" s="4">
        <v>0.8</v>
      </c>
      <c r="BP24" s="4">
        <v>17.5</v>
      </c>
      <c r="BQ24" s="4">
        <v>15.1</v>
      </c>
      <c r="BR24" s="4">
        <v>41.6</v>
      </c>
      <c r="BS24" s="43">
        <v>36</v>
      </c>
    </row>
    <row r="25" spans="1:71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4">
        <v>368</v>
      </c>
      <c r="I25" s="4">
        <v>204</v>
      </c>
      <c r="J25" s="4">
        <v>168</v>
      </c>
      <c r="K25" s="4">
        <v>328</v>
      </c>
      <c r="L25" s="4">
        <v>175</v>
      </c>
      <c r="M25" s="4">
        <v>145</v>
      </c>
      <c r="N25" s="4">
        <v>221</v>
      </c>
      <c r="O25" s="4">
        <v>125</v>
      </c>
      <c r="P25" s="4">
        <v>92</v>
      </c>
      <c r="Q25" s="4">
        <v>39</v>
      </c>
      <c r="R25" s="4">
        <v>27</v>
      </c>
      <c r="S25" s="4">
        <v>15</v>
      </c>
      <c r="T25" s="4">
        <v>193</v>
      </c>
      <c r="U25" s="4">
        <v>101</v>
      </c>
      <c r="V25" s="4">
        <v>89</v>
      </c>
      <c r="W25" s="4">
        <v>84</v>
      </c>
      <c r="X25" s="4">
        <v>47</v>
      </c>
      <c r="Y25" s="4">
        <v>40</v>
      </c>
      <c r="Z25" s="4">
        <v>243</v>
      </c>
      <c r="AA25" s="4">
        <v>77</v>
      </c>
      <c r="AB25" s="4">
        <v>91</v>
      </c>
      <c r="AC25" s="4">
        <v>44</v>
      </c>
      <c r="AD25" s="4">
        <v>44</v>
      </c>
      <c r="AE25" s="4">
        <v>111</v>
      </c>
      <c r="AF25" s="4">
        <v>67</v>
      </c>
      <c r="AG25" s="4">
        <v>49</v>
      </c>
      <c r="AH25" s="4">
        <v>63</v>
      </c>
      <c r="AI25" s="4">
        <v>34</v>
      </c>
      <c r="AJ25" s="4">
        <v>26</v>
      </c>
      <c r="AK25" s="4">
        <v>53</v>
      </c>
      <c r="AL25" s="4">
        <v>27</v>
      </c>
      <c r="AM25" s="4">
        <v>31</v>
      </c>
      <c r="AN25" s="4">
        <v>124</v>
      </c>
      <c r="AO25" s="4">
        <v>75</v>
      </c>
      <c r="AP25" s="4">
        <v>55</v>
      </c>
      <c r="AQ25" s="4">
        <v>71</v>
      </c>
      <c r="AR25" s="4">
        <v>35</v>
      </c>
      <c r="AS25" s="4">
        <v>32</v>
      </c>
      <c r="AT25" s="4">
        <v>54</v>
      </c>
      <c r="AU25" s="4">
        <v>25</v>
      </c>
      <c r="AV25" s="4">
        <v>32</v>
      </c>
      <c r="AW25" s="4">
        <v>64</v>
      </c>
      <c r="AX25" s="4">
        <v>36</v>
      </c>
      <c r="AY25" s="4">
        <v>32</v>
      </c>
      <c r="AZ25" s="4">
        <v>13</v>
      </c>
      <c r="BA25" s="4">
        <v>23</v>
      </c>
      <c r="BB25" s="4">
        <v>37</v>
      </c>
      <c r="BC25" s="4">
        <v>16</v>
      </c>
      <c r="BD25" s="4">
        <v>228</v>
      </c>
      <c r="BE25" s="4">
        <v>156</v>
      </c>
      <c r="BF25" s="4">
        <v>81</v>
      </c>
      <c r="BG25" s="4">
        <v>79</v>
      </c>
      <c r="BH25" s="4">
        <v>0.2</v>
      </c>
      <c r="BI25" s="4">
        <v>2349</v>
      </c>
      <c r="BJ25" s="4">
        <v>15.7</v>
      </c>
      <c r="BK25" s="4">
        <v>8.6999999999999993</v>
      </c>
      <c r="BL25" s="4">
        <v>7.2</v>
      </c>
      <c r="BM25" s="4">
        <v>89.1</v>
      </c>
      <c r="BN25" s="4">
        <v>11.9</v>
      </c>
      <c r="BO25" s="4">
        <v>0.8</v>
      </c>
      <c r="BP25" s="4">
        <v>19.5</v>
      </c>
      <c r="BQ25" s="4">
        <v>17.399999999999999</v>
      </c>
      <c r="BR25" s="4">
        <v>47.6</v>
      </c>
      <c r="BS25" s="43">
        <v>42.4</v>
      </c>
    </row>
    <row r="26" spans="1:71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4">
        <v>470</v>
      </c>
      <c r="I26" s="4">
        <v>253</v>
      </c>
      <c r="J26" s="4">
        <v>213</v>
      </c>
      <c r="K26" s="4">
        <v>397</v>
      </c>
      <c r="L26" s="4">
        <v>212</v>
      </c>
      <c r="M26" s="4">
        <v>188</v>
      </c>
      <c r="N26" s="4">
        <v>267</v>
      </c>
      <c r="O26" s="4">
        <v>148</v>
      </c>
      <c r="P26" s="4">
        <v>123</v>
      </c>
      <c r="Q26" s="4">
        <v>50</v>
      </c>
      <c r="R26" s="4">
        <v>26</v>
      </c>
      <c r="S26" s="4">
        <v>19</v>
      </c>
      <c r="T26" s="4">
        <v>253</v>
      </c>
      <c r="U26" s="4">
        <v>139</v>
      </c>
      <c r="V26" s="4">
        <v>118</v>
      </c>
      <c r="W26" s="4">
        <v>94</v>
      </c>
      <c r="X26" s="4">
        <v>47</v>
      </c>
      <c r="Y26" s="4">
        <v>43</v>
      </c>
      <c r="Z26" s="4">
        <v>306</v>
      </c>
      <c r="AA26" s="4">
        <v>96</v>
      </c>
      <c r="AB26" s="4">
        <v>94</v>
      </c>
      <c r="AC26" s="4">
        <v>52</v>
      </c>
      <c r="AD26" s="4">
        <v>34</v>
      </c>
      <c r="AE26" s="4">
        <v>133</v>
      </c>
      <c r="AF26" s="4">
        <v>78</v>
      </c>
      <c r="AG26" s="4">
        <v>48</v>
      </c>
      <c r="AH26" s="4">
        <v>74</v>
      </c>
      <c r="AI26" s="4">
        <v>42</v>
      </c>
      <c r="AJ26" s="4">
        <v>38</v>
      </c>
      <c r="AK26" s="4">
        <v>99</v>
      </c>
      <c r="AL26" s="4">
        <v>45</v>
      </c>
      <c r="AM26" s="4">
        <v>50</v>
      </c>
      <c r="AN26" s="4">
        <v>157</v>
      </c>
      <c r="AO26" s="4">
        <v>91</v>
      </c>
      <c r="AP26" s="4">
        <v>69</v>
      </c>
      <c r="AQ26" s="4">
        <v>75</v>
      </c>
      <c r="AR26" s="4">
        <v>39</v>
      </c>
      <c r="AS26" s="4">
        <v>39</v>
      </c>
      <c r="AT26" s="4">
        <v>76</v>
      </c>
      <c r="AU26" s="4">
        <v>38</v>
      </c>
      <c r="AV26" s="4">
        <v>32</v>
      </c>
      <c r="AW26" s="4">
        <v>96</v>
      </c>
      <c r="AX26" s="4">
        <v>47</v>
      </c>
      <c r="AY26" s="4">
        <v>52</v>
      </c>
      <c r="AZ26" s="4">
        <v>10</v>
      </c>
      <c r="BA26" s="4">
        <v>35</v>
      </c>
      <c r="BB26" s="4">
        <v>57</v>
      </c>
      <c r="BC26" s="4">
        <v>22</v>
      </c>
      <c r="BD26" s="4">
        <v>283</v>
      </c>
      <c r="BE26" s="4">
        <v>176</v>
      </c>
      <c r="BF26" s="4">
        <v>88</v>
      </c>
      <c r="BG26" s="4">
        <v>84</v>
      </c>
      <c r="BH26" s="4">
        <v>0.4</v>
      </c>
      <c r="BI26" s="4">
        <v>3195</v>
      </c>
      <c r="BJ26" s="4">
        <v>14.7</v>
      </c>
      <c r="BK26" s="4">
        <v>7.9</v>
      </c>
      <c r="BL26" s="4">
        <v>6.7</v>
      </c>
      <c r="BM26" s="4">
        <v>84.5</v>
      </c>
      <c r="BN26" s="4">
        <v>12.6</v>
      </c>
      <c r="BO26" s="4">
        <v>0.8</v>
      </c>
      <c r="BP26" s="4">
        <v>24.2</v>
      </c>
      <c r="BQ26" s="4">
        <v>20.399999999999999</v>
      </c>
      <c r="BR26" s="4">
        <v>44.3</v>
      </c>
      <c r="BS26" s="43">
        <v>37.4</v>
      </c>
    </row>
    <row r="27" spans="1:71" ht="30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4">
        <v>375</v>
      </c>
      <c r="I27" s="4">
        <v>195</v>
      </c>
      <c r="J27" s="4">
        <v>184</v>
      </c>
      <c r="K27" s="4">
        <v>305</v>
      </c>
      <c r="L27" s="4">
        <v>154</v>
      </c>
      <c r="M27" s="4">
        <v>155</v>
      </c>
      <c r="N27" s="4">
        <v>223</v>
      </c>
      <c r="O27" s="4">
        <v>114</v>
      </c>
      <c r="P27" s="4">
        <v>105</v>
      </c>
      <c r="Q27" s="4">
        <v>65</v>
      </c>
      <c r="R27" s="4">
        <v>27</v>
      </c>
      <c r="S27" s="4">
        <v>35</v>
      </c>
      <c r="T27" s="4">
        <v>176</v>
      </c>
      <c r="U27" s="4">
        <v>88</v>
      </c>
      <c r="V27" s="4">
        <v>83</v>
      </c>
      <c r="W27" s="4">
        <v>71</v>
      </c>
      <c r="X27" s="4">
        <v>39</v>
      </c>
      <c r="Y27" s="4">
        <v>28</v>
      </c>
      <c r="Z27" s="4">
        <v>249</v>
      </c>
      <c r="AA27" s="4">
        <v>61</v>
      </c>
      <c r="AB27" s="4">
        <v>92</v>
      </c>
      <c r="AC27" s="4">
        <v>42</v>
      </c>
      <c r="AD27" s="4">
        <v>47</v>
      </c>
      <c r="AE27" s="4">
        <v>97</v>
      </c>
      <c r="AF27" s="4">
        <v>53</v>
      </c>
      <c r="AG27" s="4">
        <v>41</v>
      </c>
      <c r="AH27" s="4">
        <v>75</v>
      </c>
      <c r="AI27" s="4">
        <v>32</v>
      </c>
      <c r="AJ27" s="4">
        <v>40</v>
      </c>
      <c r="AK27" s="4">
        <v>51</v>
      </c>
      <c r="AL27" s="4">
        <v>23</v>
      </c>
      <c r="AM27" s="4">
        <v>24</v>
      </c>
      <c r="AN27" s="4">
        <v>129</v>
      </c>
      <c r="AO27" s="4">
        <v>58</v>
      </c>
      <c r="AP27" s="4">
        <v>67</v>
      </c>
      <c r="AQ27" s="4">
        <v>53</v>
      </c>
      <c r="AR27" s="4">
        <v>31</v>
      </c>
      <c r="AS27" s="4">
        <v>26</v>
      </c>
      <c r="AT27" s="4">
        <v>64</v>
      </c>
      <c r="AU27" s="4">
        <v>26</v>
      </c>
      <c r="AV27" s="4">
        <v>34</v>
      </c>
      <c r="AW27" s="4">
        <v>63</v>
      </c>
      <c r="AX27" s="4">
        <v>43</v>
      </c>
      <c r="AY27" s="4">
        <v>25</v>
      </c>
      <c r="AZ27" s="4">
        <v>23</v>
      </c>
      <c r="BA27" s="4">
        <v>17</v>
      </c>
      <c r="BB27" s="4">
        <v>32</v>
      </c>
      <c r="BC27" s="4">
        <v>26</v>
      </c>
      <c r="BD27" s="4">
        <v>208</v>
      </c>
      <c r="BE27" s="4">
        <v>159</v>
      </c>
      <c r="BF27" s="4">
        <v>77</v>
      </c>
      <c r="BG27" s="4">
        <v>85</v>
      </c>
      <c r="BH27" s="4">
        <v>0.2</v>
      </c>
      <c r="BI27" s="4">
        <v>2342</v>
      </c>
      <c r="BJ27" s="4">
        <v>16</v>
      </c>
      <c r="BK27" s="4">
        <v>8.3000000000000007</v>
      </c>
      <c r="BL27" s="4">
        <v>7.9</v>
      </c>
      <c r="BM27" s="4">
        <v>81.3</v>
      </c>
      <c r="BN27" s="4">
        <v>21.3</v>
      </c>
      <c r="BO27" s="4">
        <v>0.9</v>
      </c>
      <c r="BP27" s="4">
        <v>20.7</v>
      </c>
      <c r="BQ27" s="4">
        <v>16.8</v>
      </c>
      <c r="BR27" s="4">
        <v>52.1</v>
      </c>
      <c r="BS27" s="43">
        <v>42.4</v>
      </c>
    </row>
    <row r="28" spans="1:71" ht="30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4">
        <v>421</v>
      </c>
      <c r="I28" s="4">
        <v>192</v>
      </c>
      <c r="J28" s="4">
        <v>226</v>
      </c>
      <c r="K28" s="4">
        <v>375</v>
      </c>
      <c r="L28" s="4">
        <v>170</v>
      </c>
      <c r="M28" s="4">
        <v>211</v>
      </c>
      <c r="N28" s="4">
        <v>276</v>
      </c>
      <c r="O28" s="4">
        <v>126</v>
      </c>
      <c r="P28" s="4">
        <v>154</v>
      </c>
      <c r="Q28" s="4">
        <v>56</v>
      </c>
      <c r="R28" s="4">
        <v>17</v>
      </c>
      <c r="S28" s="4">
        <v>42</v>
      </c>
      <c r="T28" s="4">
        <v>223</v>
      </c>
      <c r="U28" s="4">
        <v>105</v>
      </c>
      <c r="V28" s="4">
        <v>122</v>
      </c>
      <c r="W28" s="4">
        <v>99</v>
      </c>
      <c r="X28" s="4">
        <v>48</v>
      </c>
      <c r="Y28" s="4">
        <v>54</v>
      </c>
      <c r="Z28" s="4">
        <v>268</v>
      </c>
      <c r="AA28" s="4">
        <v>114</v>
      </c>
      <c r="AB28" s="4">
        <v>108</v>
      </c>
      <c r="AC28" s="4">
        <v>40</v>
      </c>
      <c r="AD28" s="4">
        <v>64</v>
      </c>
      <c r="AE28" s="4">
        <v>112</v>
      </c>
      <c r="AF28" s="4">
        <v>63</v>
      </c>
      <c r="AG28" s="4">
        <v>55</v>
      </c>
      <c r="AH28" s="4">
        <v>85</v>
      </c>
      <c r="AI28" s="4">
        <v>41</v>
      </c>
      <c r="AJ28" s="4">
        <v>51</v>
      </c>
      <c r="AK28" s="4">
        <v>62</v>
      </c>
      <c r="AL28" s="4">
        <v>22</v>
      </c>
      <c r="AM28" s="4">
        <v>36</v>
      </c>
      <c r="AN28" s="4">
        <v>157</v>
      </c>
      <c r="AO28" s="4">
        <v>72</v>
      </c>
      <c r="AP28" s="4">
        <v>82</v>
      </c>
      <c r="AQ28" s="4">
        <v>80</v>
      </c>
      <c r="AR28" s="4">
        <v>38</v>
      </c>
      <c r="AS28" s="4">
        <v>46</v>
      </c>
      <c r="AT28" s="4">
        <v>77</v>
      </c>
      <c r="AU28" s="4">
        <v>36</v>
      </c>
      <c r="AV28" s="4">
        <v>37</v>
      </c>
      <c r="AW28" s="4">
        <v>66</v>
      </c>
      <c r="AX28" s="4">
        <v>28</v>
      </c>
      <c r="AY28" s="4">
        <v>43</v>
      </c>
      <c r="AZ28" s="4">
        <v>32</v>
      </c>
      <c r="BA28" s="4">
        <v>13</v>
      </c>
      <c r="BB28" s="4">
        <v>37</v>
      </c>
      <c r="BC28" s="4">
        <v>21</v>
      </c>
      <c r="BD28" s="4">
        <v>274</v>
      </c>
      <c r="BE28" s="4">
        <v>201</v>
      </c>
      <c r="BF28" s="4">
        <v>86</v>
      </c>
      <c r="BG28" s="4">
        <v>111</v>
      </c>
      <c r="BH28" s="4">
        <v>0.1</v>
      </c>
      <c r="BI28" s="4">
        <v>2163</v>
      </c>
      <c r="BJ28" s="4">
        <v>19.5</v>
      </c>
      <c r="BK28" s="4">
        <v>8.9</v>
      </c>
      <c r="BL28" s="4">
        <v>10.4</v>
      </c>
      <c r="BM28" s="4">
        <v>89.1</v>
      </c>
      <c r="BN28" s="4">
        <v>14.9</v>
      </c>
      <c r="BO28" s="4">
        <v>0.8</v>
      </c>
      <c r="BP28" s="4">
        <v>17.600000000000001</v>
      </c>
      <c r="BQ28" s="4">
        <v>15.7</v>
      </c>
      <c r="BR28" s="4">
        <v>53.6</v>
      </c>
      <c r="BS28" s="43">
        <v>47.7</v>
      </c>
    </row>
    <row r="29" spans="1:71" ht="30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4">
        <v>575</v>
      </c>
      <c r="I29" s="4">
        <v>322</v>
      </c>
      <c r="J29" s="4">
        <v>258</v>
      </c>
      <c r="K29" s="4">
        <v>502</v>
      </c>
      <c r="L29" s="4">
        <v>282</v>
      </c>
      <c r="M29" s="4">
        <v>223</v>
      </c>
      <c r="N29" s="4">
        <v>351</v>
      </c>
      <c r="O29" s="4">
        <v>199</v>
      </c>
      <c r="P29" s="4">
        <v>149</v>
      </c>
      <c r="Q29" s="4">
        <v>67</v>
      </c>
      <c r="R29" s="4">
        <v>45</v>
      </c>
      <c r="S29" s="4">
        <v>26</v>
      </c>
      <c r="T29" s="4">
        <v>299</v>
      </c>
      <c r="U29" s="4">
        <v>165</v>
      </c>
      <c r="V29" s="4">
        <v>137</v>
      </c>
      <c r="W29" s="4">
        <v>136</v>
      </c>
      <c r="X29" s="4">
        <v>71</v>
      </c>
      <c r="Y29" s="4">
        <v>61</v>
      </c>
      <c r="Z29" s="4">
        <v>339</v>
      </c>
      <c r="AA29" s="4">
        <v>166</v>
      </c>
      <c r="AB29" s="4">
        <v>140</v>
      </c>
      <c r="AC29" s="4">
        <v>72</v>
      </c>
      <c r="AD29" s="4">
        <v>65</v>
      </c>
      <c r="AE29" s="4">
        <v>157</v>
      </c>
      <c r="AF29" s="4">
        <v>92</v>
      </c>
      <c r="AG29" s="4">
        <v>61</v>
      </c>
      <c r="AH29" s="4">
        <v>90</v>
      </c>
      <c r="AI29" s="4">
        <v>53</v>
      </c>
      <c r="AJ29" s="4">
        <v>42</v>
      </c>
      <c r="AK29" s="4">
        <v>117</v>
      </c>
      <c r="AL29" s="4">
        <v>63</v>
      </c>
      <c r="AM29" s="4">
        <v>59</v>
      </c>
      <c r="AN29" s="4">
        <v>207</v>
      </c>
      <c r="AO29" s="4">
        <v>118</v>
      </c>
      <c r="AP29" s="4">
        <v>93</v>
      </c>
      <c r="AQ29" s="4">
        <v>86</v>
      </c>
      <c r="AR29" s="4">
        <v>48</v>
      </c>
      <c r="AS29" s="4">
        <v>33</v>
      </c>
      <c r="AT29" s="4">
        <v>104</v>
      </c>
      <c r="AU29" s="4">
        <v>66</v>
      </c>
      <c r="AV29" s="4">
        <v>42</v>
      </c>
      <c r="AW29" s="4">
        <v>101</v>
      </c>
      <c r="AX29" s="4">
        <v>54</v>
      </c>
      <c r="AY29" s="4">
        <v>51</v>
      </c>
      <c r="AZ29" s="4">
        <v>25</v>
      </c>
      <c r="BA29" s="4">
        <v>37</v>
      </c>
      <c r="BB29" s="4">
        <v>44</v>
      </c>
      <c r="BC29" s="4">
        <v>36</v>
      </c>
      <c r="BD29" s="4">
        <v>360</v>
      </c>
      <c r="BE29" s="4">
        <v>231</v>
      </c>
      <c r="BF29" s="4">
        <v>113</v>
      </c>
      <c r="BG29" s="4">
        <v>114</v>
      </c>
      <c r="BH29" s="4">
        <v>0.2</v>
      </c>
      <c r="BI29" s="4">
        <v>2876</v>
      </c>
      <c r="BJ29" s="4">
        <v>20</v>
      </c>
      <c r="BK29" s="4">
        <v>11.2</v>
      </c>
      <c r="BL29" s="4">
        <v>9</v>
      </c>
      <c r="BM29" s="4">
        <v>87.3</v>
      </c>
      <c r="BN29" s="4">
        <v>13.3</v>
      </c>
      <c r="BO29" s="4">
        <v>0.8</v>
      </c>
      <c r="BP29" s="4">
        <v>20.100000000000001</v>
      </c>
      <c r="BQ29" s="4">
        <v>17.600000000000001</v>
      </c>
      <c r="BR29" s="4">
        <v>46</v>
      </c>
      <c r="BS29" s="43">
        <v>40.200000000000003</v>
      </c>
    </row>
    <row r="30" spans="1:71" ht="30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4">
        <v>386</v>
      </c>
      <c r="I30" s="4">
        <v>205</v>
      </c>
      <c r="J30" s="4">
        <v>176</v>
      </c>
      <c r="K30" s="4">
        <v>349</v>
      </c>
      <c r="L30" s="4">
        <v>176</v>
      </c>
      <c r="M30" s="4">
        <v>168</v>
      </c>
      <c r="N30" s="4">
        <v>247</v>
      </c>
      <c r="O30" s="4">
        <v>126</v>
      </c>
      <c r="P30" s="4">
        <v>117</v>
      </c>
      <c r="Q30" s="4">
        <v>53</v>
      </c>
      <c r="R30" s="4">
        <v>21</v>
      </c>
      <c r="S30" s="4">
        <v>35</v>
      </c>
      <c r="T30" s="4">
        <v>202</v>
      </c>
      <c r="U30" s="4">
        <v>105</v>
      </c>
      <c r="V30" s="4">
        <v>92</v>
      </c>
      <c r="W30" s="4">
        <v>95</v>
      </c>
      <c r="X30" s="4">
        <v>49</v>
      </c>
      <c r="Y30" s="4">
        <v>41</v>
      </c>
      <c r="Z30" s="4">
        <v>266</v>
      </c>
      <c r="AA30" s="4">
        <v>89</v>
      </c>
      <c r="AB30" s="4">
        <v>95</v>
      </c>
      <c r="AC30" s="4">
        <v>47</v>
      </c>
      <c r="AD30" s="4">
        <v>52</v>
      </c>
      <c r="AE30" s="4">
        <v>133</v>
      </c>
      <c r="AF30" s="4">
        <v>80</v>
      </c>
      <c r="AG30" s="4">
        <v>58</v>
      </c>
      <c r="AH30" s="4">
        <v>61</v>
      </c>
      <c r="AI30" s="4">
        <v>29</v>
      </c>
      <c r="AJ30" s="4">
        <v>29</v>
      </c>
      <c r="AK30" s="4">
        <v>54</v>
      </c>
      <c r="AL30" s="4">
        <v>24</v>
      </c>
      <c r="AM30" s="4">
        <v>26</v>
      </c>
      <c r="AN30" s="4">
        <v>151</v>
      </c>
      <c r="AO30" s="4">
        <v>66</v>
      </c>
      <c r="AP30" s="4">
        <v>79</v>
      </c>
      <c r="AQ30" s="4">
        <v>57</v>
      </c>
      <c r="AR30" s="4">
        <v>30</v>
      </c>
      <c r="AS30" s="4">
        <v>30</v>
      </c>
      <c r="AT30" s="4">
        <v>60</v>
      </c>
      <c r="AU30" s="4">
        <v>44</v>
      </c>
      <c r="AV30" s="4">
        <v>22</v>
      </c>
      <c r="AW30" s="4">
        <v>77</v>
      </c>
      <c r="AX30" s="4">
        <v>39</v>
      </c>
      <c r="AY30" s="4">
        <v>42</v>
      </c>
      <c r="AZ30" s="4">
        <v>17</v>
      </c>
      <c r="BA30" s="4">
        <v>27</v>
      </c>
      <c r="BB30" s="4">
        <v>33</v>
      </c>
      <c r="BC30" s="4">
        <v>22</v>
      </c>
      <c r="BD30" s="4">
        <v>240</v>
      </c>
      <c r="BE30" s="4">
        <v>173</v>
      </c>
      <c r="BF30" s="4">
        <v>85</v>
      </c>
      <c r="BG30" s="4">
        <v>83</v>
      </c>
      <c r="BH30" s="4">
        <v>0.2</v>
      </c>
      <c r="BI30" s="4">
        <v>2270</v>
      </c>
      <c r="BJ30" s="4">
        <v>17</v>
      </c>
      <c r="BK30" s="4">
        <v>9</v>
      </c>
      <c r="BL30" s="4">
        <v>7.8</v>
      </c>
      <c r="BM30" s="4">
        <v>90.4</v>
      </c>
      <c r="BN30" s="4">
        <v>15.2</v>
      </c>
      <c r="BO30" s="4">
        <v>0.8</v>
      </c>
      <c r="BP30" s="4">
        <v>22.1</v>
      </c>
      <c r="BQ30" s="4">
        <v>19.899999999999999</v>
      </c>
      <c r="BR30" s="4">
        <v>49.6</v>
      </c>
      <c r="BS30" s="43">
        <v>44.8</v>
      </c>
    </row>
    <row r="31" spans="1:71" ht="30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4">
        <v>474</v>
      </c>
      <c r="I31" s="4">
        <v>247</v>
      </c>
      <c r="J31" s="4">
        <v>232</v>
      </c>
      <c r="K31" s="4">
        <v>426</v>
      </c>
      <c r="L31" s="4">
        <v>220</v>
      </c>
      <c r="M31" s="4">
        <v>210</v>
      </c>
      <c r="N31" s="4">
        <v>307</v>
      </c>
      <c r="O31" s="4">
        <v>150</v>
      </c>
      <c r="P31" s="4">
        <v>154</v>
      </c>
      <c r="Q31" s="4">
        <v>66</v>
      </c>
      <c r="R31" s="4">
        <v>37</v>
      </c>
      <c r="S31" s="4">
        <v>33</v>
      </c>
      <c r="T31" s="4">
        <v>272</v>
      </c>
      <c r="U31" s="4">
        <v>139</v>
      </c>
      <c r="V31" s="4">
        <v>136</v>
      </c>
      <c r="W31" s="4">
        <v>89</v>
      </c>
      <c r="X31" s="4">
        <v>51</v>
      </c>
      <c r="Y31" s="4">
        <v>41</v>
      </c>
      <c r="Z31" s="4">
        <v>301</v>
      </c>
      <c r="AA31" s="4">
        <v>125</v>
      </c>
      <c r="AB31" s="4">
        <v>123</v>
      </c>
      <c r="AC31" s="4">
        <v>50</v>
      </c>
      <c r="AD31" s="4">
        <v>68</v>
      </c>
      <c r="AE31" s="4">
        <v>141</v>
      </c>
      <c r="AF31" s="4">
        <v>81</v>
      </c>
      <c r="AG31" s="4">
        <v>56</v>
      </c>
      <c r="AH31" s="4">
        <v>103</v>
      </c>
      <c r="AI31" s="4">
        <v>50</v>
      </c>
      <c r="AJ31" s="4">
        <v>49</v>
      </c>
      <c r="AK31" s="4">
        <v>71</v>
      </c>
      <c r="AL31" s="4">
        <v>33</v>
      </c>
      <c r="AM31" s="4">
        <v>35</v>
      </c>
      <c r="AN31" s="4">
        <v>171</v>
      </c>
      <c r="AO31" s="4">
        <v>87</v>
      </c>
      <c r="AP31" s="4">
        <v>80</v>
      </c>
      <c r="AQ31" s="4">
        <v>92</v>
      </c>
      <c r="AR31" s="4">
        <v>47</v>
      </c>
      <c r="AS31" s="4">
        <v>42</v>
      </c>
      <c r="AT31" s="4">
        <v>87</v>
      </c>
      <c r="AU31" s="4">
        <v>49</v>
      </c>
      <c r="AV31" s="4">
        <v>33</v>
      </c>
      <c r="AW31" s="4">
        <v>70</v>
      </c>
      <c r="AX31" s="4">
        <v>33</v>
      </c>
      <c r="AY31" s="4">
        <v>43</v>
      </c>
      <c r="AZ31" s="4">
        <v>32</v>
      </c>
      <c r="BA31" s="4">
        <v>30</v>
      </c>
      <c r="BB31" s="4">
        <v>40</v>
      </c>
      <c r="BC31" s="4">
        <v>34</v>
      </c>
      <c r="BD31" s="4">
        <v>298</v>
      </c>
      <c r="BE31" s="4">
        <v>227</v>
      </c>
      <c r="BF31" s="4">
        <v>100</v>
      </c>
      <c r="BG31" s="4">
        <v>124</v>
      </c>
      <c r="BH31" s="4">
        <v>0.2</v>
      </c>
      <c r="BI31" s="4">
        <v>2635</v>
      </c>
      <c r="BJ31" s="4">
        <v>18</v>
      </c>
      <c r="BK31" s="4">
        <v>9.4</v>
      </c>
      <c r="BL31" s="4">
        <v>8.8000000000000007</v>
      </c>
      <c r="BM31" s="4">
        <v>89.9</v>
      </c>
      <c r="BN31" s="4">
        <v>15.5</v>
      </c>
      <c r="BO31" s="4">
        <v>0.9</v>
      </c>
      <c r="BP31" s="4">
        <v>16.399999999999999</v>
      </c>
      <c r="BQ31" s="4">
        <v>14.8</v>
      </c>
      <c r="BR31" s="4">
        <v>53.3</v>
      </c>
      <c r="BS31" s="43">
        <v>47.9</v>
      </c>
    </row>
    <row r="32" spans="1:71" ht="30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4">
        <v>364</v>
      </c>
      <c r="I32" s="4">
        <v>207</v>
      </c>
      <c r="J32" s="4">
        <v>153</v>
      </c>
      <c r="K32" s="4">
        <v>315</v>
      </c>
      <c r="L32" s="4">
        <v>182</v>
      </c>
      <c r="M32" s="4">
        <v>137</v>
      </c>
      <c r="N32" s="4">
        <v>230</v>
      </c>
      <c r="O32" s="4">
        <v>135</v>
      </c>
      <c r="P32" s="4">
        <v>92</v>
      </c>
      <c r="Q32" s="4">
        <v>42</v>
      </c>
      <c r="R32" s="4">
        <v>30</v>
      </c>
      <c r="S32" s="4">
        <v>16</v>
      </c>
      <c r="T32" s="4">
        <v>174</v>
      </c>
      <c r="U32" s="4">
        <v>91</v>
      </c>
      <c r="V32" s="4">
        <v>79</v>
      </c>
      <c r="W32" s="4">
        <v>100</v>
      </c>
      <c r="X32" s="4">
        <v>62</v>
      </c>
      <c r="Y32" s="4">
        <v>42</v>
      </c>
      <c r="Z32" s="4">
        <v>237</v>
      </c>
      <c r="AA32" s="4">
        <v>75</v>
      </c>
      <c r="AB32" s="4">
        <v>104</v>
      </c>
      <c r="AC32" s="4">
        <v>55</v>
      </c>
      <c r="AD32" s="4">
        <v>53</v>
      </c>
      <c r="AE32" s="4">
        <v>98</v>
      </c>
      <c r="AF32" s="4">
        <v>59</v>
      </c>
      <c r="AG32" s="4">
        <v>34</v>
      </c>
      <c r="AH32" s="4">
        <v>61</v>
      </c>
      <c r="AI32" s="4">
        <v>36</v>
      </c>
      <c r="AJ32" s="4">
        <v>29</v>
      </c>
      <c r="AK32" s="4">
        <v>49</v>
      </c>
      <c r="AL32" s="4">
        <v>28</v>
      </c>
      <c r="AM32" s="4">
        <v>25</v>
      </c>
      <c r="AN32" s="4">
        <v>145</v>
      </c>
      <c r="AO32" s="4">
        <v>82</v>
      </c>
      <c r="AP32" s="4">
        <v>59</v>
      </c>
      <c r="AQ32" s="4">
        <v>51</v>
      </c>
      <c r="AR32" s="4">
        <v>33</v>
      </c>
      <c r="AS32" s="4">
        <v>24</v>
      </c>
      <c r="AT32" s="4">
        <v>56</v>
      </c>
      <c r="AU32" s="4">
        <v>37</v>
      </c>
      <c r="AV32" s="4">
        <v>23</v>
      </c>
      <c r="AW32" s="4">
        <v>58</v>
      </c>
      <c r="AX32" s="4">
        <v>35</v>
      </c>
      <c r="AY32" s="4">
        <v>26</v>
      </c>
      <c r="AZ32" s="4">
        <v>22</v>
      </c>
      <c r="BA32" s="4">
        <v>11</v>
      </c>
      <c r="BB32" s="4">
        <v>36</v>
      </c>
      <c r="BC32" s="4">
        <v>19</v>
      </c>
      <c r="BD32" s="4">
        <v>235</v>
      </c>
      <c r="BE32" s="4">
        <v>189</v>
      </c>
      <c r="BF32" s="4">
        <v>105</v>
      </c>
      <c r="BG32" s="4">
        <v>88</v>
      </c>
      <c r="BH32" s="4">
        <v>0.3</v>
      </c>
      <c r="BI32" s="4">
        <v>2081</v>
      </c>
      <c r="BJ32" s="4">
        <v>17.5</v>
      </c>
      <c r="BK32" s="4">
        <v>9.9</v>
      </c>
      <c r="BL32" s="4">
        <v>7.4</v>
      </c>
      <c r="BM32" s="4">
        <v>86.5</v>
      </c>
      <c r="BN32" s="4">
        <v>13.3</v>
      </c>
      <c r="BO32" s="4">
        <v>0.8</v>
      </c>
      <c r="BP32" s="4">
        <v>18.399999999999999</v>
      </c>
      <c r="BQ32" s="4">
        <v>15.9</v>
      </c>
      <c r="BR32" s="4">
        <v>60</v>
      </c>
      <c r="BS32" s="43">
        <v>51.9</v>
      </c>
    </row>
    <row r="33" spans="1:71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4">
        <v>200</v>
      </c>
      <c r="I33" s="4">
        <v>125</v>
      </c>
      <c r="J33" s="4">
        <v>72</v>
      </c>
      <c r="K33" s="4">
        <v>179</v>
      </c>
      <c r="L33" s="4">
        <v>109</v>
      </c>
      <c r="M33" s="4">
        <v>66</v>
      </c>
      <c r="N33" s="4">
        <v>142</v>
      </c>
      <c r="O33" s="4">
        <v>93</v>
      </c>
      <c r="P33" s="4">
        <v>45</v>
      </c>
      <c r="Q33" s="4">
        <v>19</v>
      </c>
      <c r="R33" s="4">
        <v>8</v>
      </c>
      <c r="S33" s="4">
        <v>7</v>
      </c>
      <c r="T33" s="4">
        <v>103</v>
      </c>
      <c r="U33" s="4">
        <v>64</v>
      </c>
      <c r="V33" s="4">
        <v>43</v>
      </c>
      <c r="W33" s="4">
        <v>57</v>
      </c>
      <c r="X33" s="4">
        <v>37</v>
      </c>
      <c r="Y33" s="4">
        <v>16</v>
      </c>
      <c r="Z33" s="4">
        <v>102</v>
      </c>
      <c r="AA33" s="4">
        <v>73</v>
      </c>
      <c r="AB33" s="4">
        <v>63</v>
      </c>
      <c r="AC33" s="4">
        <v>44</v>
      </c>
      <c r="AD33" s="4">
        <v>23</v>
      </c>
      <c r="AE33" s="4">
        <v>69</v>
      </c>
      <c r="AF33" s="4">
        <v>48</v>
      </c>
      <c r="AG33" s="4">
        <v>24</v>
      </c>
      <c r="AH33" s="4">
        <v>27</v>
      </c>
      <c r="AI33" s="4">
        <v>20</v>
      </c>
      <c r="AJ33" s="4">
        <v>12</v>
      </c>
      <c r="AK33" s="4">
        <v>8</v>
      </c>
      <c r="AL33" s="4">
        <v>0</v>
      </c>
      <c r="AM33" s="4">
        <v>5</v>
      </c>
      <c r="AN33" s="4">
        <v>79</v>
      </c>
      <c r="AO33" s="4">
        <v>45</v>
      </c>
      <c r="AP33" s="4">
        <v>29</v>
      </c>
      <c r="AQ33" s="4">
        <v>44</v>
      </c>
      <c r="AR33" s="4">
        <v>24</v>
      </c>
      <c r="AS33" s="4">
        <v>16</v>
      </c>
      <c r="AT33" s="4">
        <v>34</v>
      </c>
      <c r="AU33" s="4">
        <v>21</v>
      </c>
      <c r="AV33" s="4">
        <v>16</v>
      </c>
      <c r="AW33" s="4">
        <v>27</v>
      </c>
      <c r="AX33" s="4">
        <v>21</v>
      </c>
      <c r="AY33" s="4">
        <v>12</v>
      </c>
      <c r="AZ33" s="4">
        <v>5</v>
      </c>
      <c r="BA33" s="4">
        <v>10</v>
      </c>
      <c r="BB33" s="4">
        <v>15</v>
      </c>
      <c r="BC33" s="4">
        <v>12</v>
      </c>
      <c r="BD33" s="4">
        <v>145</v>
      </c>
      <c r="BE33" s="4">
        <v>116</v>
      </c>
      <c r="BF33" s="4">
        <v>75</v>
      </c>
      <c r="BG33" s="4">
        <v>35</v>
      </c>
      <c r="BH33" s="4">
        <v>0.1</v>
      </c>
      <c r="BI33" s="4">
        <v>554</v>
      </c>
      <c r="BJ33" s="4">
        <v>36.1</v>
      </c>
      <c r="BK33" s="4">
        <v>22.6</v>
      </c>
      <c r="BL33" s="4">
        <v>13</v>
      </c>
      <c r="BM33" s="4">
        <v>89.5</v>
      </c>
      <c r="BN33" s="4">
        <v>10.6</v>
      </c>
      <c r="BO33" s="4">
        <v>0.9</v>
      </c>
      <c r="BP33" s="4">
        <v>15.1</v>
      </c>
      <c r="BQ33" s="4">
        <v>13.5</v>
      </c>
      <c r="BR33" s="4">
        <v>64.8</v>
      </c>
      <c r="BS33" s="43">
        <v>58</v>
      </c>
    </row>
    <row r="34" spans="1:71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4">
        <v>424</v>
      </c>
      <c r="I34" s="4">
        <v>210</v>
      </c>
      <c r="J34" s="4">
        <v>218</v>
      </c>
      <c r="K34" s="4">
        <v>379</v>
      </c>
      <c r="L34" s="4">
        <v>176</v>
      </c>
      <c r="M34" s="4">
        <v>199</v>
      </c>
      <c r="N34" s="4">
        <v>252</v>
      </c>
      <c r="O34" s="4">
        <v>118</v>
      </c>
      <c r="P34" s="4">
        <v>130</v>
      </c>
      <c r="Q34" s="4">
        <v>45</v>
      </c>
      <c r="R34" s="4">
        <v>24</v>
      </c>
      <c r="S34" s="4">
        <v>16</v>
      </c>
      <c r="T34" s="4">
        <v>229</v>
      </c>
      <c r="U34" s="4">
        <v>108</v>
      </c>
      <c r="V34" s="4">
        <v>126</v>
      </c>
      <c r="W34" s="4">
        <v>106</v>
      </c>
      <c r="X34" s="4">
        <v>46</v>
      </c>
      <c r="Y34" s="4">
        <v>57</v>
      </c>
      <c r="Z34" s="4">
        <v>244</v>
      </c>
      <c r="AA34" s="4">
        <v>132</v>
      </c>
      <c r="AB34" s="4">
        <v>101</v>
      </c>
      <c r="AC34" s="4">
        <v>38</v>
      </c>
      <c r="AD34" s="4">
        <v>58</v>
      </c>
      <c r="AE34" s="4">
        <v>122</v>
      </c>
      <c r="AF34" s="4">
        <v>64</v>
      </c>
      <c r="AG34" s="4">
        <v>61</v>
      </c>
      <c r="AH34" s="4">
        <v>104</v>
      </c>
      <c r="AI34" s="4">
        <v>51</v>
      </c>
      <c r="AJ34" s="4">
        <v>57</v>
      </c>
      <c r="AK34" s="4">
        <v>55</v>
      </c>
      <c r="AL34" s="4">
        <v>27</v>
      </c>
      <c r="AM34" s="4">
        <v>25</v>
      </c>
      <c r="AN34" s="4">
        <v>131</v>
      </c>
      <c r="AO34" s="4">
        <v>61</v>
      </c>
      <c r="AP34" s="4">
        <v>65</v>
      </c>
      <c r="AQ34" s="4">
        <v>79</v>
      </c>
      <c r="AR34" s="4">
        <v>43</v>
      </c>
      <c r="AS34" s="4">
        <v>41</v>
      </c>
      <c r="AT34" s="4">
        <v>86</v>
      </c>
      <c r="AU34" s="4">
        <v>38</v>
      </c>
      <c r="AV34" s="4">
        <v>55</v>
      </c>
      <c r="AW34" s="4">
        <v>80</v>
      </c>
      <c r="AX34" s="4">
        <v>38</v>
      </c>
      <c r="AY34" s="4">
        <v>46</v>
      </c>
      <c r="AZ34" s="4">
        <v>15</v>
      </c>
      <c r="BA34" s="4">
        <v>29</v>
      </c>
      <c r="BB34" s="4">
        <v>43</v>
      </c>
      <c r="BC34" s="4">
        <v>40</v>
      </c>
      <c r="BD34" s="4">
        <v>263</v>
      </c>
      <c r="BE34" s="4">
        <v>190</v>
      </c>
      <c r="BF34" s="4">
        <v>79</v>
      </c>
      <c r="BG34" s="4">
        <v>106</v>
      </c>
      <c r="BH34" s="4">
        <v>0.2</v>
      </c>
      <c r="BI34" s="4">
        <v>2341</v>
      </c>
      <c r="BJ34" s="4">
        <v>18.100000000000001</v>
      </c>
      <c r="BK34" s="4">
        <v>9</v>
      </c>
      <c r="BL34" s="4">
        <v>9.3000000000000007</v>
      </c>
      <c r="BM34" s="4">
        <v>89.4</v>
      </c>
      <c r="BN34" s="4">
        <v>11.9</v>
      </c>
      <c r="BO34" s="4">
        <v>0.9</v>
      </c>
      <c r="BP34" s="4">
        <v>21.1</v>
      </c>
      <c r="BQ34" s="4">
        <v>18.899999999999999</v>
      </c>
      <c r="BR34" s="4">
        <v>50.1</v>
      </c>
      <c r="BS34" s="43">
        <v>44.8</v>
      </c>
    </row>
    <row r="35" spans="1:71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4">
        <v>281</v>
      </c>
      <c r="I35" s="4">
        <v>147</v>
      </c>
      <c r="J35" s="4">
        <v>138</v>
      </c>
      <c r="K35" s="4">
        <v>254</v>
      </c>
      <c r="L35" s="4">
        <v>129</v>
      </c>
      <c r="M35" s="4">
        <v>129</v>
      </c>
      <c r="N35" s="4">
        <v>174</v>
      </c>
      <c r="O35" s="4">
        <v>93</v>
      </c>
      <c r="P35" s="4">
        <v>85</v>
      </c>
      <c r="Q35" s="4">
        <v>29</v>
      </c>
      <c r="R35" s="4">
        <v>10</v>
      </c>
      <c r="S35" s="4">
        <v>16</v>
      </c>
      <c r="T35" s="4">
        <v>162</v>
      </c>
      <c r="U35" s="4">
        <v>81</v>
      </c>
      <c r="V35" s="4">
        <v>84</v>
      </c>
      <c r="W35" s="4">
        <v>63</v>
      </c>
      <c r="X35" s="4">
        <v>38</v>
      </c>
      <c r="Y35" s="4">
        <v>29</v>
      </c>
      <c r="Z35" s="4">
        <v>201</v>
      </c>
      <c r="AA35" s="4">
        <v>57</v>
      </c>
      <c r="AB35" s="4">
        <v>47</v>
      </c>
      <c r="AC35" s="4">
        <v>31</v>
      </c>
      <c r="AD35" s="4">
        <v>20</v>
      </c>
      <c r="AE35" s="4">
        <v>106</v>
      </c>
      <c r="AF35" s="4">
        <v>56</v>
      </c>
      <c r="AG35" s="4">
        <v>53</v>
      </c>
      <c r="AH35" s="4">
        <v>56</v>
      </c>
      <c r="AI35" s="4">
        <v>26</v>
      </c>
      <c r="AJ35" s="4">
        <v>27</v>
      </c>
      <c r="AK35" s="4">
        <v>44</v>
      </c>
      <c r="AL35" s="4">
        <v>19</v>
      </c>
      <c r="AM35" s="4">
        <v>32</v>
      </c>
      <c r="AN35" s="4">
        <v>90</v>
      </c>
      <c r="AO35" s="4">
        <v>49</v>
      </c>
      <c r="AP35" s="4">
        <v>45</v>
      </c>
      <c r="AQ35" s="4">
        <v>38</v>
      </c>
      <c r="AR35" s="4">
        <v>17</v>
      </c>
      <c r="AS35" s="4">
        <v>24</v>
      </c>
      <c r="AT35" s="4">
        <v>71</v>
      </c>
      <c r="AU35" s="4">
        <v>28</v>
      </c>
      <c r="AV35" s="4">
        <v>36</v>
      </c>
      <c r="AW35" s="4">
        <v>67</v>
      </c>
      <c r="AX35" s="4">
        <v>35</v>
      </c>
      <c r="AY35" s="4">
        <v>27</v>
      </c>
      <c r="AZ35" s="4">
        <v>15</v>
      </c>
      <c r="BA35" s="4">
        <v>22</v>
      </c>
      <c r="BB35" s="4">
        <v>30</v>
      </c>
      <c r="BC35" s="4">
        <v>20</v>
      </c>
      <c r="BD35" s="4">
        <v>166</v>
      </c>
      <c r="BE35" s="4">
        <v>127</v>
      </c>
      <c r="BF35" s="4">
        <v>63</v>
      </c>
      <c r="BG35" s="4">
        <v>68</v>
      </c>
      <c r="BH35" s="4">
        <v>1</v>
      </c>
      <c r="BI35" s="4">
        <v>1697</v>
      </c>
      <c r="BJ35" s="4">
        <v>16.600000000000001</v>
      </c>
      <c r="BK35" s="4">
        <v>8.6999999999999993</v>
      </c>
      <c r="BL35" s="4">
        <v>8.1</v>
      </c>
      <c r="BM35" s="4">
        <v>90.4</v>
      </c>
      <c r="BN35" s="4">
        <v>11.4</v>
      </c>
      <c r="BO35" s="4">
        <v>0.8</v>
      </c>
      <c r="BP35" s="4">
        <v>26.4</v>
      </c>
      <c r="BQ35" s="4">
        <v>23.8</v>
      </c>
      <c r="BR35" s="4">
        <v>50</v>
      </c>
      <c r="BS35" s="43">
        <v>45.2</v>
      </c>
    </row>
    <row r="36" spans="1:71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4">
        <v>426</v>
      </c>
      <c r="I36" s="4">
        <v>204</v>
      </c>
      <c r="J36" s="4">
        <v>218</v>
      </c>
      <c r="K36" s="4">
        <v>373</v>
      </c>
      <c r="L36" s="4">
        <v>183</v>
      </c>
      <c r="M36" s="4">
        <v>195</v>
      </c>
      <c r="N36" s="4">
        <v>228</v>
      </c>
      <c r="O36" s="4">
        <v>122</v>
      </c>
      <c r="P36" s="4">
        <v>111</v>
      </c>
      <c r="Q36" s="4">
        <v>45</v>
      </c>
      <c r="R36" s="4">
        <v>16</v>
      </c>
      <c r="S36" s="4">
        <v>24</v>
      </c>
      <c r="T36" s="4">
        <v>228</v>
      </c>
      <c r="U36" s="4">
        <v>111</v>
      </c>
      <c r="V36" s="4">
        <v>121</v>
      </c>
      <c r="W36" s="4">
        <v>100</v>
      </c>
      <c r="X36" s="4">
        <v>46</v>
      </c>
      <c r="Y36" s="4">
        <v>49</v>
      </c>
      <c r="Z36" s="4">
        <v>319</v>
      </c>
      <c r="AA36" s="4">
        <v>60</v>
      </c>
      <c r="AB36" s="4">
        <v>77</v>
      </c>
      <c r="AC36" s="4">
        <v>37</v>
      </c>
      <c r="AD36" s="4">
        <v>34</v>
      </c>
      <c r="AE36" s="4">
        <v>115</v>
      </c>
      <c r="AF36" s="4">
        <v>69</v>
      </c>
      <c r="AG36" s="4">
        <v>43</v>
      </c>
      <c r="AH36" s="4">
        <v>84</v>
      </c>
      <c r="AI36" s="4">
        <v>36</v>
      </c>
      <c r="AJ36" s="4">
        <v>44</v>
      </c>
      <c r="AK36" s="4">
        <v>103</v>
      </c>
      <c r="AL36" s="4">
        <v>46</v>
      </c>
      <c r="AM36" s="4">
        <v>61</v>
      </c>
      <c r="AN36" s="4">
        <v>135</v>
      </c>
      <c r="AO36" s="4">
        <v>69</v>
      </c>
      <c r="AP36" s="4">
        <v>63</v>
      </c>
      <c r="AQ36" s="4">
        <v>58</v>
      </c>
      <c r="AR36" s="4">
        <v>24</v>
      </c>
      <c r="AS36" s="4">
        <v>38</v>
      </c>
      <c r="AT36" s="4">
        <v>76</v>
      </c>
      <c r="AU36" s="4">
        <v>40</v>
      </c>
      <c r="AV36" s="4">
        <v>43</v>
      </c>
      <c r="AW36" s="4">
        <v>100</v>
      </c>
      <c r="AX36" s="4">
        <v>48</v>
      </c>
      <c r="AY36" s="4">
        <v>57</v>
      </c>
      <c r="AZ36" s="4">
        <v>19</v>
      </c>
      <c r="BA36" s="4">
        <v>38</v>
      </c>
      <c r="BB36" s="4">
        <v>45</v>
      </c>
      <c r="BC36" s="4">
        <v>13</v>
      </c>
      <c r="BD36" s="4">
        <v>250</v>
      </c>
      <c r="BE36" s="4">
        <v>151</v>
      </c>
      <c r="BF36" s="4">
        <v>74</v>
      </c>
      <c r="BG36" s="4">
        <v>73</v>
      </c>
      <c r="BH36" s="4">
        <v>0.5</v>
      </c>
      <c r="BI36" s="4">
        <v>3515</v>
      </c>
      <c r="BJ36" s="4">
        <v>12.1</v>
      </c>
      <c r="BK36" s="4">
        <v>5.8</v>
      </c>
      <c r="BL36" s="4">
        <v>6.2</v>
      </c>
      <c r="BM36" s="4">
        <v>87.6</v>
      </c>
      <c r="BN36" s="4">
        <v>12.1</v>
      </c>
      <c r="BO36" s="4">
        <v>0.7</v>
      </c>
      <c r="BP36" s="4">
        <v>26.8</v>
      </c>
      <c r="BQ36" s="4">
        <v>23.5</v>
      </c>
      <c r="BR36" s="4">
        <v>40.5</v>
      </c>
      <c r="BS36" s="43">
        <v>35.4</v>
      </c>
    </row>
    <row r="37" spans="1:71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4">
        <v>288</v>
      </c>
      <c r="I37" s="4">
        <v>154</v>
      </c>
      <c r="J37" s="4">
        <v>140</v>
      </c>
      <c r="K37" s="4">
        <v>255</v>
      </c>
      <c r="L37" s="4">
        <v>141</v>
      </c>
      <c r="M37" s="4">
        <v>120</v>
      </c>
      <c r="N37" s="4">
        <v>163</v>
      </c>
      <c r="O37" s="4">
        <v>93</v>
      </c>
      <c r="P37" s="4">
        <v>66</v>
      </c>
      <c r="Q37" s="4">
        <v>36</v>
      </c>
      <c r="R37" s="4">
        <v>21</v>
      </c>
      <c r="S37" s="4">
        <v>11</v>
      </c>
      <c r="T37" s="4">
        <v>146</v>
      </c>
      <c r="U37" s="4">
        <v>84</v>
      </c>
      <c r="V37" s="4">
        <v>57</v>
      </c>
      <c r="W37" s="4">
        <v>73</v>
      </c>
      <c r="X37" s="4">
        <v>28</v>
      </c>
      <c r="Y37" s="4">
        <v>40</v>
      </c>
      <c r="Z37" s="4">
        <v>209</v>
      </c>
      <c r="AA37" s="4">
        <v>42</v>
      </c>
      <c r="AB37" s="4">
        <v>55</v>
      </c>
      <c r="AC37" s="4">
        <v>25</v>
      </c>
      <c r="AD37" s="4">
        <v>25</v>
      </c>
      <c r="AE37" s="4">
        <v>74</v>
      </c>
      <c r="AF37" s="4">
        <v>42</v>
      </c>
      <c r="AG37" s="4">
        <v>28</v>
      </c>
      <c r="AH37" s="4">
        <v>64</v>
      </c>
      <c r="AI37" s="4">
        <v>38</v>
      </c>
      <c r="AJ37" s="4">
        <v>29</v>
      </c>
      <c r="AK37" s="4">
        <v>65</v>
      </c>
      <c r="AL37" s="4">
        <v>32</v>
      </c>
      <c r="AM37" s="4">
        <v>31</v>
      </c>
      <c r="AN37" s="4">
        <v>94</v>
      </c>
      <c r="AO37" s="4">
        <v>53</v>
      </c>
      <c r="AP37" s="4">
        <v>36</v>
      </c>
      <c r="AQ37" s="4">
        <v>36</v>
      </c>
      <c r="AR37" s="4">
        <v>22</v>
      </c>
      <c r="AS37" s="4">
        <v>17</v>
      </c>
      <c r="AT37" s="4">
        <v>54</v>
      </c>
      <c r="AU37" s="4">
        <v>31</v>
      </c>
      <c r="AV37" s="4">
        <v>19</v>
      </c>
      <c r="AW37" s="4">
        <v>68</v>
      </c>
      <c r="AX37" s="4">
        <v>31</v>
      </c>
      <c r="AY37" s="4">
        <v>32</v>
      </c>
      <c r="AZ37" s="4">
        <v>9</v>
      </c>
      <c r="BA37" s="4">
        <v>29</v>
      </c>
      <c r="BB37" s="4">
        <v>29</v>
      </c>
      <c r="BC37" s="4">
        <v>17</v>
      </c>
      <c r="BD37" s="4">
        <v>159</v>
      </c>
      <c r="BE37" s="4">
        <v>91</v>
      </c>
      <c r="BF37" s="4">
        <v>52</v>
      </c>
      <c r="BG37" s="4">
        <v>36</v>
      </c>
      <c r="BH37" s="4">
        <v>0.5</v>
      </c>
      <c r="BI37" s="4">
        <v>2279</v>
      </c>
      <c r="BJ37" s="4">
        <v>12.6</v>
      </c>
      <c r="BK37" s="4">
        <v>6.8</v>
      </c>
      <c r="BL37" s="4">
        <v>6.1</v>
      </c>
      <c r="BM37" s="4">
        <v>88.5</v>
      </c>
      <c r="BN37" s="4">
        <v>14.1</v>
      </c>
      <c r="BO37" s="4">
        <v>0.8</v>
      </c>
      <c r="BP37" s="4">
        <v>26.7</v>
      </c>
      <c r="BQ37" s="4">
        <v>23.6</v>
      </c>
      <c r="BR37" s="4">
        <v>35.700000000000003</v>
      </c>
      <c r="BS37" s="43">
        <v>31.6</v>
      </c>
    </row>
    <row r="38" spans="1:71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4">
        <v>416</v>
      </c>
      <c r="I38" s="4">
        <v>213</v>
      </c>
      <c r="J38" s="4">
        <v>198</v>
      </c>
      <c r="K38" s="4">
        <v>331</v>
      </c>
      <c r="L38" s="4">
        <v>164</v>
      </c>
      <c r="M38" s="4">
        <v>172</v>
      </c>
      <c r="N38" s="4">
        <v>229</v>
      </c>
      <c r="O38" s="4">
        <v>113</v>
      </c>
      <c r="P38" s="4">
        <v>110</v>
      </c>
      <c r="Q38" s="4">
        <v>49</v>
      </c>
      <c r="R38" s="4">
        <v>21</v>
      </c>
      <c r="S38" s="4">
        <v>24</v>
      </c>
      <c r="T38" s="4">
        <v>210</v>
      </c>
      <c r="U38" s="4">
        <v>103</v>
      </c>
      <c r="V38" s="4">
        <v>104</v>
      </c>
      <c r="W38" s="4">
        <v>71</v>
      </c>
      <c r="X38" s="4">
        <v>40</v>
      </c>
      <c r="Y38" s="4">
        <v>35</v>
      </c>
      <c r="Z38" s="4">
        <v>268</v>
      </c>
      <c r="AA38" s="4">
        <v>66</v>
      </c>
      <c r="AB38" s="4">
        <v>67</v>
      </c>
      <c r="AC38" s="4">
        <v>26</v>
      </c>
      <c r="AD38" s="4">
        <v>36</v>
      </c>
      <c r="AE38" s="4">
        <v>94</v>
      </c>
      <c r="AF38" s="4">
        <v>56</v>
      </c>
      <c r="AG38" s="4">
        <v>42</v>
      </c>
      <c r="AH38" s="4">
        <v>90</v>
      </c>
      <c r="AI38" s="4">
        <v>45</v>
      </c>
      <c r="AJ38" s="4">
        <v>41</v>
      </c>
      <c r="AK38" s="4">
        <v>84</v>
      </c>
      <c r="AL38" s="4">
        <v>40</v>
      </c>
      <c r="AM38" s="4">
        <v>47</v>
      </c>
      <c r="AN38" s="4">
        <v>141</v>
      </c>
      <c r="AO38" s="4">
        <v>73</v>
      </c>
      <c r="AP38" s="4">
        <v>72</v>
      </c>
      <c r="AQ38" s="4">
        <v>53</v>
      </c>
      <c r="AR38" s="4">
        <v>22</v>
      </c>
      <c r="AS38" s="4">
        <v>34</v>
      </c>
      <c r="AT38" s="4">
        <v>67</v>
      </c>
      <c r="AU38" s="4">
        <v>34</v>
      </c>
      <c r="AV38" s="4">
        <v>29</v>
      </c>
      <c r="AW38" s="4">
        <v>73</v>
      </c>
      <c r="AX38" s="4">
        <v>38</v>
      </c>
      <c r="AY38" s="4">
        <v>31</v>
      </c>
      <c r="AZ38" s="4">
        <v>9</v>
      </c>
      <c r="BA38" s="4">
        <v>24</v>
      </c>
      <c r="BB38" s="4">
        <v>55</v>
      </c>
      <c r="BC38" s="4">
        <v>26</v>
      </c>
      <c r="BD38" s="4">
        <v>224</v>
      </c>
      <c r="BE38" s="4">
        <v>144</v>
      </c>
      <c r="BF38" s="4">
        <v>75</v>
      </c>
      <c r="BG38" s="4">
        <v>73</v>
      </c>
      <c r="BH38" s="4">
        <v>0.4</v>
      </c>
      <c r="BI38" s="4">
        <v>2646</v>
      </c>
      <c r="BJ38" s="4">
        <v>15.7</v>
      </c>
      <c r="BK38" s="4">
        <v>8</v>
      </c>
      <c r="BL38" s="4">
        <v>7.5</v>
      </c>
      <c r="BM38" s="4">
        <v>79.599999999999994</v>
      </c>
      <c r="BN38" s="4">
        <v>14.8</v>
      </c>
      <c r="BO38" s="4">
        <v>0.8</v>
      </c>
      <c r="BP38" s="4">
        <v>22.1</v>
      </c>
      <c r="BQ38" s="4">
        <v>17.5</v>
      </c>
      <c r="BR38" s="4">
        <v>43.5</v>
      </c>
      <c r="BS38" s="43">
        <v>34.6</v>
      </c>
    </row>
    <row r="39" spans="1:71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4">
        <v>464</v>
      </c>
      <c r="I39" s="4">
        <v>258</v>
      </c>
      <c r="J39" s="4">
        <v>210</v>
      </c>
      <c r="K39" s="4">
        <v>407</v>
      </c>
      <c r="L39" s="4">
        <v>218</v>
      </c>
      <c r="M39" s="4">
        <v>186</v>
      </c>
      <c r="N39" s="4">
        <v>289</v>
      </c>
      <c r="O39" s="4">
        <v>153</v>
      </c>
      <c r="P39" s="4">
        <v>130</v>
      </c>
      <c r="Q39" s="4">
        <v>54</v>
      </c>
      <c r="R39" s="4">
        <v>25</v>
      </c>
      <c r="S39" s="4">
        <v>34</v>
      </c>
      <c r="T39" s="4">
        <v>244</v>
      </c>
      <c r="U39" s="4">
        <v>132</v>
      </c>
      <c r="V39" s="4">
        <v>108</v>
      </c>
      <c r="W39" s="4">
        <v>108</v>
      </c>
      <c r="X39" s="4">
        <v>61</v>
      </c>
      <c r="Y39" s="4">
        <v>52</v>
      </c>
      <c r="Z39" s="4">
        <v>320</v>
      </c>
      <c r="AA39" s="4">
        <v>83</v>
      </c>
      <c r="AB39" s="4">
        <v>76</v>
      </c>
      <c r="AC39" s="4">
        <v>37</v>
      </c>
      <c r="AD39" s="4">
        <v>43</v>
      </c>
      <c r="AE39" s="4">
        <v>166</v>
      </c>
      <c r="AF39" s="4">
        <v>101</v>
      </c>
      <c r="AG39" s="4">
        <v>70</v>
      </c>
      <c r="AH39" s="4">
        <v>102</v>
      </c>
      <c r="AI39" s="4">
        <v>52</v>
      </c>
      <c r="AJ39" s="4">
        <v>44</v>
      </c>
      <c r="AK39" s="4">
        <v>63</v>
      </c>
      <c r="AL39" s="4">
        <v>35</v>
      </c>
      <c r="AM39" s="4">
        <v>32</v>
      </c>
      <c r="AN39" s="4">
        <v>148</v>
      </c>
      <c r="AO39" s="4">
        <v>84</v>
      </c>
      <c r="AP39" s="4">
        <v>67</v>
      </c>
      <c r="AQ39" s="4">
        <v>81</v>
      </c>
      <c r="AR39" s="4">
        <v>45</v>
      </c>
      <c r="AS39" s="4">
        <v>40</v>
      </c>
      <c r="AT39" s="4">
        <v>88</v>
      </c>
      <c r="AU39" s="4">
        <v>41</v>
      </c>
      <c r="AV39" s="4">
        <v>42</v>
      </c>
      <c r="AW39" s="4">
        <v>95</v>
      </c>
      <c r="AX39" s="4">
        <v>51</v>
      </c>
      <c r="AY39" s="4">
        <v>41</v>
      </c>
      <c r="AZ39" s="4">
        <v>19</v>
      </c>
      <c r="BA39" s="4">
        <v>24</v>
      </c>
      <c r="BB39" s="4">
        <v>56</v>
      </c>
      <c r="BC39" s="4">
        <v>21</v>
      </c>
      <c r="BD39" s="4">
        <v>297</v>
      </c>
      <c r="BE39" s="4">
        <v>203</v>
      </c>
      <c r="BF39" s="4">
        <v>105</v>
      </c>
      <c r="BG39" s="4">
        <v>102</v>
      </c>
      <c r="BH39" s="4">
        <v>0.2</v>
      </c>
      <c r="BI39" s="4">
        <v>2532</v>
      </c>
      <c r="BJ39" s="4">
        <v>18.3</v>
      </c>
      <c r="BK39" s="4">
        <v>10.199999999999999</v>
      </c>
      <c r="BL39" s="4">
        <v>8.3000000000000007</v>
      </c>
      <c r="BM39" s="4">
        <v>87.7</v>
      </c>
      <c r="BN39" s="4">
        <v>13.3</v>
      </c>
      <c r="BO39" s="4">
        <v>0.8</v>
      </c>
      <c r="BP39" s="4">
        <v>23.3</v>
      </c>
      <c r="BQ39" s="4">
        <v>20.5</v>
      </c>
      <c r="BR39" s="4">
        <v>49.9</v>
      </c>
      <c r="BS39" s="43">
        <v>43.8</v>
      </c>
    </row>
    <row r="40" spans="1:71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51">
        <v>456</v>
      </c>
      <c r="I40" s="51">
        <v>247</v>
      </c>
      <c r="J40" s="51">
        <v>212</v>
      </c>
      <c r="K40" s="51">
        <v>397</v>
      </c>
      <c r="L40" s="51">
        <v>211</v>
      </c>
      <c r="M40" s="51">
        <v>183</v>
      </c>
      <c r="N40" s="51">
        <v>264</v>
      </c>
      <c r="O40" s="51">
        <v>142</v>
      </c>
      <c r="P40" s="51">
        <v>126</v>
      </c>
      <c r="Q40" s="51">
        <v>55</v>
      </c>
      <c r="R40" s="51">
        <v>36</v>
      </c>
      <c r="S40" s="51">
        <v>22</v>
      </c>
      <c r="T40" s="51">
        <v>239</v>
      </c>
      <c r="U40" s="51">
        <v>135</v>
      </c>
      <c r="V40" s="51">
        <v>108</v>
      </c>
      <c r="W40" s="51">
        <v>104</v>
      </c>
      <c r="X40" s="51">
        <v>48</v>
      </c>
      <c r="Y40" s="51">
        <v>52</v>
      </c>
      <c r="Z40" s="51">
        <v>302</v>
      </c>
      <c r="AA40" s="51">
        <v>91</v>
      </c>
      <c r="AB40" s="51">
        <v>85</v>
      </c>
      <c r="AC40" s="51">
        <v>40</v>
      </c>
      <c r="AD40" s="51">
        <v>39</v>
      </c>
      <c r="AE40" s="51">
        <v>151</v>
      </c>
      <c r="AF40" s="51">
        <v>86</v>
      </c>
      <c r="AG40" s="51">
        <v>69</v>
      </c>
      <c r="AH40" s="51">
        <v>102</v>
      </c>
      <c r="AI40" s="51">
        <v>49</v>
      </c>
      <c r="AJ40" s="51">
        <v>49</v>
      </c>
      <c r="AK40" s="51">
        <v>56</v>
      </c>
      <c r="AL40" s="51">
        <v>30</v>
      </c>
      <c r="AM40" s="51">
        <v>29</v>
      </c>
      <c r="AN40" s="51">
        <v>165</v>
      </c>
      <c r="AO40" s="51">
        <v>84</v>
      </c>
      <c r="AP40" s="51">
        <v>84</v>
      </c>
      <c r="AQ40" s="51">
        <v>62</v>
      </c>
      <c r="AR40" s="51">
        <v>35</v>
      </c>
      <c r="AS40" s="51">
        <v>23</v>
      </c>
      <c r="AT40" s="51">
        <v>84</v>
      </c>
      <c r="AU40" s="51">
        <v>43</v>
      </c>
      <c r="AV40" s="51">
        <v>36</v>
      </c>
      <c r="AW40" s="51">
        <v>82</v>
      </c>
      <c r="AX40" s="51">
        <v>43</v>
      </c>
      <c r="AY40" s="51">
        <v>43</v>
      </c>
      <c r="AZ40" s="51">
        <v>19</v>
      </c>
      <c r="BA40" s="51">
        <v>28</v>
      </c>
      <c r="BB40" s="51">
        <v>46</v>
      </c>
      <c r="BC40" s="51">
        <v>24</v>
      </c>
      <c r="BD40" s="51">
        <v>272</v>
      </c>
      <c r="BE40" s="51">
        <v>191</v>
      </c>
      <c r="BF40" s="51">
        <v>88</v>
      </c>
      <c r="BG40" s="51">
        <v>99</v>
      </c>
      <c r="BH40" s="51">
        <v>0.3</v>
      </c>
      <c r="BI40" s="51">
        <v>2259</v>
      </c>
      <c r="BJ40" s="51">
        <v>20.2</v>
      </c>
      <c r="BK40" s="51">
        <v>10.9</v>
      </c>
      <c r="BL40" s="51">
        <v>9.4</v>
      </c>
      <c r="BM40" s="51">
        <v>87.1</v>
      </c>
      <c r="BN40" s="51">
        <v>13.9</v>
      </c>
      <c r="BO40" s="51">
        <v>0.9</v>
      </c>
      <c r="BP40" s="51">
        <v>20.7</v>
      </c>
      <c r="BQ40" s="51">
        <v>18</v>
      </c>
      <c r="BR40" s="51">
        <v>48.1</v>
      </c>
      <c r="BS40" s="52">
        <v>41.9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baseColWidth="10" defaultColWidth="9.140625" defaultRowHeight="15"/>
  <cols>
    <col min="1" max="1" width="23.5703125" customWidth="1"/>
    <col min="2" max="2" width="15.5703125" customWidth="1"/>
    <col min="3" max="3" width="14.5703125" customWidth="1"/>
    <col min="4" max="4" width="9.140625" customWidth="1"/>
    <col min="5" max="5" width="17.85546875" customWidth="1"/>
    <col min="6" max="6" width="11.42578125" customWidth="1"/>
    <col min="7" max="7" width="24" customWidth="1"/>
    <col min="8" max="8" width="41.7109375" customWidth="1"/>
    <col min="9" max="9" width="54.7109375" customWidth="1"/>
    <col min="10" max="10" width="37.85546875" customWidth="1"/>
    <col min="11" max="11" width="53.5703125" customWidth="1"/>
    <col min="12" max="12" width="38" customWidth="1"/>
    <col min="13" max="13" width="35.5703125" customWidth="1"/>
    <col min="14" max="14" width="37.42578125" customWidth="1"/>
    <col min="15" max="15" width="38" customWidth="1"/>
    <col min="16" max="16" width="40.85546875" customWidth="1"/>
    <col min="17" max="17" width="40.42578125" customWidth="1"/>
    <col min="18" max="18" width="42.28515625" customWidth="1"/>
    <col min="19" max="19" width="44.28515625" customWidth="1"/>
    <col min="20" max="20" width="43.7109375" customWidth="1"/>
    <col min="21" max="23" width="50.42578125" customWidth="1"/>
    <col min="24" max="24" width="51.42578125" customWidth="1"/>
    <col min="25" max="25" width="52.42578125" customWidth="1"/>
    <col min="26" max="26" width="43" customWidth="1"/>
    <col min="27" max="27" width="46" customWidth="1"/>
    <col min="28" max="31" width="52.7109375" customWidth="1"/>
    <col min="32" max="32" width="46" customWidth="1"/>
    <col min="33" max="33" width="42" customWidth="1"/>
    <col min="34" max="35" width="53.7109375" customWidth="1"/>
    <col min="36" max="36" width="41.140625" customWidth="1"/>
    <col min="37" max="37" width="40.7109375" customWidth="1"/>
    <col min="38" max="38" width="44.7109375" customWidth="1"/>
    <col min="39" max="39" width="46.42578125" customWidth="1"/>
    <col min="40" max="40" width="44.140625" customWidth="1"/>
    <col min="41" max="41" width="48.5703125" customWidth="1"/>
    <col min="42" max="42" width="18.7109375" customWidth="1"/>
  </cols>
  <sheetData>
    <row r="1" spans="1:42">
      <c r="A1" s="10" t="s">
        <v>812</v>
      </c>
      <c r="B1" s="1"/>
      <c r="C1" s="1"/>
      <c r="D1" s="1"/>
      <c r="E1" s="1"/>
      <c r="F1" s="1"/>
      <c r="G1" s="2" t="s">
        <v>0</v>
      </c>
      <c r="H1" s="2">
        <f t="shared" ref="H1:AP1" si="0">SUBTOTAL(9,H3:H40)</f>
        <v>15352</v>
      </c>
      <c r="I1" s="2">
        <f t="shared" si="0"/>
        <v>32</v>
      </c>
      <c r="J1" s="2">
        <f t="shared" si="0"/>
        <v>51.599999999999994</v>
      </c>
      <c r="K1" s="2">
        <f t="shared" si="0"/>
        <v>12</v>
      </c>
      <c r="L1" s="2">
        <f t="shared" si="0"/>
        <v>187.49999999999997</v>
      </c>
      <c r="M1" s="2">
        <f t="shared" si="0"/>
        <v>2628.3999999999996</v>
      </c>
      <c r="N1" s="2">
        <f t="shared" si="0"/>
        <v>671.59999999999991</v>
      </c>
      <c r="O1" s="2">
        <f t="shared" si="0"/>
        <v>279.70000000000005</v>
      </c>
      <c r="P1" s="2">
        <f t="shared" si="0"/>
        <v>800.69999999999982</v>
      </c>
      <c r="Q1" s="2">
        <f t="shared" si="0"/>
        <v>1200.6000000000001</v>
      </c>
      <c r="R1" s="2">
        <f t="shared" si="0"/>
        <v>660.4000000000002</v>
      </c>
      <c r="S1" s="2">
        <f t="shared" si="0"/>
        <v>281.29999999999995</v>
      </c>
      <c r="T1" s="2">
        <f t="shared" si="0"/>
        <v>89.299999999999983</v>
      </c>
      <c r="U1" s="2">
        <f t="shared" si="0"/>
        <v>217.00000000000003</v>
      </c>
      <c r="V1" s="2">
        <f t="shared" si="0"/>
        <v>1108.3000000000002</v>
      </c>
      <c r="W1" s="2">
        <f t="shared" si="0"/>
        <v>1017.1000000000001</v>
      </c>
      <c r="X1" s="2">
        <f t="shared" si="0"/>
        <v>579.59999999999991</v>
      </c>
      <c r="Y1" s="2">
        <f t="shared" si="0"/>
        <v>144.59999999999994</v>
      </c>
      <c r="Z1" s="2">
        <f t="shared" si="0"/>
        <v>54.800000000000004</v>
      </c>
      <c r="AA1" s="2">
        <f t="shared" si="0"/>
        <v>281</v>
      </c>
      <c r="AB1" s="2">
        <f t="shared" si="0"/>
        <v>1310.0999999999999</v>
      </c>
      <c r="AC1" s="2">
        <f t="shared" si="0"/>
        <v>705.6</v>
      </c>
      <c r="AD1" s="2">
        <f t="shared" si="0"/>
        <v>302.80000000000007</v>
      </c>
      <c r="AE1" s="2">
        <f t="shared" si="0"/>
        <v>409.90000000000003</v>
      </c>
      <c r="AF1" s="2">
        <f t="shared" si="0"/>
        <v>285.09999999999997</v>
      </c>
      <c r="AG1" s="2">
        <f t="shared" si="0"/>
        <v>201.8</v>
      </c>
      <c r="AH1" s="2">
        <f t="shared" si="0"/>
        <v>1398.6</v>
      </c>
      <c r="AI1" s="2">
        <f t="shared" si="0"/>
        <v>1394.4000000000003</v>
      </c>
      <c r="AJ1" s="2">
        <f t="shared" si="0"/>
        <v>110.79999999999998</v>
      </c>
      <c r="AK1" s="2">
        <f t="shared" si="0"/>
        <v>112.8</v>
      </c>
      <c r="AL1" s="2">
        <f t="shared" si="0"/>
        <v>234.14000000000001</v>
      </c>
      <c r="AM1" s="2">
        <f t="shared" si="0"/>
        <v>210.58</v>
      </c>
      <c r="AN1" s="2">
        <f t="shared" si="0"/>
        <v>233.36000000000004</v>
      </c>
      <c r="AO1" s="2">
        <f t="shared" si="0"/>
        <v>256.66999999999996</v>
      </c>
      <c r="AP1" s="2">
        <f t="shared" si="0"/>
        <v>13.399999999999995</v>
      </c>
    </row>
    <row r="2" spans="1:42" ht="80.099999999999994" customHeight="1">
      <c r="A2" s="44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770</v>
      </c>
      <c r="I2" s="46" t="s">
        <v>771</v>
      </c>
      <c r="J2" s="46" t="s">
        <v>772</v>
      </c>
      <c r="K2" s="46" t="s">
        <v>773</v>
      </c>
      <c r="L2" s="46" t="s">
        <v>774</v>
      </c>
      <c r="M2" s="46" t="s">
        <v>775</v>
      </c>
      <c r="N2" s="46" t="s">
        <v>776</v>
      </c>
      <c r="O2" s="46" t="s">
        <v>777</v>
      </c>
      <c r="P2" s="46" t="s">
        <v>778</v>
      </c>
      <c r="Q2" s="46" t="s">
        <v>779</v>
      </c>
      <c r="R2" s="46" t="s">
        <v>780</v>
      </c>
      <c r="S2" s="46" t="s">
        <v>781</v>
      </c>
      <c r="T2" s="46" t="s">
        <v>782</v>
      </c>
      <c r="U2" s="46" t="s">
        <v>783</v>
      </c>
      <c r="V2" s="46" t="s">
        <v>784</v>
      </c>
      <c r="W2" s="46" t="s">
        <v>785</v>
      </c>
      <c r="X2" s="46" t="s">
        <v>786</v>
      </c>
      <c r="Y2" s="46" t="s">
        <v>787</v>
      </c>
      <c r="Z2" s="46" t="s">
        <v>788</v>
      </c>
      <c r="AA2" s="46" t="s">
        <v>789</v>
      </c>
      <c r="AB2" s="46" t="s">
        <v>790</v>
      </c>
      <c r="AC2" s="46" t="s">
        <v>791</v>
      </c>
      <c r="AD2" s="46" t="s">
        <v>792</v>
      </c>
      <c r="AE2" s="46" t="s">
        <v>793</v>
      </c>
      <c r="AF2" s="46" t="s">
        <v>794</v>
      </c>
      <c r="AG2" s="46" t="s">
        <v>795</v>
      </c>
      <c r="AH2" s="46" t="s">
        <v>796</v>
      </c>
      <c r="AI2" s="46" t="s">
        <v>797</v>
      </c>
      <c r="AJ2" s="46" t="s">
        <v>798</v>
      </c>
      <c r="AK2" s="46" t="s">
        <v>799</v>
      </c>
      <c r="AL2" s="46" t="s">
        <v>800</v>
      </c>
      <c r="AM2" s="46" t="s">
        <v>801</v>
      </c>
      <c r="AN2" s="46" t="s">
        <v>802</v>
      </c>
      <c r="AO2" s="46" t="s">
        <v>803</v>
      </c>
      <c r="AP2" s="48" t="s">
        <v>80</v>
      </c>
    </row>
    <row r="3" spans="1:42" ht="30">
      <c r="A3" s="42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94</v>
      </c>
      <c r="G3" s="3" t="s">
        <v>97</v>
      </c>
      <c r="H3" s="64">
        <v>269</v>
      </c>
      <c r="I3" s="64">
        <v>0</v>
      </c>
      <c r="J3" s="64">
        <v>0</v>
      </c>
      <c r="K3" s="64">
        <v>0</v>
      </c>
      <c r="L3" s="64">
        <v>9.3000000000000007</v>
      </c>
      <c r="M3" s="64">
        <v>86.2</v>
      </c>
      <c r="N3" s="64">
        <v>13.8</v>
      </c>
      <c r="O3" s="64">
        <v>32.9</v>
      </c>
      <c r="P3" s="64">
        <v>12.2</v>
      </c>
      <c r="Q3" s="64">
        <v>32.1</v>
      </c>
      <c r="R3" s="64">
        <v>14.6</v>
      </c>
      <c r="S3" s="64">
        <v>8.1</v>
      </c>
      <c r="T3" s="64">
        <v>0</v>
      </c>
      <c r="U3" s="64">
        <v>36</v>
      </c>
      <c r="V3" s="64">
        <v>17.2</v>
      </c>
      <c r="W3" s="64">
        <v>29.5</v>
      </c>
      <c r="X3" s="64">
        <v>13</v>
      </c>
      <c r="Y3" s="64">
        <v>0</v>
      </c>
      <c r="Z3" s="64">
        <v>4.2</v>
      </c>
      <c r="AA3" s="64">
        <v>4.5</v>
      </c>
      <c r="AB3" s="64">
        <v>25.4</v>
      </c>
      <c r="AC3" s="64">
        <v>31.8</v>
      </c>
      <c r="AD3" s="64">
        <v>4.2</v>
      </c>
      <c r="AE3" s="64">
        <v>34.1</v>
      </c>
      <c r="AF3" s="64">
        <v>0</v>
      </c>
      <c r="AG3" s="64">
        <v>4.0999999999999996</v>
      </c>
      <c r="AH3" s="64">
        <v>56.6</v>
      </c>
      <c r="AI3" s="64">
        <v>39.299999999999997</v>
      </c>
      <c r="AJ3" s="64">
        <v>0</v>
      </c>
      <c r="AK3" s="64">
        <v>0</v>
      </c>
      <c r="AL3" s="64">
        <v>5.73</v>
      </c>
      <c r="AM3" s="64">
        <v>5.3</v>
      </c>
      <c r="AN3" s="64">
        <v>5.78</v>
      </c>
      <c r="AO3" s="64">
        <v>6.23</v>
      </c>
      <c r="AP3" s="64">
        <v>0.3</v>
      </c>
    </row>
    <row r="4" spans="1:42" ht="30">
      <c r="A4" s="42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94</v>
      </c>
      <c r="G4" s="3" t="s">
        <v>98</v>
      </c>
      <c r="H4" s="64">
        <v>560</v>
      </c>
      <c r="I4" s="64">
        <v>0</v>
      </c>
      <c r="J4" s="64">
        <v>0</v>
      </c>
      <c r="K4" s="64">
        <v>0</v>
      </c>
      <c r="L4" s="64">
        <v>8.1</v>
      </c>
      <c r="M4" s="64">
        <v>71.900000000000006</v>
      </c>
      <c r="N4" s="64">
        <v>28.1</v>
      </c>
      <c r="O4" s="64">
        <v>42.3</v>
      </c>
      <c r="P4" s="64">
        <v>12.5</v>
      </c>
      <c r="Q4" s="64">
        <v>15</v>
      </c>
      <c r="R4" s="64">
        <v>22.3</v>
      </c>
      <c r="S4" s="64">
        <v>7.9</v>
      </c>
      <c r="T4" s="64">
        <v>39.799999999999997</v>
      </c>
      <c r="U4" s="64">
        <v>2.7</v>
      </c>
      <c r="V4" s="64">
        <v>13.4</v>
      </c>
      <c r="W4" s="64">
        <v>16.2</v>
      </c>
      <c r="X4" s="64">
        <v>23.9</v>
      </c>
      <c r="Y4" s="64">
        <v>2</v>
      </c>
      <c r="Z4" s="64">
        <v>2</v>
      </c>
      <c r="AA4" s="64">
        <v>6</v>
      </c>
      <c r="AB4" s="64">
        <v>3.1</v>
      </c>
      <c r="AC4" s="64">
        <v>5.2</v>
      </c>
      <c r="AD4" s="64">
        <v>13.2</v>
      </c>
      <c r="AE4" s="64">
        <v>32.200000000000003</v>
      </c>
      <c r="AF4" s="64">
        <v>40.299999999999997</v>
      </c>
      <c r="AG4" s="64">
        <v>9.3000000000000007</v>
      </c>
      <c r="AH4" s="64">
        <v>5</v>
      </c>
      <c r="AI4" s="64">
        <v>40.5</v>
      </c>
      <c r="AJ4" s="64">
        <v>43.3</v>
      </c>
      <c r="AK4" s="64">
        <v>2</v>
      </c>
      <c r="AL4" s="64">
        <v>6.58</v>
      </c>
      <c r="AM4" s="64">
        <v>5.94</v>
      </c>
      <c r="AN4" s="64">
        <v>6.52</v>
      </c>
      <c r="AO4" s="64">
        <v>7.08</v>
      </c>
      <c r="AP4" s="64">
        <v>0.1</v>
      </c>
    </row>
    <row r="5" spans="1:42" ht="45">
      <c r="A5" s="42" t="s">
        <v>99</v>
      </c>
      <c r="B5" s="3" t="s">
        <v>99</v>
      </c>
      <c r="C5" s="3" t="s">
        <v>95</v>
      </c>
      <c r="D5" s="3" t="s">
        <v>95</v>
      </c>
      <c r="E5" s="3" t="s">
        <v>100</v>
      </c>
      <c r="F5" s="3" t="s">
        <v>95</v>
      </c>
      <c r="G5" s="3" t="s">
        <v>101</v>
      </c>
      <c r="H5" s="64">
        <v>767</v>
      </c>
      <c r="I5" s="64">
        <v>0</v>
      </c>
      <c r="J5" s="64">
        <v>1.9</v>
      </c>
      <c r="K5" s="64">
        <v>0</v>
      </c>
      <c r="L5" s="64">
        <v>6.9</v>
      </c>
      <c r="M5" s="64">
        <v>95.2</v>
      </c>
      <c r="N5" s="64">
        <v>4.8</v>
      </c>
      <c r="O5" s="64">
        <v>22.1</v>
      </c>
      <c r="P5" s="64">
        <v>22</v>
      </c>
      <c r="Q5" s="64">
        <v>34.700000000000003</v>
      </c>
      <c r="R5" s="64">
        <v>15.4</v>
      </c>
      <c r="S5" s="64">
        <v>5.7</v>
      </c>
      <c r="T5" s="64">
        <v>0</v>
      </c>
      <c r="U5" s="64">
        <v>14.9</v>
      </c>
      <c r="V5" s="64">
        <v>41.4</v>
      </c>
      <c r="W5" s="64">
        <v>27.7</v>
      </c>
      <c r="X5" s="64">
        <v>12.1</v>
      </c>
      <c r="Y5" s="64">
        <v>3.9</v>
      </c>
      <c r="Z5" s="64">
        <v>0</v>
      </c>
      <c r="AA5" s="64">
        <v>2.1</v>
      </c>
      <c r="AB5" s="64">
        <v>15.2</v>
      </c>
      <c r="AC5" s="64">
        <v>56.4</v>
      </c>
      <c r="AD5" s="64">
        <v>24.8</v>
      </c>
      <c r="AE5" s="64">
        <v>1.5</v>
      </c>
      <c r="AF5" s="64">
        <v>0</v>
      </c>
      <c r="AG5" s="64">
        <v>15.2</v>
      </c>
      <c r="AH5" s="64">
        <v>0</v>
      </c>
      <c r="AI5" s="64">
        <v>84.8</v>
      </c>
      <c r="AJ5" s="64">
        <v>0</v>
      </c>
      <c r="AK5" s="64">
        <v>0</v>
      </c>
      <c r="AL5" s="64">
        <v>6.65</v>
      </c>
      <c r="AM5" s="64">
        <v>6.09</v>
      </c>
      <c r="AN5" s="64">
        <v>6.58</v>
      </c>
      <c r="AO5" s="64">
        <v>7.12</v>
      </c>
      <c r="AP5" s="64">
        <v>0.4</v>
      </c>
    </row>
    <row r="6" spans="1:42" ht="30">
      <c r="A6" s="42" t="s">
        <v>99</v>
      </c>
      <c r="B6" s="3" t="s">
        <v>99</v>
      </c>
      <c r="C6" s="3" t="s">
        <v>95</v>
      </c>
      <c r="D6" s="3" t="s">
        <v>95</v>
      </c>
      <c r="E6" s="3" t="s">
        <v>102</v>
      </c>
      <c r="F6" s="3" t="s">
        <v>95</v>
      </c>
      <c r="G6" s="3" t="s">
        <v>103</v>
      </c>
      <c r="H6" s="64">
        <v>597</v>
      </c>
      <c r="I6" s="64">
        <v>0</v>
      </c>
      <c r="J6" s="64">
        <v>0</v>
      </c>
      <c r="K6" s="64">
        <v>0</v>
      </c>
      <c r="L6" s="64">
        <v>0</v>
      </c>
      <c r="M6" s="64">
        <v>87.3</v>
      </c>
      <c r="N6" s="64">
        <v>12.7</v>
      </c>
      <c r="O6" s="64">
        <v>7</v>
      </c>
      <c r="P6" s="64">
        <v>20.9</v>
      </c>
      <c r="Q6" s="64">
        <v>34.700000000000003</v>
      </c>
      <c r="R6" s="64">
        <v>25.1</v>
      </c>
      <c r="S6" s="64">
        <v>12.2</v>
      </c>
      <c r="T6" s="64">
        <v>1.8</v>
      </c>
      <c r="U6" s="64">
        <v>8.8000000000000007</v>
      </c>
      <c r="V6" s="64">
        <v>22</v>
      </c>
      <c r="W6" s="64">
        <v>30.8</v>
      </c>
      <c r="X6" s="64">
        <v>26.2</v>
      </c>
      <c r="Y6" s="64">
        <v>7.3</v>
      </c>
      <c r="Z6" s="64">
        <v>3.1</v>
      </c>
      <c r="AA6" s="64">
        <v>0</v>
      </c>
      <c r="AB6" s="64">
        <v>5</v>
      </c>
      <c r="AC6" s="64">
        <v>86.4</v>
      </c>
      <c r="AD6" s="64">
        <v>3.4</v>
      </c>
      <c r="AE6" s="64">
        <v>5.2</v>
      </c>
      <c r="AF6" s="64">
        <v>0</v>
      </c>
      <c r="AG6" s="64">
        <v>0</v>
      </c>
      <c r="AH6" s="64">
        <v>33.299999999999997</v>
      </c>
      <c r="AI6" s="64">
        <v>59.8</v>
      </c>
      <c r="AJ6" s="64">
        <v>6.9</v>
      </c>
      <c r="AK6" s="64">
        <v>0</v>
      </c>
      <c r="AL6" s="64">
        <v>5.56</v>
      </c>
      <c r="AM6" s="64">
        <v>4.8899999999999997</v>
      </c>
      <c r="AN6" s="64">
        <v>5.43</v>
      </c>
      <c r="AO6" s="64">
        <v>6.16</v>
      </c>
      <c r="AP6" s="64">
        <v>0.1</v>
      </c>
    </row>
    <row r="7" spans="1:42" ht="30">
      <c r="A7" s="42" t="s">
        <v>99</v>
      </c>
      <c r="B7" s="3" t="s">
        <v>99</v>
      </c>
      <c r="C7" s="3" t="s">
        <v>95</v>
      </c>
      <c r="D7" s="3" t="s">
        <v>95</v>
      </c>
      <c r="E7" s="3" t="s">
        <v>102</v>
      </c>
      <c r="F7" s="3" t="s">
        <v>95</v>
      </c>
      <c r="G7" s="3" t="s">
        <v>104</v>
      </c>
      <c r="H7" s="64">
        <v>338</v>
      </c>
      <c r="I7" s="64">
        <v>0</v>
      </c>
      <c r="J7" s="64">
        <v>0</v>
      </c>
      <c r="K7" s="64">
        <v>0</v>
      </c>
      <c r="L7" s="64">
        <v>0</v>
      </c>
      <c r="M7" s="64">
        <v>69.8</v>
      </c>
      <c r="N7" s="64">
        <v>30.2</v>
      </c>
      <c r="O7" s="64">
        <v>10.3</v>
      </c>
      <c r="P7" s="64">
        <v>26.5</v>
      </c>
      <c r="Q7" s="64">
        <v>24.9</v>
      </c>
      <c r="R7" s="64">
        <v>27.4</v>
      </c>
      <c r="S7" s="64">
        <v>10.9</v>
      </c>
      <c r="T7" s="64">
        <v>0</v>
      </c>
      <c r="U7" s="64">
        <v>3.4</v>
      </c>
      <c r="V7" s="64">
        <v>21.5</v>
      </c>
      <c r="W7" s="64">
        <v>41</v>
      </c>
      <c r="X7" s="64">
        <v>25.2</v>
      </c>
      <c r="Y7" s="64">
        <v>5.7</v>
      </c>
      <c r="Z7" s="64">
        <v>3.2</v>
      </c>
      <c r="AA7" s="64">
        <v>0</v>
      </c>
      <c r="AB7" s="64">
        <v>12.6</v>
      </c>
      <c r="AC7" s="64">
        <v>70.2</v>
      </c>
      <c r="AD7" s="64">
        <v>3.1</v>
      </c>
      <c r="AE7" s="64">
        <v>10.7</v>
      </c>
      <c r="AF7" s="64">
        <v>3.4</v>
      </c>
      <c r="AG7" s="64">
        <v>4.0999999999999996</v>
      </c>
      <c r="AH7" s="64">
        <v>0</v>
      </c>
      <c r="AI7" s="64">
        <v>95.9</v>
      </c>
      <c r="AJ7" s="64">
        <v>0</v>
      </c>
      <c r="AK7" s="64">
        <v>0</v>
      </c>
      <c r="AL7" s="64">
        <v>5.58</v>
      </c>
      <c r="AM7" s="64">
        <v>4.84</v>
      </c>
      <c r="AN7" s="64">
        <v>6.01</v>
      </c>
      <c r="AO7" s="64">
        <v>6.4</v>
      </c>
      <c r="AP7" s="64">
        <v>0.4</v>
      </c>
    </row>
    <row r="8" spans="1:42" ht="30">
      <c r="A8" s="42" t="s">
        <v>105</v>
      </c>
      <c r="B8" s="3" t="s">
        <v>93</v>
      </c>
      <c r="C8" s="3" t="s">
        <v>95</v>
      </c>
      <c r="D8" s="3" t="s">
        <v>95</v>
      </c>
      <c r="E8" s="3" t="s">
        <v>106</v>
      </c>
      <c r="F8" s="3" t="s">
        <v>95</v>
      </c>
      <c r="G8" s="3" t="s">
        <v>107</v>
      </c>
      <c r="H8" s="64">
        <v>145</v>
      </c>
      <c r="I8" s="64">
        <v>0</v>
      </c>
      <c r="J8" s="64">
        <v>0</v>
      </c>
      <c r="K8" s="64">
        <v>0</v>
      </c>
      <c r="L8" s="64">
        <v>9.5</v>
      </c>
      <c r="M8" s="64">
        <v>65.599999999999994</v>
      </c>
      <c r="N8" s="64">
        <v>34.4</v>
      </c>
      <c r="O8" s="64">
        <v>0</v>
      </c>
      <c r="P8" s="64">
        <v>24.1</v>
      </c>
      <c r="Q8" s="64">
        <v>29.7</v>
      </c>
      <c r="R8" s="64">
        <v>24.1</v>
      </c>
      <c r="S8" s="64">
        <v>22.2</v>
      </c>
      <c r="T8" s="64">
        <v>0</v>
      </c>
      <c r="U8" s="64">
        <v>7.1</v>
      </c>
      <c r="V8" s="64">
        <v>20.2</v>
      </c>
      <c r="W8" s="64">
        <v>31.7</v>
      </c>
      <c r="X8" s="64">
        <v>25.1</v>
      </c>
      <c r="Y8" s="64">
        <v>6</v>
      </c>
      <c r="Z8" s="64">
        <v>9.8000000000000007</v>
      </c>
      <c r="AA8" s="64">
        <v>14.4</v>
      </c>
      <c r="AB8" s="64">
        <v>0</v>
      </c>
      <c r="AC8" s="64">
        <v>0</v>
      </c>
      <c r="AD8" s="64">
        <v>8.8000000000000007</v>
      </c>
      <c r="AE8" s="64">
        <v>40</v>
      </c>
      <c r="AF8" s="64">
        <v>36.9</v>
      </c>
      <c r="AG8" s="64">
        <v>18.2</v>
      </c>
      <c r="AH8" s="64">
        <v>0</v>
      </c>
      <c r="AI8" s="64">
        <v>81.8</v>
      </c>
      <c r="AJ8" s="64">
        <v>0</v>
      </c>
      <c r="AK8" s="64">
        <v>0</v>
      </c>
      <c r="AL8" s="64">
        <v>6.09</v>
      </c>
      <c r="AM8" s="64">
        <v>5.35</v>
      </c>
      <c r="AN8" s="64">
        <v>6.26</v>
      </c>
      <c r="AO8" s="64">
        <v>6.78</v>
      </c>
      <c r="AP8" s="64">
        <v>0.9</v>
      </c>
    </row>
    <row r="9" spans="1:42" ht="30">
      <c r="A9" s="42" t="s">
        <v>105</v>
      </c>
      <c r="B9" s="3" t="s">
        <v>93</v>
      </c>
      <c r="C9" s="3" t="s">
        <v>95</v>
      </c>
      <c r="D9" s="3" t="s">
        <v>95</v>
      </c>
      <c r="E9" s="3" t="s">
        <v>106</v>
      </c>
      <c r="F9" s="3" t="s">
        <v>95</v>
      </c>
      <c r="G9" s="3" t="s">
        <v>108</v>
      </c>
      <c r="H9" s="64">
        <v>456</v>
      </c>
      <c r="I9" s="64">
        <v>0</v>
      </c>
      <c r="J9" s="64">
        <v>3</v>
      </c>
      <c r="K9" s="64">
        <v>0</v>
      </c>
      <c r="L9" s="64">
        <v>8.5</v>
      </c>
      <c r="M9" s="64">
        <v>88</v>
      </c>
      <c r="N9" s="64">
        <v>12</v>
      </c>
      <c r="O9" s="64">
        <v>8.8000000000000007</v>
      </c>
      <c r="P9" s="64">
        <v>33.6</v>
      </c>
      <c r="Q9" s="64">
        <v>44.1</v>
      </c>
      <c r="R9" s="64">
        <v>8.1999999999999993</v>
      </c>
      <c r="S9" s="64">
        <v>5.3</v>
      </c>
      <c r="T9" s="64">
        <v>0</v>
      </c>
      <c r="U9" s="64">
        <v>14.1</v>
      </c>
      <c r="V9" s="64">
        <v>62</v>
      </c>
      <c r="W9" s="64">
        <v>10.3</v>
      </c>
      <c r="X9" s="64">
        <v>11.3</v>
      </c>
      <c r="Y9" s="64">
        <v>2.4</v>
      </c>
      <c r="Z9" s="64">
        <v>0</v>
      </c>
      <c r="AA9" s="64">
        <v>2.8</v>
      </c>
      <c r="AB9" s="64">
        <v>66.5</v>
      </c>
      <c r="AC9" s="64">
        <v>15.6</v>
      </c>
      <c r="AD9" s="64">
        <v>0</v>
      </c>
      <c r="AE9" s="64">
        <v>15.1</v>
      </c>
      <c r="AF9" s="64">
        <v>0</v>
      </c>
      <c r="AG9" s="64">
        <v>0</v>
      </c>
      <c r="AH9" s="64">
        <v>53.4</v>
      </c>
      <c r="AI9" s="64">
        <v>32.700000000000003</v>
      </c>
      <c r="AJ9" s="64">
        <v>0</v>
      </c>
      <c r="AK9" s="64">
        <v>13.9</v>
      </c>
      <c r="AL9" s="64">
        <v>6.06</v>
      </c>
      <c r="AM9" s="64">
        <v>5.49</v>
      </c>
      <c r="AN9" s="64">
        <v>6.08</v>
      </c>
      <c r="AO9" s="64">
        <v>6.53</v>
      </c>
      <c r="AP9" s="64">
        <v>0.4</v>
      </c>
    </row>
    <row r="10" spans="1:42">
      <c r="A10" s="42" t="s">
        <v>109</v>
      </c>
      <c r="B10" s="3" t="s">
        <v>99</v>
      </c>
      <c r="C10" s="3" t="s">
        <v>95</v>
      </c>
      <c r="D10" s="3" t="s">
        <v>95</v>
      </c>
      <c r="E10" s="3" t="s">
        <v>110</v>
      </c>
      <c r="F10" s="3" t="s">
        <v>95</v>
      </c>
      <c r="G10" s="3" t="s">
        <v>111</v>
      </c>
      <c r="H10" s="64">
        <v>457</v>
      </c>
      <c r="I10" s="64">
        <v>0</v>
      </c>
      <c r="J10" s="64">
        <v>3.6</v>
      </c>
      <c r="K10" s="64">
        <v>3.6</v>
      </c>
      <c r="L10" s="64">
        <v>4.9000000000000004</v>
      </c>
      <c r="M10" s="64">
        <v>83.7</v>
      </c>
      <c r="N10" s="64">
        <v>16.3</v>
      </c>
      <c r="O10" s="64">
        <v>11.8</v>
      </c>
      <c r="P10" s="64">
        <v>22.9</v>
      </c>
      <c r="Q10" s="64">
        <v>36.299999999999997</v>
      </c>
      <c r="R10" s="64">
        <v>17.399999999999999</v>
      </c>
      <c r="S10" s="64">
        <v>11.6</v>
      </c>
      <c r="T10" s="64">
        <v>2.4</v>
      </c>
      <c r="U10" s="64">
        <v>6.2</v>
      </c>
      <c r="V10" s="64">
        <v>46.6</v>
      </c>
      <c r="W10" s="64">
        <v>23.2</v>
      </c>
      <c r="X10" s="64">
        <v>19</v>
      </c>
      <c r="Y10" s="64">
        <v>2.6</v>
      </c>
      <c r="Z10" s="64">
        <v>0</v>
      </c>
      <c r="AA10" s="64">
        <v>15.4</v>
      </c>
      <c r="AB10" s="64">
        <v>24.3</v>
      </c>
      <c r="AC10" s="64">
        <v>32.9</v>
      </c>
      <c r="AD10" s="64">
        <v>24.9</v>
      </c>
      <c r="AE10" s="64">
        <v>2.5</v>
      </c>
      <c r="AF10" s="64">
        <v>0</v>
      </c>
      <c r="AG10" s="64">
        <v>5.8</v>
      </c>
      <c r="AH10" s="64">
        <v>36.5</v>
      </c>
      <c r="AI10" s="64">
        <v>49.3</v>
      </c>
      <c r="AJ10" s="64">
        <v>0</v>
      </c>
      <c r="AK10" s="64">
        <v>8.5</v>
      </c>
      <c r="AL10" s="64">
        <v>6.18</v>
      </c>
      <c r="AM10" s="64">
        <v>5.65</v>
      </c>
      <c r="AN10" s="64">
        <v>6.06</v>
      </c>
      <c r="AO10" s="64">
        <v>6.62</v>
      </c>
      <c r="AP10" s="64">
        <v>0.6</v>
      </c>
    </row>
    <row r="11" spans="1:42">
      <c r="A11" s="42" t="s">
        <v>112</v>
      </c>
      <c r="B11" s="3" t="s">
        <v>93</v>
      </c>
      <c r="C11" s="3" t="s">
        <v>95</v>
      </c>
      <c r="D11" s="3" t="s">
        <v>95</v>
      </c>
      <c r="E11" s="3" t="s">
        <v>113</v>
      </c>
      <c r="F11" s="3" t="s">
        <v>95</v>
      </c>
      <c r="G11" s="3" t="s">
        <v>114</v>
      </c>
      <c r="H11" s="64">
        <v>255</v>
      </c>
      <c r="I11" s="64">
        <v>0</v>
      </c>
      <c r="J11" s="64">
        <v>0</v>
      </c>
      <c r="K11" s="64">
        <v>0</v>
      </c>
      <c r="L11" s="64">
        <v>0</v>
      </c>
      <c r="M11" s="64">
        <v>66.900000000000006</v>
      </c>
      <c r="N11" s="64">
        <v>33.1</v>
      </c>
      <c r="O11" s="64">
        <v>0</v>
      </c>
      <c r="P11" s="64">
        <v>13.4</v>
      </c>
      <c r="Q11" s="64">
        <v>63.8</v>
      </c>
      <c r="R11" s="64">
        <v>15.9</v>
      </c>
      <c r="S11" s="64">
        <v>6.9</v>
      </c>
      <c r="T11" s="64">
        <v>0</v>
      </c>
      <c r="U11" s="64">
        <v>0</v>
      </c>
      <c r="V11" s="64">
        <v>54.7</v>
      </c>
      <c r="W11" s="64">
        <v>28.3</v>
      </c>
      <c r="X11" s="64">
        <v>12.1</v>
      </c>
      <c r="Y11" s="64">
        <v>4.9000000000000004</v>
      </c>
      <c r="Z11" s="64">
        <v>0</v>
      </c>
      <c r="AA11" s="64">
        <v>5.6</v>
      </c>
      <c r="AB11" s="64">
        <v>33.9</v>
      </c>
      <c r="AC11" s="64">
        <v>13.3</v>
      </c>
      <c r="AD11" s="64">
        <v>4.7</v>
      </c>
      <c r="AE11" s="64">
        <v>14.6</v>
      </c>
      <c r="AF11" s="64">
        <v>27.9</v>
      </c>
      <c r="AG11" s="64">
        <v>11.5</v>
      </c>
      <c r="AH11" s="64">
        <v>30.2</v>
      </c>
      <c r="AI11" s="64">
        <v>53.4</v>
      </c>
      <c r="AJ11" s="64">
        <v>0</v>
      </c>
      <c r="AK11" s="64">
        <v>5</v>
      </c>
      <c r="AL11" s="64">
        <v>5.92</v>
      </c>
      <c r="AM11" s="64">
        <v>5.62</v>
      </c>
      <c r="AN11" s="64">
        <v>5.76</v>
      </c>
      <c r="AO11" s="64">
        <v>6.22</v>
      </c>
      <c r="AP11" s="64">
        <v>0.2</v>
      </c>
    </row>
    <row r="12" spans="1:42">
      <c r="A12" s="42" t="s">
        <v>112</v>
      </c>
      <c r="B12" s="3" t="s">
        <v>93</v>
      </c>
      <c r="C12" s="3" t="s">
        <v>95</v>
      </c>
      <c r="D12" s="3" t="s">
        <v>95</v>
      </c>
      <c r="E12" s="3" t="s">
        <v>113</v>
      </c>
      <c r="F12" s="3" t="s">
        <v>95</v>
      </c>
      <c r="G12" s="3" t="s">
        <v>115</v>
      </c>
      <c r="H12" s="64">
        <v>453</v>
      </c>
      <c r="I12" s="64">
        <v>12</v>
      </c>
      <c r="J12" s="64">
        <v>0</v>
      </c>
      <c r="K12" s="64">
        <v>0</v>
      </c>
      <c r="L12" s="64">
        <v>2.7</v>
      </c>
      <c r="M12" s="64">
        <v>87.3</v>
      </c>
      <c r="N12" s="64">
        <v>12.7</v>
      </c>
      <c r="O12" s="64">
        <v>6.3</v>
      </c>
      <c r="P12" s="64">
        <v>27.7</v>
      </c>
      <c r="Q12" s="64">
        <v>43.5</v>
      </c>
      <c r="R12" s="64">
        <v>19.3</v>
      </c>
      <c r="S12" s="64">
        <v>3.2</v>
      </c>
      <c r="T12" s="64">
        <v>0</v>
      </c>
      <c r="U12" s="64">
        <v>4.3</v>
      </c>
      <c r="V12" s="64">
        <v>27</v>
      </c>
      <c r="W12" s="64">
        <v>35</v>
      </c>
      <c r="X12" s="64">
        <v>31.3</v>
      </c>
      <c r="Y12" s="64">
        <v>0</v>
      </c>
      <c r="Z12" s="64">
        <v>2.4</v>
      </c>
      <c r="AA12" s="64">
        <v>4.8</v>
      </c>
      <c r="AB12" s="64">
        <v>47.3</v>
      </c>
      <c r="AC12" s="64">
        <v>36.799999999999997</v>
      </c>
      <c r="AD12" s="64">
        <v>0</v>
      </c>
      <c r="AE12" s="64">
        <v>4.8</v>
      </c>
      <c r="AF12" s="64">
        <v>6.3</v>
      </c>
      <c r="AG12" s="64">
        <v>0</v>
      </c>
      <c r="AH12" s="64">
        <v>44.2</v>
      </c>
      <c r="AI12" s="64">
        <v>53.1</v>
      </c>
      <c r="AJ12" s="64">
        <v>0</v>
      </c>
      <c r="AK12" s="64">
        <v>2.8</v>
      </c>
      <c r="AL12" s="64">
        <v>5.28</v>
      </c>
      <c r="AM12" s="64">
        <v>4.59</v>
      </c>
      <c r="AN12" s="64">
        <v>5</v>
      </c>
      <c r="AO12" s="64">
        <v>5.94</v>
      </c>
      <c r="AP12" s="64">
        <v>0.3</v>
      </c>
    </row>
    <row r="13" spans="1:42">
      <c r="A13" s="42" t="s">
        <v>112</v>
      </c>
      <c r="B13" s="3" t="s">
        <v>93</v>
      </c>
      <c r="C13" s="3" t="s">
        <v>95</v>
      </c>
      <c r="D13" s="3" t="s">
        <v>95</v>
      </c>
      <c r="E13" s="3" t="s">
        <v>113</v>
      </c>
      <c r="F13" s="3" t="s">
        <v>95</v>
      </c>
      <c r="G13" s="3" t="s">
        <v>116</v>
      </c>
      <c r="H13" s="64">
        <v>367</v>
      </c>
      <c r="I13" s="64">
        <v>0</v>
      </c>
      <c r="J13" s="64">
        <v>0</v>
      </c>
      <c r="K13" s="64">
        <v>0</v>
      </c>
      <c r="L13" s="64">
        <v>5</v>
      </c>
      <c r="M13" s="64">
        <v>94.1</v>
      </c>
      <c r="N13" s="64">
        <v>5.9</v>
      </c>
      <c r="O13" s="64">
        <v>7.3</v>
      </c>
      <c r="P13" s="64">
        <v>30.4</v>
      </c>
      <c r="Q13" s="64">
        <v>46.5</v>
      </c>
      <c r="R13" s="64">
        <v>9</v>
      </c>
      <c r="S13" s="64">
        <v>6.8</v>
      </c>
      <c r="T13" s="64">
        <v>2.8</v>
      </c>
      <c r="U13" s="64">
        <v>4.9000000000000004</v>
      </c>
      <c r="V13" s="64">
        <v>36.200000000000003</v>
      </c>
      <c r="W13" s="64">
        <v>31.5</v>
      </c>
      <c r="X13" s="64">
        <v>17.899999999999999</v>
      </c>
      <c r="Y13" s="64">
        <v>3.6</v>
      </c>
      <c r="Z13" s="64">
        <v>3.1</v>
      </c>
      <c r="AA13" s="64">
        <v>3.1</v>
      </c>
      <c r="AB13" s="64">
        <v>41.2</v>
      </c>
      <c r="AC13" s="64">
        <v>52.6</v>
      </c>
      <c r="AD13" s="64">
        <v>3.1</v>
      </c>
      <c r="AE13" s="64">
        <v>0</v>
      </c>
      <c r="AF13" s="64">
        <v>0</v>
      </c>
      <c r="AG13" s="64">
        <v>0</v>
      </c>
      <c r="AH13" s="64">
        <v>33.1</v>
      </c>
      <c r="AI13" s="64">
        <v>66.900000000000006</v>
      </c>
      <c r="AJ13" s="64">
        <v>0</v>
      </c>
      <c r="AK13" s="64">
        <v>0</v>
      </c>
      <c r="AL13" s="64">
        <v>6.14</v>
      </c>
      <c r="AM13" s="64">
        <v>5.67</v>
      </c>
      <c r="AN13" s="64">
        <v>6.03</v>
      </c>
      <c r="AO13" s="64">
        <v>6.65</v>
      </c>
      <c r="AP13" s="64">
        <v>0.2</v>
      </c>
    </row>
    <row r="14" spans="1:42">
      <c r="A14" s="42" t="s">
        <v>117</v>
      </c>
      <c r="B14" s="3" t="s">
        <v>118</v>
      </c>
      <c r="C14" s="3" t="s">
        <v>94</v>
      </c>
      <c r="D14" s="3" t="s">
        <v>95</v>
      </c>
      <c r="E14" s="3" t="s">
        <v>119</v>
      </c>
      <c r="F14" s="3" t="s">
        <v>94</v>
      </c>
      <c r="G14" s="3" t="s">
        <v>120</v>
      </c>
      <c r="H14" s="64">
        <v>476</v>
      </c>
      <c r="I14" s="64">
        <v>0</v>
      </c>
      <c r="J14" s="64">
        <v>0</v>
      </c>
      <c r="K14" s="64">
        <v>0</v>
      </c>
      <c r="L14" s="64">
        <v>0</v>
      </c>
      <c r="M14" s="64">
        <v>97.4</v>
      </c>
      <c r="N14" s="64">
        <v>2.6</v>
      </c>
      <c r="O14" s="64">
        <v>6.8</v>
      </c>
      <c r="P14" s="64">
        <v>29.6</v>
      </c>
      <c r="Q14" s="64">
        <v>43.8</v>
      </c>
      <c r="R14" s="64">
        <v>16.3</v>
      </c>
      <c r="S14" s="64">
        <v>3.6</v>
      </c>
      <c r="T14" s="64">
        <v>0</v>
      </c>
      <c r="U14" s="64">
        <v>5.7</v>
      </c>
      <c r="V14" s="64">
        <v>35.799999999999997</v>
      </c>
      <c r="W14" s="64">
        <v>47.3</v>
      </c>
      <c r="X14" s="64">
        <v>6.1</v>
      </c>
      <c r="Y14" s="64">
        <v>3</v>
      </c>
      <c r="Z14" s="64">
        <v>2.2000000000000002</v>
      </c>
      <c r="AA14" s="64">
        <v>2.4</v>
      </c>
      <c r="AB14" s="64">
        <v>52.8</v>
      </c>
      <c r="AC14" s="64">
        <v>44.9</v>
      </c>
      <c r="AD14" s="64">
        <v>0</v>
      </c>
      <c r="AE14" s="64">
        <v>0</v>
      </c>
      <c r="AF14" s="64">
        <v>0</v>
      </c>
      <c r="AG14" s="64">
        <v>0</v>
      </c>
      <c r="AH14" s="64">
        <v>95.3</v>
      </c>
      <c r="AI14" s="64">
        <v>2.4</v>
      </c>
      <c r="AJ14" s="64">
        <v>0</v>
      </c>
      <c r="AK14" s="64">
        <v>2.2000000000000002</v>
      </c>
      <c r="AL14" s="64">
        <v>5.41</v>
      </c>
      <c r="AM14" s="64">
        <v>5.08</v>
      </c>
      <c r="AN14" s="64">
        <v>5.3</v>
      </c>
      <c r="AO14" s="64">
        <v>5.76</v>
      </c>
      <c r="AP14" s="64">
        <v>0.3</v>
      </c>
    </row>
    <row r="15" spans="1:42">
      <c r="A15" s="42" t="s">
        <v>117</v>
      </c>
      <c r="B15" s="3" t="s">
        <v>118</v>
      </c>
      <c r="C15" s="3" t="s">
        <v>94</v>
      </c>
      <c r="D15" s="3" t="s">
        <v>95</v>
      </c>
      <c r="E15" s="3" t="s">
        <v>119</v>
      </c>
      <c r="F15" s="3" t="s">
        <v>94</v>
      </c>
      <c r="G15" s="3" t="s">
        <v>121</v>
      </c>
      <c r="H15" s="64">
        <v>454</v>
      </c>
      <c r="I15" s="64">
        <v>0</v>
      </c>
      <c r="J15" s="64">
        <v>2.6</v>
      </c>
      <c r="K15" s="64">
        <v>0</v>
      </c>
      <c r="L15" s="64">
        <v>4.5</v>
      </c>
      <c r="M15" s="64">
        <v>84.1</v>
      </c>
      <c r="N15" s="64">
        <v>15.9</v>
      </c>
      <c r="O15" s="64">
        <v>6.1</v>
      </c>
      <c r="P15" s="64">
        <v>27.2</v>
      </c>
      <c r="Q15" s="64">
        <v>42.1</v>
      </c>
      <c r="R15" s="64">
        <v>17.899999999999999</v>
      </c>
      <c r="S15" s="64">
        <v>6.7</v>
      </c>
      <c r="T15" s="64">
        <v>0</v>
      </c>
      <c r="U15" s="64">
        <v>3.9</v>
      </c>
      <c r="V15" s="64">
        <v>35.5</v>
      </c>
      <c r="W15" s="64">
        <v>30.7</v>
      </c>
      <c r="X15" s="64">
        <v>27</v>
      </c>
      <c r="Y15" s="64">
        <v>3</v>
      </c>
      <c r="Z15" s="64">
        <v>0</v>
      </c>
      <c r="AA15" s="64">
        <v>14.9</v>
      </c>
      <c r="AB15" s="64">
        <v>73</v>
      </c>
      <c r="AC15" s="64">
        <v>2.6</v>
      </c>
      <c r="AD15" s="64">
        <v>0</v>
      </c>
      <c r="AE15" s="64">
        <v>2.4</v>
      </c>
      <c r="AF15" s="64">
        <v>7</v>
      </c>
      <c r="AG15" s="64">
        <v>8.4</v>
      </c>
      <c r="AH15" s="64">
        <v>70.599999999999994</v>
      </c>
      <c r="AI15" s="64">
        <v>17.399999999999999</v>
      </c>
      <c r="AJ15" s="64">
        <v>0</v>
      </c>
      <c r="AK15" s="64">
        <v>3.6</v>
      </c>
      <c r="AL15" s="64">
        <v>5.25</v>
      </c>
      <c r="AM15" s="64">
        <v>4.6900000000000004</v>
      </c>
      <c r="AN15" s="64">
        <v>5.17</v>
      </c>
      <c r="AO15" s="64">
        <v>5.71</v>
      </c>
      <c r="AP15" s="64">
        <v>0.5</v>
      </c>
    </row>
    <row r="16" spans="1:42">
      <c r="A16" s="42" t="s">
        <v>117</v>
      </c>
      <c r="B16" s="3" t="s">
        <v>93</v>
      </c>
      <c r="C16" s="3" t="s">
        <v>94</v>
      </c>
      <c r="D16" s="3" t="s">
        <v>95</v>
      </c>
      <c r="E16" s="3" t="s">
        <v>119</v>
      </c>
      <c r="F16" s="3" t="s">
        <v>94</v>
      </c>
      <c r="G16" s="3" t="s">
        <v>122</v>
      </c>
      <c r="H16" s="64">
        <v>127</v>
      </c>
      <c r="I16" s="64">
        <v>0</v>
      </c>
      <c r="J16" s="64"/>
      <c r="K16" s="64"/>
      <c r="L16" s="64"/>
      <c r="M16" s="64">
        <v>76.3</v>
      </c>
      <c r="N16" s="64">
        <v>23.7</v>
      </c>
      <c r="O16" s="64"/>
      <c r="P16" s="64"/>
      <c r="Q16" s="64"/>
      <c r="R16" s="64">
        <v>10.8</v>
      </c>
      <c r="S16" s="64">
        <v>11.7</v>
      </c>
      <c r="T16" s="64"/>
      <c r="U16" s="64"/>
      <c r="V16" s="64"/>
      <c r="W16" s="64"/>
      <c r="X16" s="64"/>
      <c r="Y16" s="64">
        <v>10.8</v>
      </c>
      <c r="Z16" s="64"/>
      <c r="AA16" s="64">
        <v>18.600000000000001</v>
      </c>
      <c r="AB16" s="64"/>
      <c r="AC16" s="64"/>
      <c r="AD16" s="64"/>
      <c r="AE16" s="64"/>
      <c r="AF16" s="64"/>
      <c r="AG16" s="64">
        <v>9</v>
      </c>
      <c r="AH16" s="64">
        <v>9</v>
      </c>
      <c r="AI16" s="64"/>
      <c r="AJ16" s="64">
        <v>0</v>
      </c>
      <c r="AK16" s="64">
        <v>0</v>
      </c>
      <c r="AL16" s="64">
        <v>5.81</v>
      </c>
      <c r="AM16" s="64">
        <v>5.25</v>
      </c>
      <c r="AN16" s="64">
        <v>5.73</v>
      </c>
      <c r="AO16" s="64">
        <v>6.38</v>
      </c>
      <c r="AP16" s="64">
        <v>0.2</v>
      </c>
    </row>
    <row r="17" spans="1:42">
      <c r="A17" s="42" t="s">
        <v>117</v>
      </c>
      <c r="B17" s="3" t="s">
        <v>118</v>
      </c>
      <c r="C17" s="3" t="s">
        <v>94</v>
      </c>
      <c r="D17" s="3" t="s">
        <v>95</v>
      </c>
      <c r="E17" s="3" t="s">
        <v>119</v>
      </c>
      <c r="F17" s="3" t="s">
        <v>94</v>
      </c>
      <c r="G17" s="3" t="s">
        <v>123</v>
      </c>
      <c r="H17" s="64">
        <v>370</v>
      </c>
      <c r="I17" s="64">
        <v>0</v>
      </c>
      <c r="J17" s="64">
        <v>0</v>
      </c>
      <c r="K17" s="64">
        <v>0</v>
      </c>
      <c r="L17" s="64">
        <v>7.3</v>
      </c>
      <c r="M17" s="64">
        <v>78.400000000000006</v>
      </c>
      <c r="N17" s="64">
        <v>21.6</v>
      </c>
      <c r="O17" s="64">
        <v>6.7</v>
      </c>
      <c r="P17" s="64">
        <v>28.8</v>
      </c>
      <c r="Q17" s="64">
        <v>34.1</v>
      </c>
      <c r="R17" s="64">
        <v>14.7</v>
      </c>
      <c r="S17" s="64">
        <v>15.7</v>
      </c>
      <c r="T17" s="64">
        <v>0</v>
      </c>
      <c r="U17" s="64">
        <v>3.2</v>
      </c>
      <c r="V17" s="64">
        <v>21.9</v>
      </c>
      <c r="W17" s="64">
        <v>37.700000000000003</v>
      </c>
      <c r="X17" s="64">
        <v>22.2</v>
      </c>
      <c r="Y17" s="64">
        <v>11.7</v>
      </c>
      <c r="Z17" s="64">
        <v>3.2</v>
      </c>
      <c r="AA17" s="64">
        <v>3.4</v>
      </c>
      <c r="AB17" s="64">
        <v>3.4</v>
      </c>
      <c r="AC17" s="64">
        <v>54.2</v>
      </c>
      <c r="AD17" s="64">
        <v>15</v>
      </c>
      <c r="AE17" s="64">
        <v>13.3</v>
      </c>
      <c r="AF17" s="64">
        <v>10.7</v>
      </c>
      <c r="AG17" s="64">
        <v>9</v>
      </c>
      <c r="AH17" s="64">
        <v>2.8</v>
      </c>
      <c r="AI17" s="64">
        <v>82.5</v>
      </c>
      <c r="AJ17" s="64">
        <v>2.8</v>
      </c>
      <c r="AK17" s="64">
        <v>2.8</v>
      </c>
      <c r="AL17" s="64">
        <v>6.28</v>
      </c>
      <c r="AM17" s="64">
        <v>5.89</v>
      </c>
      <c r="AN17" s="64">
        <v>6.42</v>
      </c>
      <c r="AO17" s="64">
        <v>6.68</v>
      </c>
      <c r="AP17" s="64">
        <v>0.2</v>
      </c>
    </row>
    <row r="18" spans="1:42" ht="60">
      <c r="A18" s="42" t="s">
        <v>117</v>
      </c>
      <c r="B18" s="3" t="s">
        <v>93</v>
      </c>
      <c r="C18" s="3" t="s">
        <v>124</v>
      </c>
      <c r="D18" s="3" t="s">
        <v>95</v>
      </c>
      <c r="E18" s="3" t="s">
        <v>125</v>
      </c>
      <c r="F18" s="3" t="s">
        <v>124</v>
      </c>
      <c r="G18" s="3" t="s">
        <v>126</v>
      </c>
      <c r="H18" s="64">
        <v>519</v>
      </c>
      <c r="I18" s="64">
        <v>0</v>
      </c>
      <c r="J18" s="64">
        <v>2.4</v>
      </c>
      <c r="K18" s="64">
        <v>0</v>
      </c>
      <c r="L18" s="64">
        <v>9.9</v>
      </c>
      <c r="M18" s="64">
        <v>97.3</v>
      </c>
      <c r="N18" s="64">
        <v>2.7</v>
      </c>
      <c r="O18" s="64">
        <v>27.4</v>
      </c>
      <c r="P18" s="64">
        <v>21</v>
      </c>
      <c r="Q18" s="64">
        <v>38.299999999999997</v>
      </c>
      <c r="R18" s="64">
        <v>9.5</v>
      </c>
      <c r="S18" s="64">
        <v>3.9</v>
      </c>
      <c r="T18" s="64">
        <v>11.6</v>
      </c>
      <c r="U18" s="64">
        <v>16</v>
      </c>
      <c r="V18" s="64">
        <v>20.100000000000001</v>
      </c>
      <c r="W18" s="64">
        <v>35.5</v>
      </c>
      <c r="X18" s="64">
        <v>12.7</v>
      </c>
      <c r="Y18" s="64">
        <v>4.0999999999999996</v>
      </c>
      <c r="Z18" s="64">
        <v>0</v>
      </c>
      <c r="AA18" s="64">
        <v>2.5</v>
      </c>
      <c r="AB18" s="64">
        <v>4.7</v>
      </c>
      <c r="AC18" s="64">
        <v>17.2</v>
      </c>
      <c r="AD18" s="64">
        <v>2.9</v>
      </c>
      <c r="AE18" s="64">
        <v>39.9</v>
      </c>
      <c r="AF18" s="64">
        <v>32.700000000000003</v>
      </c>
      <c r="AG18" s="64">
        <v>10.5</v>
      </c>
      <c r="AH18" s="64">
        <v>0</v>
      </c>
      <c r="AI18" s="64">
        <v>65.099999999999994</v>
      </c>
      <c r="AJ18" s="64">
        <v>14.9</v>
      </c>
      <c r="AK18" s="64">
        <v>9.5</v>
      </c>
      <c r="AL18" s="64">
        <v>7.4</v>
      </c>
      <c r="AM18" s="64">
        <v>6.5</v>
      </c>
      <c r="AN18" s="64">
        <v>7.05</v>
      </c>
      <c r="AO18" s="64">
        <v>8.2200000000000006</v>
      </c>
      <c r="AP18" s="64">
        <v>0.5</v>
      </c>
    </row>
    <row r="19" spans="1:42" ht="60">
      <c r="A19" s="42" t="s">
        <v>112</v>
      </c>
      <c r="B19" s="3" t="s">
        <v>93</v>
      </c>
      <c r="C19" s="3" t="s">
        <v>124</v>
      </c>
      <c r="D19" s="3" t="s">
        <v>95</v>
      </c>
      <c r="E19" s="3" t="s">
        <v>125</v>
      </c>
      <c r="F19" s="3" t="s">
        <v>124</v>
      </c>
      <c r="G19" s="3" t="s">
        <v>127</v>
      </c>
      <c r="H19" s="64">
        <v>805</v>
      </c>
      <c r="I19" s="64">
        <v>0</v>
      </c>
      <c r="J19" s="64">
        <v>1.6</v>
      </c>
      <c r="K19" s="64">
        <v>0</v>
      </c>
      <c r="L19" s="64">
        <v>5.6</v>
      </c>
      <c r="M19" s="64">
        <v>100</v>
      </c>
      <c r="N19" s="64">
        <v>0</v>
      </c>
      <c r="O19" s="64">
        <v>13.9</v>
      </c>
      <c r="P19" s="64">
        <v>37</v>
      </c>
      <c r="Q19" s="64">
        <v>35.9</v>
      </c>
      <c r="R19" s="64">
        <v>8.4</v>
      </c>
      <c r="S19" s="64">
        <v>4.9000000000000004</v>
      </c>
      <c r="T19" s="64">
        <v>9.5</v>
      </c>
      <c r="U19" s="64">
        <v>12.7</v>
      </c>
      <c r="V19" s="64">
        <v>34.4</v>
      </c>
      <c r="W19" s="64">
        <v>29.5</v>
      </c>
      <c r="X19" s="64">
        <v>9.4</v>
      </c>
      <c r="Y19" s="64">
        <v>3.1</v>
      </c>
      <c r="Z19" s="64">
        <v>1.4</v>
      </c>
      <c r="AA19" s="64">
        <v>0</v>
      </c>
      <c r="AB19" s="64">
        <v>15.3</v>
      </c>
      <c r="AC19" s="64">
        <v>36.700000000000003</v>
      </c>
      <c r="AD19" s="64">
        <v>23.6</v>
      </c>
      <c r="AE19" s="64">
        <v>23</v>
      </c>
      <c r="AF19" s="64">
        <v>1.4</v>
      </c>
      <c r="AG19" s="64">
        <v>2</v>
      </c>
      <c r="AH19" s="64">
        <v>16.399999999999999</v>
      </c>
      <c r="AI19" s="64">
        <v>65.599999999999994</v>
      </c>
      <c r="AJ19" s="64">
        <v>16</v>
      </c>
      <c r="AK19" s="64">
        <v>0</v>
      </c>
      <c r="AL19" s="64">
        <v>7.01</v>
      </c>
      <c r="AM19" s="64">
        <v>6.57</v>
      </c>
      <c r="AN19" s="64">
        <v>6.98</v>
      </c>
      <c r="AO19" s="64">
        <v>7.42</v>
      </c>
      <c r="AP19" s="64">
        <v>0.3</v>
      </c>
    </row>
    <row r="20" spans="1:42" ht="60">
      <c r="A20" s="42" t="s">
        <v>112</v>
      </c>
      <c r="B20" s="3" t="s">
        <v>93</v>
      </c>
      <c r="C20" s="3" t="s">
        <v>124</v>
      </c>
      <c r="D20" s="3" t="s">
        <v>128</v>
      </c>
      <c r="E20" s="3" t="s">
        <v>125</v>
      </c>
      <c r="F20" s="3" t="s">
        <v>124</v>
      </c>
      <c r="G20" s="3" t="s">
        <v>129</v>
      </c>
      <c r="H20" s="64">
        <v>1437</v>
      </c>
      <c r="I20" s="64">
        <v>0</v>
      </c>
      <c r="J20" s="64">
        <v>1.2</v>
      </c>
      <c r="K20" s="64">
        <v>0</v>
      </c>
      <c r="L20" s="64">
        <v>8.3000000000000007</v>
      </c>
      <c r="M20" s="64">
        <v>99</v>
      </c>
      <c r="N20" s="64">
        <v>1</v>
      </c>
      <c r="O20" s="64">
        <v>6.2</v>
      </c>
      <c r="P20" s="64">
        <v>27.7</v>
      </c>
      <c r="Q20" s="64">
        <v>45.4</v>
      </c>
      <c r="R20" s="64">
        <v>14.1</v>
      </c>
      <c r="S20" s="64">
        <v>6.6</v>
      </c>
      <c r="T20" s="64">
        <v>1.1000000000000001</v>
      </c>
      <c r="U20" s="64">
        <v>6.2</v>
      </c>
      <c r="V20" s="64">
        <v>25.3</v>
      </c>
      <c r="W20" s="64">
        <v>46.8</v>
      </c>
      <c r="X20" s="64">
        <v>17</v>
      </c>
      <c r="Y20" s="64">
        <v>2.5</v>
      </c>
      <c r="Z20" s="64">
        <v>1</v>
      </c>
      <c r="AA20" s="64">
        <v>0</v>
      </c>
      <c r="AB20" s="64">
        <v>92.9</v>
      </c>
      <c r="AC20" s="64">
        <v>0</v>
      </c>
      <c r="AD20" s="64">
        <v>0</v>
      </c>
      <c r="AE20" s="64">
        <v>1</v>
      </c>
      <c r="AF20" s="64">
        <v>6</v>
      </c>
      <c r="AG20" s="64">
        <v>1</v>
      </c>
      <c r="AH20" s="64">
        <v>76.099999999999994</v>
      </c>
      <c r="AI20" s="64">
        <v>9.6</v>
      </c>
      <c r="AJ20" s="64">
        <v>0</v>
      </c>
      <c r="AK20" s="64">
        <v>13.2</v>
      </c>
      <c r="AL20" s="64">
        <v>6.48</v>
      </c>
      <c r="AM20" s="64">
        <v>5.88</v>
      </c>
      <c r="AN20" s="64">
        <v>6.44</v>
      </c>
      <c r="AO20" s="64">
        <v>7.08</v>
      </c>
      <c r="AP20" s="64">
        <v>0.3</v>
      </c>
    </row>
    <row r="21" spans="1:42" ht="60">
      <c r="A21" s="42" t="s">
        <v>130</v>
      </c>
      <c r="B21" s="3" t="s">
        <v>93</v>
      </c>
      <c r="C21" s="3" t="s">
        <v>131</v>
      </c>
      <c r="D21" s="3" t="s">
        <v>132</v>
      </c>
      <c r="E21" s="3" t="s">
        <v>133</v>
      </c>
      <c r="F21" s="3" t="s">
        <v>124</v>
      </c>
      <c r="G21" s="3" t="s">
        <v>134</v>
      </c>
      <c r="H21" s="64">
        <v>101</v>
      </c>
      <c r="I21" s="64">
        <v>0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>
        <v>7.88</v>
      </c>
      <c r="AM21" s="64">
        <v>6.56</v>
      </c>
      <c r="AN21" s="64">
        <v>7.26</v>
      </c>
      <c r="AO21" s="64">
        <v>9.98</v>
      </c>
      <c r="AP21" s="64">
        <v>0.9</v>
      </c>
    </row>
    <row r="22" spans="1:42" ht="60">
      <c r="A22" s="42" t="s">
        <v>130</v>
      </c>
      <c r="B22" s="3" t="s">
        <v>93</v>
      </c>
      <c r="C22" s="3" t="s">
        <v>131</v>
      </c>
      <c r="D22" s="3" t="s">
        <v>132</v>
      </c>
      <c r="E22" s="3" t="s">
        <v>133</v>
      </c>
      <c r="F22" s="3" t="s">
        <v>128</v>
      </c>
      <c r="G22" s="3" t="s">
        <v>135</v>
      </c>
      <c r="H22" s="64">
        <v>103</v>
      </c>
      <c r="I22" s="64">
        <v>0</v>
      </c>
      <c r="J22" s="64"/>
      <c r="K22" s="64"/>
      <c r="L22" s="64">
        <v>11.7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>
        <v>11.7</v>
      </c>
      <c r="AC22" s="64">
        <v>11.7</v>
      </c>
      <c r="AD22" s="64"/>
      <c r="AE22" s="64"/>
      <c r="AF22" s="64"/>
      <c r="AG22" s="64"/>
      <c r="AH22" s="64"/>
      <c r="AI22" s="64"/>
      <c r="AJ22" s="64"/>
      <c r="AK22" s="64"/>
      <c r="AL22" s="64">
        <v>8.7899999999999991</v>
      </c>
      <c r="AM22" s="64">
        <v>7.29</v>
      </c>
      <c r="AN22" s="64">
        <v>9.8699999999999992</v>
      </c>
      <c r="AO22" s="64">
        <v>10.02</v>
      </c>
      <c r="AP22" s="64">
        <v>0.6</v>
      </c>
    </row>
    <row r="23" spans="1:42" ht="60">
      <c r="A23" s="42" t="s">
        <v>130</v>
      </c>
      <c r="B23" s="3" t="s">
        <v>93</v>
      </c>
      <c r="C23" s="3" t="s">
        <v>131</v>
      </c>
      <c r="D23" s="3" t="s">
        <v>132</v>
      </c>
      <c r="E23" s="3" t="s">
        <v>133</v>
      </c>
      <c r="F23" s="3" t="s">
        <v>128</v>
      </c>
      <c r="G23" s="3" t="s">
        <v>136</v>
      </c>
      <c r="H23" s="64">
        <v>422</v>
      </c>
      <c r="I23" s="64">
        <v>0</v>
      </c>
      <c r="J23" s="64">
        <v>0</v>
      </c>
      <c r="K23" s="64">
        <v>0</v>
      </c>
      <c r="L23" s="64">
        <v>9.1999999999999993</v>
      </c>
      <c r="M23" s="64">
        <v>65.900000000000006</v>
      </c>
      <c r="N23" s="64">
        <v>34.1</v>
      </c>
      <c r="O23" s="64">
        <v>3.4</v>
      </c>
      <c r="P23" s="64">
        <v>35.4</v>
      </c>
      <c r="Q23" s="64">
        <v>28.3</v>
      </c>
      <c r="R23" s="64">
        <v>29.9</v>
      </c>
      <c r="S23" s="64">
        <v>2.9</v>
      </c>
      <c r="T23" s="64">
        <v>0</v>
      </c>
      <c r="U23" s="64">
        <v>3.3</v>
      </c>
      <c r="V23" s="64">
        <v>40.5</v>
      </c>
      <c r="W23" s="64">
        <v>33.4</v>
      </c>
      <c r="X23" s="64">
        <v>22.9</v>
      </c>
      <c r="Y23" s="64">
        <v>0</v>
      </c>
      <c r="Z23" s="64">
        <v>0</v>
      </c>
      <c r="AA23" s="64">
        <v>0</v>
      </c>
      <c r="AB23" s="64">
        <v>45.3</v>
      </c>
      <c r="AC23" s="64">
        <v>0</v>
      </c>
      <c r="AD23" s="64">
        <v>0</v>
      </c>
      <c r="AE23" s="64">
        <v>14.9</v>
      </c>
      <c r="AF23" s="64">
        <v>39.799999999999997</v>
      </c>
      <c r="AG23" s="64">
        <v>7.9</v>
      </c>
      <c r="AH23" s="64">
        <v>42.3</v>
      </c>
      <c r="AI23" s="64">
        <v>28</v>
      </c>
      <c r="AJ23" s="64">
        <v>21.8</v>
      </c>
      <c r="AK23" s="64">
        <v>0</v>
      </c>
      <c r="AL23" s="64">
        <v>6.83</v>
      </c>
      <c r="AM23" s="64">
        <v>5.64</v>
      </c>
      <c r="AN23" s="64">
        <v>6.6</v>
      </c>
      <c r="AO23" s="64">
        <v>7.76</v>
      </c>
      <c r="AP23" s="64">
        <v>0.5</v>
      </c>
    </row>
    <row r="24" spans="1:42" ht="30">
      <c r="A24" s="42" t="s">
        <v>137</v>
      </c>
      <c r="B24" s="3" t="s">
        <v>93</v>
      </c>
      <c r="C24" s="3" t="s">
        <v>128</v>
      </c>
      <c r="D24" s="3" t="s">
        <v>128</v>
      </c>
      <c r="E24" s="3" t="s">
        <v>138</v>
      </c>
      <c r="F24" s="3" t="s">
        <v>128</v>
      </c>
      <c r="G24" s="3" t="s">
        <v>139</v>
      </c>
      <c r="H24" s="64">
        <v>158</v>
      </c>
      <c r="I24" s="64">
        <v>0</v>
      </c>
      <c r="J24" s="64">
        <v>11.6</v>
      </c>
      <c r="K24" s="64">
        <v>0</v>
      </c>
      <c r="L24" s="64">
        <v>0</v>
      </c>
      <c r="M24" s="64">
        <v>23.2</v>
      </c>
      <c r="N24" s="64">
        <v>76.8</v>
      </c>
      <c r="O24" s="64">
        <v>0</v>
      </c>
      <c r="P24" s="64">
        <v>16.899999999999999</v>
      </c>
      <c r="Q24" s="64">
        <v>16.2</v>
      </c>
      <c r="R24" s="64">
        <v>38.799999999999997</v>
      </c>
      <c r="S24" s="64">
        <v>28.1</v>
      </c>
      <c r="T24" s="64">
        <v>0</v>
      </c>
      <c r="U24" s="64">
        <v>0</v>
      </c>
      <c r="V24" s="64">
        <v>14.1</v>
      </c>
      <c r="W24" s="64">
        <v>19.2</v>
      </c>
      <c r="X24" s="64">
        <v>41</v>
      </c>
      <c r="Y24" s="64">
        <v>18.600000000000001</v>
      </c>
      <c r="Z24" s="64">
        <v>7.1</v>
      </c>
      <c r="AA24" s="64">
        <v>22.4</v>
      </c>
      <c r="AB24" s="64">
        <v>9.1</v>
      </c>
      <c r="AC24" s="64">
        <v>22.4</v>
      </c>
      <c r="AD24" s="64">
        <v>26.6</v>
      </c>
      <c r="AE24" s="64">
        <v>19.600000000000001</v>
      </c>
      <c r="AF24" s="64">
        <v>0</v>
      </c>
      <c r="AG24" s="64">
        <v>20.100000000000001</v>
      </c>
      <c r="AH24" s="64">
        <v>12.2</v>
      </c>
      <c r="AI24" s="64">
        <v>57.9</v>
      </c>
      <c r="AJ24" s="64">
        <v>0</v>
      </c>
      <c r="AK24" s="64">
        <v>9.8000000000000007</v>
      </c>
      <c r="AL24" s="64">
        <v>6.1</v>
      </c>
      <c r="AM24" s="64">
        <v>5.48</v>
      </c>
      <c r="AN24" s="64">
        <v>6.44</v>
      </c>
      <c r="AO24" s="64">
        <v>6.85</v>
      </c>
      <c r="AP24" s="64">
        <v>0.2</v>
      </c>
    </row>
    <row r="25" spans="1:42" ht="30">
      <c r="A25" s="42" t="s">
        <v>137</v>
      </c>
      <c r="B25" s="3" t="s">
        <v>93</v>
      </c>
      <c r="C25" s="3" t="s">
        <v>128</v>
      </c>
      <c r="D25" s="3" t="s">
        <v>128</v>
      </c>
      <c r="E25" s="3" t="s">
        <v>138</v>
      </c>
      <c r="F25" s="3" t="s">
        <v>128</v>
      </c>
      <c r="G25" s="3" t="s">
        <v>140</v>
      </c>
      <c r="H25" s="64">
        <v>98</v>
      </c>
      <c r="I25" s="64">
        <v>0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>
        <v>9.1999999999999993</v>
      </c>
      <c r="AB25" s="64"/>
      <c r="AC25" s="64"/>
      <c r="AD25" s="64">
        <v>33.299999999999997</v>
      </c>
      <c r="AE25" s="64">
        <v>10</v>
      </c>
      <c r="AF25" s="64"/>
      <c r="AG25" s="64"/>
      <c r="AH25" s="64"/>
      <c r="AI25" s="64"/>
      <c r="AJ25" s="64"/>
      <c r="AK25" s="64"/>
      <c r="AL25" s="64">
        <v>6.1</v>
      </c>
      <c r="AM25" s="64">
        <v>5.21</v>
      </c>
      <c r="AN25" s="64">
        <v>6.13</v>
      </c>
      <c r="AO25" s="64">
        <v>6.78</v>
      </c>
      <c r="AP25" s="64">
        <v>0.2</v>
      </c>
    </row>
    <row r="26" spans="1:42" ht="30">
      <c r="A26" s="42" t="s">
        <v>137</v>
      </c>
      <c r="B26" s="3" t="s">
        <v>93</v>
      </c>
      <c r="C26" s="3" t="s">
        <v>128</v>
      </c>
      <c r="D26" s="3" t="s">
        <v>128</v>
      </c>
      <c r="E26" s="3" t="s">
        <v>138</v>
      </c>
      <c r="F26" s="3" t="s">
        <v>128</v>
      </c>
      <c r="G26" s="3" t="s">
        <v>141</v>
      </c>
      <c r="H26" s="64">
        <v>555</v>
      </c>
      <c r="I26" s="64">
        <v>0</v>
      </c>
      <c r="J26" s="64">
        <v>0</v>
      </c>
      <c r="K26" s="64">
        <v>0</v>
      </c>
      <c r="L26" s="64">
        <v>6.8</v>
      </c>
      <c r="M26" s="64">
        <v>97.6</v>
      </c>
      <c r="N26" s="64">
        <v>2.4</v>
      </c>
      <c r="O26" s="64">
        <v>4.9000000000000004</v>
      </c>
      <c r="P26" s="64">
        <v>40.200000000000003</v>
      </c>
      <c r="Q26" s="64">
        <v>42.2</v>
      </c>
      <c r="R26" s="64">
        <v>9.4</v>
      </c>
      <c r="S26" s="64">
        <v>3.4</v>
      </c>
      <c r="T26" s="64">
        <v>5.0999999999999996</v>
      </c>
      <c r="U26" s="64">
        <v>7.6</v>
      </c>
      <c r="V26" s="64">
        <v>45.7</v>
      </c>
      <c r="W26" s="64">
        <v>38.700000000000003</v>
      </c>
      <c r="X26" s="64">
        <v>2.9</v>
      </c>
      <c r="Y26" s="64">
        <v>0</v>
      </c>
      <c r="Z26" s="64">
        <v>0</v>
      </c>
      <c r="AA26" s="64">
        <v>3.9</v>
      </c>
      <c r="AB26" s="64">
        <v>92.6</v>
      </c>
      <c r="AC26" s="64">
        <v>0</v>
      </c>
      <c r="AD26" s="64">
        <v>0</v>
      </c>
      <c r="AE26" s="64">
        <v>3.5</v>
      </c>
      <c r="AF26" s="64">
        <v>0</v>
      </c>
      <c r="AG26" s="64">
        <v>2</v>
      </c>
      <c r="AH26" s="64">
        <v>90.5</v>
      </c>
      <c r="AI26" s="64">
        <v>7.6</v>
      </c>
      <c r="AJ26" s="64">
        <v>0</v>
      </c>
      <c r="AK26" s="64">
        <v>0</v>
      </c>
      <c r="AL26" s="64">
        <v>6.18</v>
      </c>
      <c r="AM26" s="64">
        <v>5.45</v>
      </c>
      <c r="AN26" s="64">
        <v>6.24</v>
      </c>
      <c r="AO26" s="64">
        <v>6.63</v>
      </c>
      <c r="AP26" s="64">
        <v>0.4</v>
      </c>
    </row>
    <row r="27" spans="1:42">
      <c r="A27" s="42" t="s">
        <v>142</v>
      </c>
      <c r="B27" s="3" t="s">
        <v>93</v>
      </c>
      <c r="C27" s="3" t="s">
        <v>143</v>
      </c>
      <c r="D27" s="3" t="s">
        <v>128</v>
      </c>
      <c r="E27" s="3" t="s">
        <v>144</v>
      </c>
      <c r="F27" s="3" t="s">
        <v>143</v>
      </c>
      <c r="G27" s="3" t="s">
        <v>145</v>
      </c>
      <c r="H27" s="64">
        <v>158</v>
      </c>
      <c r="I27" s="64">
        <v>0</v>
      </c>
      <c r="J27" s="64">
        <v>0</v>
      </c>
      <c r="K27" s="64">
        <v>0</v>
      </c>
      <c r="L27" s="64">
        <v>7.6</v>
      </c>
      <c r="M27" s="64">
        <v>50.3</v>
      </c>
      <c r="N27" s="64">
        <v>49.7</v>
      </c>
      <c r="O27" s="64">
        <v>0</v>
      </c>
      <c r="P27" s="64">
        <v>23.8</v>
      </c>
      <c r="Q27" s="64">
        <v>23.8</v>
      </c>
      <c r="R27" s="64">
        <v>28.6</v>
      </c>
      <c r="S27" s="64">
        <v>23.8</v>
      </c>
      <c r="T27" s="64">
        <v>0</v>
      </c>
      <c r="U27" s="64">
        <v>0</v>
      </c>
      <c r="V27" s="64">
        <v>31.8</v>
      </c>
      <c r="W27" s="64">
        <v>24.2</v>
      </c>
      <c r="X27" s="64">
        <v>31.8</v>
      </c>
      <c r="Y27" s="64">
        <v>12.1</v>
      </c>
      <c r="Z27" s="64">
        <v>0</v>
      </c>
      <c r="AA27" s="64">
        <v>33.9</v>
      </c>
      <c r="AB27" s="64">
        <v>0</v>
      </c>
      <c r="AC27" s="64">
        <v>24.7</v>
      </c>
      <c r="AD27" s="64">
        <v>8</v>
      </c>
      <c r="AE27" s="64">
        <v>18.399999999999999</v>
      </c>
      <c r="AF27" s="64">
        <v>14.9</v>
      </c>
      <c r="AG27" s="64">
        <v>21.6</v>
      </c>
      <c r="AH27" s="64">
        <v>0</v>
      </c>
      <c r="AI27" s="64">
        <v>71.599999999999994</v>
      </c>
      <c r="AJ27" s="64">
        <v>0</v>
      </c>
      <c r="AK27" s="64">
        <v>6.8</v>
      </c>
      <c r="AL27" s="64">
        <v>5.63</v>
      </c>
      <c r="AM27" s="64">
        <v>5.26</v>
      </c>
      <c r="AN27" s="64">
        <v>5.51</v>
      </c>
      <c r="AO27" s="64">
        <v>5.99</v>
      </c>
      <c r="AP27" s="64">
        <v>0.2</v>
      </c>
    </row>
    <row r="28" spans="1:42">
      <c r="A28" s="42" t="s">
        <v>142</v>
      </c>
      <c r="B28" s="3" t="s">
        <v>93</v>
      </c>
      <c r="C28" s="3" t="s">
        <v>143</v>
      </c>
      <c r="D28" s="3" t="s">
        <v>128</v>
      </c>
      <c r="E28" s="3" t="s">
        <v>144</v>
      </c>
      <c r="F28" s="3" t="s">
        <v>143</v>
      </c>
      <c r="G28" s="3" t="s">
        <v>146</v>
      </c>
      <c r="H28" s="64">
        <v>191</v>
      </c>
      <c r="I28" s="64">
        <v>0</v>
      </c>
      <c r="J28" s="64">
        <v>5.5</v>
      </c>
      <c r="K28" s="64">
        <v>0</v>
      </c>
      <c r="L28" s="64">
        <v>0</v>
      </c>
      <c r="M28" s="64">
        <v>85.9</v>
      </c>
      <c r="N28" s="64">
        <v>14.1</v>
      </c>
      <c r="O28" s="64">
        <v>0</v>
      </c>
      <c r="P28" s="64">
        <v>10.6</v>
      </c>
      <c r="Q28" s="64">
        <v>60.8</v>
      </c>
      <c r="R28" s="64">
        <v>22.1</v>
      </c>
      <c r="S28" s="64">
        <v>6.5</v>
      </c>
      <c r="T28" s="64">
        <v>0</v>
      </c>
      <c r="U28" s="64">
        <v>0</v>
      </c>
      <c r="V28" s="64">
        <v>67.5</v>
      </c>
      <c r="W28" s="64">
        <v>14.2</v>
      </c>
      <c r="X28" s="64">
        <v>12.7</v>
      </c>
      <c r="Y28" s="64">
        <v>5.6</v>
      </c>
      <c r="Z28" s="64">
        <v>0</v>
      </c>
      <c r="AA28" s="64">
        <v>0</v>
      </c>
      <c r="AB28" s="64">
        <v>66.3</v>
      </c>
      <c r="AC28" s="64">
        <v>7.3</v>
      </c>
      <c r="AD28" s="64">
        <v>26.4</v>
      </c>
      <c r="AE28" s="64">
        <v>0</v>
      </c>
      <c r="AF28" s="64">
        <v>0</v>
      </c>
      <c r="AG28" s="64">
        <v>8.4</v>
      </c>
      <c r="AH28" s="64">
        <v>64.5</v>
      </c>
      <c r="AI28" s="64">
        <v>27.1</v>
      </c>
      <c r="AJ28" s="64">
        <v>0</v>
      </c>
      <c r="AK28" s="64">
        <v>0</v>
      </c>
      <c r="AL28" s="64">
        <v>5.99</v>
      </c>
      <c r="AM28" s="64">
        <v>5.71</v>
      </c>
      <c r="AN28" s="64">
        <v>5.88</v>
      </c>
      <c r="AO28" s="64">
        <v>6.18</v>
      </c>
      <c r="AP28" s="64">
        <v>0.1</v>
      </c>
    </row>
    <row r="29" spans="1:42">
      <c r="A29" s="42" t="s">
        <v>142</v>
      </c>
      <c r="B29" s="3" t="s">
        <v>93</v>
      </c>
      <c r="C29" s="3" t="s">
        <v>143</v>
      </c>
      <c r="D29" s="3" t="s">
        <v>128</v>
      </c>
      <c r="E29" s="3" t="s">
        <v>144</v>
      </c>
      <c r="F29" s="3" t="s">
        <v>143</v>
      </c>
      <c r="G29" s="3" t="s">
        <v>147</v>
      </c>
      <c r="H29" s="64">
        <v>448</v>
      </c>
      <c r="I29" s="64">
        <v>20</v>
      </c>
      <c r="J29" s="64">
        <v>0</v>
      </c>
      <c r="K29" s="64">
        <v>0</v>
      </c>
      <c r="L29" s="64">
        <v>8</v>
      </c>
      <c r="M29" s="64">
        <v>85.3</v>
      </c>
      <c r="N29" s="64">
        <v>14.7</v>
      </c>
      <c r="O29" s="64">
        <v>14.4</v>
      </c>
      <c r="P29" s="64">
        <v>33.700000000000003</v>
      </c>
      <c r="Q29" s="64">
        <v>37.700000000000003</v>
      </c>
      <c r="R29" s="64">
        <v>8.6</v>
      </c>
      <c r="S29" s="64">
        <v>5.5</v>
      </c>
      <c r="T29" s="64">
        <v>0</v>
      </c>
      <c r="U29" s="64">
        <v>8.9</v>
      </c>
      <c r="V29" s="64">
        <v>32.700000000000003</v>
      </c>
      <c r="W29" s="64">
        <v>41.3</v>
      </c>
      <c r="X29" s="64">
        <v>9.3000000000000007</v>
      </c>
      <c r="Y29" s="64">
        <v>3.1</v>
      </c>
      <c r="Z29" s="64">
        <v>4.7</v>
      </c>
      <c r="AA29" s="64">
        <v>9.6999999999999993</v>
      </c>
      <c r="AB29" s="64">
        <v>37.299999999999997</v>
      </c>
      <c r="AC29" s="64">
        <v>29.2</v>
      </c>
      <c r="AD29" s="64">
        <v>18.100000000000001</v>
      </c>
      <c r="AE29" s="64">
        <v>5.8</v>
      </c>
      <c r="AF29" s="64">
        <v>0</v>
      </c>
      <c r="AG29" s="64">
        <v>6.6</v>
      </c>
      <c r="AH29" s="64">
        <v>36.1</v>
      </c>
      <c r="AI29" s="64">
        <v>51.5</v>
      </c>
      <c r="AJ29" s="64">
        <v>0</v>
      </c>
      <c r="AK29" s="64">
        <v>5.9</v>
      </c>
      <c r="AL29" s="64">
        <v>5.77</v>
      </c>
      <c r="AM29" s="64">
        <v>5.05</v>
      </c>
      <c r="AN29" s="64">
        <v>5.49</v>
      </c>
      <c r="AO29" s="64">
        <v>5.89</v>
      </c>
      <c r="AP29" s="64">
        <v>0.2</v>
      </c>
    </row>
    <row r="30" spans="1:42">
      <c r="A30" s="42" t="s">
        <v>142</v>
      </c>
      <c r="B30" s="3" t="s">
        <v>148</v>
      </c>
      <c r="C30" s="3" t="s">
        <v>143</v>
      </c>
      <c r="D30" s="3" t="s">
        <v>128</v>
      </c>
      <c r="E30" s="3" t="s">
        <v>149</v>
      </c>
      <c r="F30" s="3" t="s">
        <v>143</v>
      </c>
      <c r="G30" s="3" t="s">
        <v>150</v>
      </c>
      <c r="H30" s="64">
        <v>189</v>
      </c>
      <c r="I30" s="64">
        <v>0</v>
      </c>
      <c r="J30" s="64">
        <v>0</v>
      </c>
      <c r="K30" s="64">
        <v>0</v>
      </c>
      <c r="L30" s="64">
        <v>7.7</v>
      </c>
      <c r="M30" s="64">
        <v>72.900000000000006</v>
      </c>
      <c r="N30" s="64">
        <v>27.1</v>
      </c>
      <c r="O30" s="64">
        <v>0</v>
      </c>
      <c r="P30" s="64">
        <v>38.9</v>
      </c>
      <c r="Q30" s="64">
        <v>40.1</v>
      </c>
      <c r="R30" s="64">
        <v>12.1</v>
      </c>
      <c r="S30" s="64">
        <v>8.9</v>
      </c>
      <c r="T30" s="64">
        <v>0</v>
      </c>
      <c r="U30" s="64">
        <v>0</v>
      </c>
      <c r="V30" s="64">
        <v>65.7</v>
      </c>
      <c r="W30" s="64">
        <v>9.6999999999999993</v>
      </c>
      <c r="X30" s="64">
        <v>17.7</v>
      </c>
      <c r="Y30" s="64">
        <v>6.9</v>
      </c>
      <c r="Z30" s="64">
        <v>0</v>
      </c>
      <c r="AA30" s="64">
        <v>11.7</v>
      </c>
      <c r="AB30" s="64">
        <v>46.3</v>
      </c>
      <c r="AC30" s="64">
        <v>7.4</v>
      </c>
      <c r="AD30" s="64">
        <v>13.3</v>
      </c>
      <c r="AE30" s="64">
        <v>21.3</v>
      </c>
      <c r="AF30" s="64">
        <v>0</v>
      </c>
      <c r="AG30" s="64">
        <v>5.5</v>
      </c>
      <c r="AH30" s="64">
        <v>47.3</v>
      </c>
      <c r="AI30" s="64">
        <v>37.799999999999997</v>
      </c>
      <c r="AJ30" s="64">
        <v>0</v>
      </c>
      <c r="AK30" s="64">
        <v>9.5</v>
      </c>
      <c r="AL30" s="64">
        <v>5.77</v>
      </c>
      <c r="AM30" s="64">
        <v>5.39</v>
      </c>
      <c r="AN30" s="64">
        <v>5.85</v>
      </c>
      <c r="AO30" s="64">
        <v>6.18</v>
      </c>
      <c r="AP30" s="64">
        <v>0.2</v>
      </c>
    </row>
    <row r="31" spans="1:42">
      <c r="A31" s="42" t="s">
        <v>142</v>
      </c>
      <c r="B31" s="3" t="s">
        <v>148</v>
      </c>
      <c r="C31" s="3" t="s">
        <v>143</v>
      </c>
      <c r="D31" s="3" t="s">
        <v>128</v>
      </c>
      <c r="E31" s="3" t="s">
        <v>149</v>
      </c>
      <c r="F31" s="3" t="s">
        <v>143</v>
      </c>
      <c r="G31" s="3" t="s">
        <v>151</v>
      </c>
      <c r="H31" s="64">
        <v>250</v>
      </c>
      <c r="I31" s="64">
        <v>0</v>
      </c>
      <c r="J31" s="64">
        <v>0</v>
      </c>
      <c r="K31" s="64">
        <v>0</v>
      </c>
      <c r="L31" s="64">
        <v>4.5</v>
      </c>
      <c r="M31" s="64">
        <v>56.2</v>
      </c>
      <c r="N31" s="64">
        <v>43.8</v>
      </c>
      <c r="O31" s="64">
        <v>4.3</v>
      </c>
      <c r="P31" s="64">
        <v>24.1</v>
      </c>
      <c r="Q31" s="64">
        <v>34.4</v>
      </c>
      <c r="R31" s="64">
        <v>25.7</v>
      </c>
      <c r="S31" s="64">
        <v>11.5</v>
      </c>
      <c r="T31" s="64">
        <v>0</v>
      </c>
      <c r="U31" s="64">
        <v>4.4000000000000004</v>
      </c>
      <c r="V31" s="64">
        <v>26.7</v>
      </c>
      <c r="W31" s="64">
        <v>45.4</v>
      </c>
      <c r="X31" s="64">
        <v>18.7</v>
      </c>
      <c r="Y31" s="64">
        <v>4.8</v>
      </c>
      <c r="Z31" s="64">
        <v>0</v>
      </c>
      <c r="AA31" s="64">
        <v>4.5999999999999996</v>
      </c>
      <c r="AB31" s="64">
        <v>5.8</v>
      </c>
      <c r="AC31" s="64">
        <v>21.5</v>
      </c>
      <c r="AD31" s="64">
        <v>19.600000000000001</v>
      </c>
      <c r="AE31" s="64">
        <v>23.5</v>
      </c>
      <c r="AF31" s="64">
        <v>25</v>
      </c>
      <c r="AG31" s="64">
        <v>8</v>
      </c>
      <c r="AH31" s="64">
        <v>0</v>
      </c>
      <c r="AI31" s="64">
        <v>82.4</v>
      </c>
      <c r="AJ31" s="64">
        <v>0</v>
      </c>
      <c r="AK31" s="64">
        <v>9.5</v>
      </c>
      <c r="AL31" s="64">
        <v>6.04</v>
      </c>
      <c r="AM31" s="64">
        <v>5.61</v>
      </c>
      <c r="AN31" s="64">
        <v>5.98</v>
      </c>
      <c r="AO31" s="64">
        <v>6.49</v>
      </c>
      <c r="AP31" s="64">
        <v>0.2</v>
      </c>
    </row>
    <row r="32" spans="1:42">
      <c r="A32" s="42" t="s">
        <v>142</v>
      </c>
      <c r="B32" s="3" t="s">
        <v>148</v>
      </c>
      <c r="C32" s="3" t="s">
        <v>143</v>
      </c>
      <c r="D32" s="3" t="s">
        <v>128</v>
      </c>
      <c r="E32" s="3" t="s">
        <v>149</v>
      </c>
      <c r="F32" s="3" t="s">
        <v>143</v>
      </c>
      <c r="G32" s="3" t="s">
        <v>152</v>
      </c>
      <c r="H32" s="64">
        <v>70</v>
      </c>
      <c r="I32" s="64"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>
        <v>5.38</v>
      </c>
      <c r="AM32" s="64">
        <v>4.99</v>
      </c>
      <c r="AN32" s="64">
        <v>5.47</v>
      </c>
      <c r="AO32" s="64">
        <v>5.74</v>
      </c>
      <c r="AP32" s="64">
        <v>0.3</v>
      </c>
    </row>
    <row r="33" spans="1:42">
      <c r="A33" s="42" t="s">
        <v>153</v>
      </c>
      <c r="B33" s="3" t="s">
        <v>154</v>
      </c>
      <c r="C33" s="3" t="s">
        <v>143</v>
      </c>
      <c r="D33" s="3" t="s">
        <v>128</v>
      </c>
      <c r="E33" s="3" t="s">
        <v>155</v>
      </c>
      <c r="F33" s="3" t="s">
        <v>143</v>
      </c>
      <c r="G33" s="3" t="s">
        <v>156</v>
      </c>
      <c r="H33" s="64">
        <v>181</v>
      </c>
      <c r="I33" s="64">
        <v>0</v>
      </c>
      <c r="J33" s="64">
        <v>16.7</v>
      </c>
      <c r="K33" s="64">
        <v>8.4</v>
      </c>
      <c r="L33" s="64">
        <v>0</v>
      </c>
      <c r="M33" s="64">
        <v>100</v>
      </c>
      <c r="N33" s="64">
        <v>0</v>
      </c>
      <c r="O33" s="64">
        <v>6</v>
      </c>
      <c r="P33" s="64">
        <v>22</v>
      </c>
      <c r="Q33" s="64">
        <v>40.700000000000003</v>
      </c>
      <c r="R33" s="64">
        <v>31.3</v>
      </c>
      <c r="S33" s="64">
        <v>0</v>
      </c>
      <c r="T33" s="64">
        <v>5.5</v>
      </c>
      <c r="U33" s="64">
        <v>10.9</v>
      </c>
      <c r="V33" s="64">
        <v>13.4</v>
      </c>
      <c r="W33" s="64">
        <v>57.2</v>
      </c>
      <c r="X33" s="64">
        <v>12.9</v>
      </c>
      <c r="Y33" s="64">
        <v>0</v>
      </c>
      <c r="Z33" s="64">
        <v>0</v>
      </c>
      <c r="AA33" s="64">
        <v>0</v>
      </c>
      <c r="AB33" s="64">
        <v>64.3</v>
      </c>
      <c r="AC33" s="64">
        <v>0</v>
      </c>
      <c r="AD33" s="64">
        <v>0</v>
      </c>
      <c r="AE33" s="64">
        <v>18.7</v>
      </c>
      <c r="AF33" s="64">
        <v>17</v>
      </c>
      <c r="AG33" s="64">
        <v>0</v>
      </c>
      <c r="AH33" s="64">
        <v>61.6</v>
      </c>
      <c r="AI33" s="64">
        <v>38.4</v>
      </c>
      <c r="AJ33" s="64">
        <v>0</v>
      </c>
      <c r="AK33" s="64">
        <v>0</v>
      </c>
      <c r="AL33" s="64">
        <v>5.94</v>
      </c>
      <c r="AM33" s="64">
        <v>5.37</v>
      </c>
      <c r="AN33" s="64">
        <v>5.86</v>
      </c>
      <c r="AO33" s="64">
        <v>6.4</v>
      </c>
      <c r="AP33" s="64">
        <v>0.1</v>
      </c>
    </row>
    <row r="34" spans="1:42">
      <c r="A34" s="42" t="s">
        <v>153</v>
      </c>
      <c r="B34" s="3" t="s">
        <v>154</v>
      </c>
      <c r="C34" s="3" t="s">
        <v>143</v>
      </c>
      <c r="D34" s="3" t="s">
        <v>128</v>
      </c>
      <c r="E34" s="3" t="s">
        <v>155</v>
      </c>
      <c r="F34" s="3" t="s">
        <v>143</v>
      </c>
      <c r="G34" s="3" t="s">
        <v>157</v>
      </c>
      <c r="H34" s="64">
        <v>766</v>
      </c>
      <c r="I34" s="64">
        <v>0</v>
      </c>
      <c r="J34" s="64">
        <v>0</v>
      </c>
      <c r="K34" s="64">
        <v>0</v>
      </c>
      <c r="L34" s="64">
        <v>4.0999999999999996</v>
      </c>
      <c r="M34" s="64">
        <v>97.4</v>
      </c>
      <c r="N34" s="64">
        <v>2.6</v>
      </c>
      <c r="O34" s="64">
        <v>1.7</v>
      </c>
      <c r="P34" s="64">
        <v>17.8</v>
      </c>
      <c r="Q34" s="64">
        <v>48</v>
      </c>
      <c r="R34" s="64">
        <v>31.2</v>
      </c>
      <c r="S34" s="64">
        <v>1.4</v>
      </c>
      <c r="T34" s="64">
        <v>0</v>
      </c>
      <c r="U34" s="64">
        <v>2.2999999999999998</v>
      </c>
      <c r="V34" s="64">
        <v>17.600000000000001</v>
      </c>
      <c r="W34" s="64">
        <v>59.1</v>
      </c>
      <c r="X34" s="64">
        <v>17.600000000000001</v>
      </c>
      <c r="Y34" s="64">
        <v>1.4</v>
      </c>
      <c r="Z34" s="64">
        <v>2.1</v>
      </c>
      <c r="AA34" s="64">
        <v>0</v>
      </c>
      <c r="AB34" s="64">
        <v>86.7</v>
      </c>
      <c r="AC34" s="64">
        <v>0</v>
      </c>
      <c r="AD34" s="64">
        <v>0</v>
      </c>
      <c r="AE34" s="64">
        <v>10.8</v>
      </c>
      <c r="AF34" s="64">
        <v>2.5</v>
      </c>
      <c r="AG34" s="64">
        <v>0</v>
      </c>
      <c r="AH34" s="64">
        <v>86.7</v>
      </c>
      <c r="AI34" s="64">
        <v>10.8</v>
      </c>
      <c r="AJ34" s="64">
        <v>2.5</v>
      </c>
      <c r="AK34" s="64">
        <v>0</v>
      </c>
      <c r="AL34" s="64">
        <v>6.14</v>
      </c>
      <c r="AM34" s="64">
        <v>5.31</v>
      </c>
      <c r="AN34" s="64">
        <v>6.09</v>
      </c>
      <c r="AO34" s="64">
        <v>6.73</v>
      </c>
      <c r="AP34" s="64">
        <v>0.2</v>
      </c>
    </row>
    <row r="35" spans="1:42">
      <c r="A35" s="42" t="s">
        <v>153</v>
      </c>
      <c r="B35" s="3" t="s">
        <v>93</v>
      </c>
      <c r="C35" s="3" t="s">
        <v>143</v>
      </c>
      <c r="D35" s="3" t="s">
        <v>128</v>
      </c>
      <c r="E35" s="3" t="s">
        <v>158</v>
      </c>
      <c r="F35" s="3" t="s">
        <v>143</v>
      </c>
      <c r="G35" s="3" t="s">
        <v>159</v>
      </c>
      <c r="H35" s="64">
        <v>278</v>
      </c>
      <c r="I35" s="64">
        <v>0</v>
      </c>
      <c r="J35" s="64">
        <v>0</v>
      </c>
      <c r="K35" s="64">
        <v>0</v>
      </c>
      <c r="L35" s="64">
        <v>7.2</v>
      </c>
      <c r="M35" s="64">
        <v>89.2</v>
      </c>
      <c r="N35" s="64">
        <v>10.8</v>
      </c>
      <c r="O35" s="64">
        <v>12.6</v>
      </c>
      <c r="P35" s="64">
        <v>25.3</v>
      </c>
      <c r="Q35" s="64">
        <v>26.4</v>
      </c>
      <c r="R35" s="64">
        <v>19.899999999999999</v>
      </c>
      <c r="S35" s="64">
        <v>15.9</v>
      </c>
      <c r="T35" s="64">
        <v>0</v>
      </c>
      <c r="U35" s="64">
        <v>18.600000000000001</v>
      </c>
      <c r="V35" s="64">
        <v>36.9</v>
      </c>
      <c r="W35" s="64">
        <v>31</v>
      </c>
      <c r="X35" s="64">
        <v>9.6999999999999993</v>
      </c>
      <c r="Y35" s="64">
        <v>3.8</v>
      </c>
      <c r="Z35" s="64">
        <v>0</v>
      </c>
      <c r="AA35" s="64">
        <v>0</v>
      </c>
      <c r="AB35" s="64">
        <v>79.099999999999994</v>
      </c>
      <c r="AC35" s="64">
        <v>11.8</v>
      </c>
      <c r="AD35" s="64">
        <v>9.1</v>
      </c>
      <c r="AE35" s="64">
        <v>0</v>
      </c>
      <c r="AF35" s="64">
        <v>0</v>
      </c>
      <c r="AG35" s="64">
        <v>8.9</v>
      </c>
      <c r="AH35" s="64">
        <v>77.7</v>
      </c>
      <c r="AI35" s="64">
        <v>13.4</v>
      </c>
      <c r="AJ35" s="64">
        <v>0</v>
      </c>
      <c r="AK35" s="64">
        <v>0</v>
      </c>
      <c r="AL35" s="64">
        <v>6.16</v>
      </c>
      <c r="AM35" s="64">
        <v>5.66</v>
      </c>
      <c r="AN35" s="64">
        <v>6.08</v>
      </c>
      <c r="AO35" s="64">
        <v>6.76</v>
      </c>
      <c r="AP35" s="64">
        <v>1</v>
      </c>
    </row>
    <row r="36" spans="1:42" ht="45">
      <c r="A36" s="42" t="s">
        <v>130</v>
      </c>
      <c r="B36" s="3" t="s">
        <v>93</v>
      </c>
      <c r="C36" s="3" t="s">
        <v>131</v>
      </c>
      <c r="D36" s="3" t="s">
        <v>128</v>
      </c>
      <c r="E36" s="3" t="s">
        <v>160</v>
      </c>
      <c r="F36" s="3" t="s">
        <v>128</v>
      </c>
      <c r="G36" s="3" t="s">
        <v>161</v>
      </c>
      <c r="H36" s="64">
        <v>564</v>
      </c>
      <c r="I36" s="64">
        <v>0</v>
      </c>
      <c r="J36" s="64">
        <v>0</v>
      </c>
      <c r="K36" s="64">
        <v>0</v>
      </c>
      <c r="L36" s="64">
        <v>7.5</v>
      </c>
      <c r="M36" s="64">
        <v>86.7</v>
      </c>
      <c r="N36" s="64">
        <v>13.3</v>
      </c>
      <c r="O36" s="64">
        <v>4.5</v>
      </c>
      <c r="P36" s="64">
        <v>41.4</v>
      </c>
      <c r="Q36" s="64">
        <v>35.5</v>
      </c>
      <c r="R36" s="64">
        <v>14.7</v>
      </c>
      <c r="S36" s="64">
        <v>4</v>
      </c>
      <c r="T36" s="64">
        <v>0</v>
      </c>
      <c r="U36" s="64">
        <v>4.4000000000000004</v>
      </c>
      <c r="V36" s="64">
        <v>65.5</v>
      </c>
      <c r="W36" s="64">
        <v>20.5</v>
      </c>
      <c r="X36" s="64">
        <v>7.5</v>
      </c>
      <c r="Y36" s="64">
        <v>2.1</v>
      </c>
      <c r="Z36" s="64">
        <v>0</v>
      </c>
      <c r="AA36" s="64">
        <v>3.8</v>
      </c>
      <c r="AB36" s="64">
        <v>64.7</v>
      </c>
      <c r="AC36" s="64">
        <v>12.8</v>
      </c>
      <c r="AD36" s="64">
        <v>3.3</v>
      </c>
      <c r="AE36" s="64">
        <v>2.1</v>
      </c>
      <c r="AF36" s="64">
        <v>13.3</v>
      </c>
      <c r="AG36" s="64">
        <v>4.7</v>
      </c>
      <c r="AH36" s="64">
        <v>63.6</v>
      </c>
      <c r="AI36" s="64">
        <v>21.4</v>
      </c>
      <c r="AJ36" s="64">
        <v>2.6</v>
      </c>
      <c r="AK36" s="64">
        <v>7.8</v>
      </c>
      <c r="AL36" s="64">
        <v>6.42</v>
      </c>
      <c r="AM36" s="64">
        <v>5.91</v>
      </c>
      <c r="AN36" s="64">
        <v>6.34</v>
      </c>
      <c r="AO36" s="64">
        <v>6.98</v>
      </c>
      <c r="AP36" s="64">
        <v>0.5</v>
      </c>
    </row>
    <row r="37" spans="1:42" ht="30">
      <c r="A37" s="42" t="s">
        <v>130</v>
      </c>
      <c r="B37" s="3" t="s">
        <v>93</v>
      </c>
      <c r="C37" s="3" t="s">
        <v>131</v>
      </c>
      <c r="D37" s="3" t="s">
        <v>128</v>
      </c>
      <c r="E37" s="3" t="s">
        <v>162</v>
      </c>
      <c r="F37" s="3" t="s">
        <v>128</v>
      </c>
      <c r="G37" s="3" t="s">
        <v>163</v>
      </c>
      <c r="H37" s="64">
        <v>188</v>
      </c>
      <c r="I37" s="64">
        <v>0</v>
      </c>
      <c r="J37" s="64">
        <v>0</v>
      </c>
      <c r="K37" s="64">
        <v>0</v>
      </c>
      <c r="L37" s="64">
        <v>8.6</v>
      </c>
      <c r="M37" s="64">
        <v>27</v>
      </c>
      <c r="N37" s="64">
        <v>73</v>
      </c>
      <c r="O37" s="64">
        <v>5.9</v>
      </c>
      <c r="P37" s="64">
        <v>10.4</v>
      </c>
      <c r="Q37" s="64">
        <v>26.2</v>
      </c>
      <c r="R37" s="64">
        <v>47</v>
      </c>
      <c r="S37" s="64">
        <v>10.4</v>
      </c>
      <c r="T37" s="64">
        <v>5.8</v>
      </c>
      <c r="U37" s="64">
        <v>0</v>
      </c>
      <c r="V37" s="64">
        <v>15.9</v>
      </c>
      <c r="W37" s="64">
        <v>26.9</v>
      </c>
      <c r="X37" s="64">
        <v>39.4</v>
      </c>
      <c r="Y37" s="64">
        <v>6.7</v>
      </c>
      <c r="Z37" s="64">
        <v>5.3</v>
      </c>
      <c r="AA37" s="64">
        <v>14.9</v>
      </c>
      <c r="AB37" s="64">
        <v>55.2</v>
      </c>
      <c r="AC37" s="64">
        <v>0</v>
      </c>
      <c r="AD37" s="64">
        <v>13.4</v>
      </c>
      <c r="AE37" s="64">
        <v>16.399999999999999</v>
      </c>
      <c r="AF37" s="64">
        <v>0</v>
      </c>
      <c r="AG37" s="64">
        <v>0</v>
      </c>
      <c r="AH37" s="64">
        <v>61.6</v>
      </c>
      <c r="AI37" s="64">
        <v>38.4</v>
      </c>
      <c r="AJ37" s="64">
        <v>0</v>
      </c>
      <c r="AK37" s="64">
        <v>0</v>
      </c>
      <c r="AL37" s="64">
        <v>5.77</v>
      </c>
      <c r="AM37" s="64">
        <v>5.0599999999999996</v>
      </c>
      <c r="AN37" s="64">
        <v>5.71</v>
      </c>
      <c r="AO37" s="64">
        <v>6.56</v>
      </c>
      <c r="AP37" s="64">
        <v>0.5</v>
      </c>
    </row>
    <row r="38" spans="1:42" ht="30">
      <c r="A38" s="42" t="s">
        <v>153</v>
      </c>
      <c r="B38" s="3" t="s">
        <v>93</v>
      </c>
      <c r="C38" s="3" t="s">
        <v>143</v>
      </c>
      <c r="D38" s="3" t="s">
        <v>128</v>
      </c>
      <c r="E38" s="3" t="s">
        <v>162</v>
      </c>
      <c r="F38" s="3" t="s">
        <v>143</v>
      </c>
      <c r="G38" s="3" t="s">
        <v>164</v>
      </c>
      <c r="H38" s="64">
        <v>44</v>
      </c>
      <c r="I38" s="64"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>
        <v>5.26</v>
      </c>
      <c r="AM38" s="64">
        <v>4.82</v>
      </c>
      <c r="AN38" s="64">
        <v>5.51</v>
      </c>
      <c r="AO38" s="64">
        <v>6.12</v>
      </c>
      <c r="AP38" s="64">
        <v>0.4</v>
      </c>
    </row>
    <row r="39" spans="1:42" ht="45">
      <c r="A39" s="42" t="s">
        <v>130</v>
      </c>
      <c r="B39" s="3" t="s">
        <v>93</v>
      </c>
      <c r="C39" s="3" t="s">
        <v>128</v>
      </c>
      <c r="D39" s="3" t="s">
        <v>128</v>
      </c>
      <c r="E39" s="3" t="s">
        <v>160</v>
      </c>
      <c r="F39" s="3" t="s">
        <v>128</v>
      </c>
      <c r="G39" s="3" t="s">
        <v>165</v>
      </c>
      <c r="H39" s="64">
        <v>886</v>
      </c>
      <c r="I39" s="64">
        <v>0</v>
      </c>
      <c r="J39" s="64">
        <v>1.5</v>
      </c>
      <c r="K39" s="64">
        <v>0</v>
      </c>
      <c r="L39" s="64">
        <v>6.6</v>
      </c>
      <c r="M39" s="64">
        <v>80.599999999999994</v>
      </c>
      <c r="N39" s="64">
        <v>19.399999999999999</v>
      </c>
      <c r="O39" s="64">
        <v>6.1</v>
      </c>
      <c r="P39" s="64">
        <v>24.3</v>
      </c>
      <c r="Q39" s="64">
        <v>40.9</v>
      </c>
      <c r="R39" s="64">
        <v>26.1</v>
      </c>
      <c r="S39" s="64">
        <v>2.7</v>
      </c>
      <c r="T39" s="64">
        <v>3.9</v>
      </c>
      <c r="U39" s="64">
        <v>4.0999999999999996</v>
      </c>
      <c r="V39" s="64">
        <v>37.700000000000003</v>
      </c>
      <c r="W39" s="64">
        <v>41.6</v>
      </c>
      <c r="X39" s="64">
        <v>11.5</v>
      </c>
      <c r="Y39" s="64">
        <v>1.2</v>
      </c>
      <c r="Z39" s="64">
        <v>0</v>
      </c>
      <c r="AA39" s="64">
        <v>66.400000000000006</v>
      </c>
      <c r="AB39" s="64">
        <v>32.299999999999997</v>
      </c>
      <c r="AC39" s="64">
        <v>0</v>
      </c>
      <c r="AD39" s="64">
        <v>0</v>
      </c>
      <c r="AE39" s="64">
        <v>1.4</v>
      </c>
      <c r="AF39" s="64">
        <v>0</v>
      </c>
      <c r="AG39" s="64">
        <v>0</v>
      </c>
      <c r="AH39" s="64">
        <v>98.6</v>
      </c>
      <c r="AI39" s="64">
        <v>1.4</v>
      </c>
      <c r="AJ39" s="64">
        <v>0</v>
      </c>
      <c r="AK39" s="64">
        <v>0</v>
      </c>
      <c r="AL39" s="64">
        <v>6.36</v>
      </c>
      <c r="AM39" s="64">
        <v>5.81</v>
      </c>
      <c r="AN39" s="64">
        <v>6.18</v>
      </c>
      <c r="AO39" s="64">
        <v>6.9</v>
      </c>
      <c r="AP39" s="64">
        <v>0.2</v>
      </c>
    </row>
    <row r="40" spans="1:42" ht="30">
      <c r="A40" s="49" t="s">
        <v>166</v>
      </c>
      <c r="B40" s="50" t="s">
        <v>93</v>
      </c>
      <c r="C40" s="50" t="s">
        <v>128</v>
      </c>
      <c r="D40" s="50" t="s">
        <v>128</v>
      </c>
      <c r="E40" s="50" t="s">
        <v>167</v>
      </c>
      <c r="F40" s="50" t="s">
        <v>128</v>
      </c>
      <c r="G40" s="50" t="s">
        <v>168</v>
      </c>
      <c r="H40" s="64">
        <v>850</v>
      </c>
      <c r="I40" s="64">
        <v>0</v>
      </c>
      <c r="J40" s="64">
        <v>0</v>
      </c>
      <c r="K40" s="64">
        <v>0</v>
      </c>
      <c r="L40" s="64">
        <v>7.5</v>
      </c>
      <c r="M40" s="64">
        <v>81.7</v>
      </c>
      <c r="N40" s="64">
        <v>18.3</v>
      </c>
      <c r="O40" s="64">
        <v>0</v>
      </c>
      <c r="P40" s="64">
        <v>18.399999999999999</v>
      </c>
      <c r="Q40" s="64">
        <v>54.5</v>
      </c>
      <c r="R40" s="64">
        <v>24.6</v>
      </c>
      <c r="S40" s="64">
        <v>2.4</v>
      </c>
      <c r="T40" s="64">
        <v>0</v>
      </c>
      <c r="U40" s="64">
        <v>2.4</v>
      </c>
      <c r="V40" s="64">
        <v>61.4</v>
      </c>
      <c r="W40" s="64">
        <v>22</v>
      </c>
      <c r="X40" s="64">
        <v>12.5</v>
      </c>
      <c r="Y40" s="64">
        <v>1.7</v>
      </c>
      <c r="Z40" s="64">
        <v>0</v>
      </c>
      <c r="AA40" s="64">
        <v>0</v>
      </c>
      <c r="AB40" s="64">
        <v>96.8</v>
      </c>
      <c r="AC40" s="64">
        <v>0</v>
      </c>
      <c r="AD40" s="64">
        <v>0</v>
      </c>
      <c r="AE40" s="64">
        <v>3.2</v>
      </c>
      <c r="AF40" s="64">
        <v>0</v>
      </c>
      <c r="AG40" s="64">
        <v>0</v>
      </c>
      <c r="AH40" s="64">
        <v>93.4</v>
      </c>
      <c r="AI40" s="64">
        <v>6.6</v>
      </c>
      <c r="AJ40" s="64">
        <v>0</v>
      </c>
      <c r="AK40" s="64">
        <v>0</v>
      </c>
      <c r="AL40" s="64">
        <v>6.22</v>
      </c>
      <c r="AM40" s="64">
        <v>5.71</v>
      </c>
      <c r="AN40" s="64">
        <v>6.27</v>
      </c>
      <c r="AO40" s="64">
        <v>6.75</v>
      </c>
      <c r="AP40" s="64">
        <v>0.3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2</vt:i4>
      </vt:variant>
    </vt:vector>
  </HeadingPairs>
  <TitlesOfParts>
    <vt:vector size="16" baseType="lpstr">
      <vt:lpstr>Présentation</vt:lpstr>
      <vt:lpstr>Detail calcul</vt:lpstr>
      <vt:lpstr>POP 2022</vt:lpstr>
      <vt:lpstr>ACT RES 2022</vt:lpstr>
      <vt:lpstr>COU FAM 2022</vt:lpstr>
      <vt:lpstr>DIP FORMATION 2022</vt:lpstr>
      <vt:lpstr>LOG 2022</vt:lpstr>
      <vt:lpstr>REV DEC 2021</vt:lpstr>
      <vt:lpstr>REV DISP 2021</vt:lpstr>
      <vt:lpstr>PETITE ENFANCE 2022</vt:lpstr>
      <vt:lpstr>CAF 2024</vt:lpstr>
      <vt:lpstr>CNAM 2024</vt:lpstr>
      <vt:lpstr>DEFM 2024</vt:lpstr>
      <vt:lpstr>RPLS 2024</vt:lpstr>
      <vt:lpstr>'Detail calcul'!Zone_d_impression</vt:lpstr>
      <vt:lpstr>Présentation!Zone_d_impression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NOWACKI Eloi</cp:lastModifiedBy>
  <dcterms:created xsi:type="dcterms:W3CDTF">2025-12-16T09:24:20Z</dcterms:created>
  <dcterms:modified xsi:type="dcterms:W3CDTF">2026-06-29T13:45:02Z</dcterms:modified>
</cp:coreProperties>
</file>